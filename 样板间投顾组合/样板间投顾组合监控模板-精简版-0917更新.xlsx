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21490" yWindow="-110" windowWidth="38620" windowHeight="21220" tabRatio="924" activeTab="1"/>
  </bookViews>
  <sheets>
    <sheet name="日期页" sheetId="24" r:id="rId1"/>
    <sheet name="每日组合" sheetId="13" r:id="rId2"/>
    <sheet name="每日1090" sheetId="16" r:id="rId3"/>
    <sheet name="每日2080 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4" l="1"/>
  <c r="AM15" i="4"/>
  <c r="AM16" i="4"/>
  <c r="AM17" i="4"/>
  <c r="AM18" i="4"/>
  <c r="AM19" i="4"/>
  <c r="AM20" i="4"/>
  <c r="AM21" i="4"/>
  <c r="AM22" i="4"/>
  <c r="AM23" i="4"/>
  <c r="AM24" i="4"/>
  <c r="AM25" i="4"/>
  <c r="AM26" i="4"/>
  <c r="AL10" i="1" l="1"/>
  <c r="AL9" i="1"/>
  <c r="K13" i="27" l="1"/>
  <c r="J13" i="27"/>
  <c r="B13" i="27"/>
  <c r="I1" i="28" l="1"/>
  <c r="B15" i="17"/>
  <c r="B35" i="16"/>
  <c r="B14" i="16"/>
  <c r="B12" i="17"/>
  <c r="B36" i="16"/>
  <c r="B9" i="16"/>
  <c r="B20" i="16"/>
  <c r="B29" i="16"/>
  <c r="B11" i="16"/>
  <c r="B15" i="16"/>
  <c r="B13" i="16"/>
  <c r="B30" i="16"/>
  <c r="B21" i="16"/>
  <c r="B12" i="16"/>
  <c r="B10" i="17"/>
  <c r="B24" i="16"/>
  <c r="B19" i="17"/>
  <c r="B20" i="17"/>
  <c r="B33" i="16"/>
  <c r="B27" i="16"/>
  <c r="B19" i="16"/>
  <c r="B13" i="17"/>
  <c r="B18" i="17"/>
  <c r="B31" i="16"/>
  <c r="B37" i="16"/>
  <c r="B32" i="16"/>
  <c r="B9" i="17"/>
  <c r="B16" i="16"/>
  <c r="B26" i="16"/>
  <c r="B28" i="16"/>
  <c r="B16" i="17"/>
  <c r="B21" i="17"/>
  <c r="B14" i="17"/>
  <c r="B11" i="17"/>
  <c r="B17" i="17"/>
  <c r="B34" i="16"/>
  <c r="B18" i="16"/>
  <c r="B22" i="16"/>
  <c r="B8" i="17"/>
  <c r="B17" i="16"/>
  <c r="B10" i="16"/>
  <c r="B25" i="16"/>
  <c r="F5" i="28" l="1"/>
  <c r="T227" i="3"/>
  <c r="V227" i="3" s="1"/>
  <c r="T226" i="3"/>
  <c r="T225" i="3"/>
  <c r="T224" i="3"/>
  <c r="V224" i="3" s="1"/>
  <c r="T223" i="3"/>
  <c r="T222" i="3"/>
  <c r="V222" i="3" s="1"/>
  <c r="T221" i="3"/>
  <c r="T220" i="3"/>
  <c r="V220" i="3" s="1"/>
  <c r="T219" i="3"/>
  <c r="V219" i="3" s="1"/>
  <c r="T218" i="3"/>
  <c r="T217" i="3"/>
  <c r="V217" i="3" s="1"/>
  <c r="T216" i="3"/>
  <c r="V216" i="3" s="1"/>
  <c r="T215" i="3"/>
  <c r="H4" i="28"/>
  <c r="H3" i="28"/>
  <c r="H2" i="28"/>
  <c r="J1" i="28"/>
  <c r="H1" i="28"/>
  <c r="B18" i="28"/>
  <c r="B12" i="28"/>
  <c r="B22" i="28"/>
  <c r="B19" i="28"/>
  <c r="B17" i="28"/>
  <c r="B25" i="28"/>
  <c r="B15" i="28"/>
  <c r="B24" i="28"/>
  <c r="B23" i="28"/>
  <c r="B20" i="28"/>
  <c r="B10" i="28"/>
  <c r="B11" i="28"/>
  <c r="B21" i="28"/>
  <c r="B8" i="28"/>
  <c r="B9" i="28"/>
  <c r="B16" i="28"/>
  <c r="B13" i="28"/>
  <c r="B14" i="28"/>
  <c r="U226" i="3" l="1"/>
  <c r="U227" i="3"/>
  <c r="U218" i="3"/>
  <c r="U221" i="3"/>
  <c r="U219" i="3"/>
  <c r="U220" i="3"/>
  <c r="V225" i="3"/>
  <c r="U222" i="3"/>
  <c r="U224" i="3"/>
  <c r="U223" i="3"/>
  <c r="V223" i="3"/>
  <c r="U216" i="3"/>
  <c r="V215" i="3"/>
  <c r="U217" i="3"/>
  <c r="U225" i="3"/>
  <c r="V218" i="3"/>
  <c r="V226" i="3"/>
  <c r="V221" i="3"/>
  <c r="K11" i="27" l="1"/>
  <c r="J11" i="27"/>
  <c r="J9" i="27"/>
  <c r="J12" i="27"/>
  <c r="B8" i="27"/>
  <c r="J8" i="27"/>
  <c r="B12" i="27"/>
  <c r="B10" i="27"/>
  <c r="K12" i="27"/>
  <c r="K8" i="27"/>
  <c r="K10" i="27"/>
  <c r="K9" i="27"/>
  <c r="B9" i="27"/>
  <c r="B11" i="27"/>
  <c r="J10" i="27"/>
  <c r="A70" i="3" l="1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B215" i="3"/>
  <c r="D215" i="3" s="1"/>
  <c r="E215" i="3"/>
  <c r="G215" i="3" s="1"/>
  <c r="H215" i="3"/>
  <c r="J215" i="3" s="1"/>
  <c r="K215" i="3"/>
  <c r="M215" i="3" s="1"/>
  <c r="N215" i="3"/>
  <c r="P215" i="3" s="1"/>
  <c r="Q215" i="3"/>
  <c r="S215" i="3" s="1"/>
  <c r="A216" i="3"/>
  <c r="B216" i="3"/>
  <c r="E216" i="3"/>
  <c r="G216" i="3" s="1"/>
  <c r="H216" i="3"/>
  <c r="J216" i="3" s="1"/>
  <c r="K216" i="3"/>
  <c r="M216" i="3" s="1"/>
  <c r="N216" i="3"/>
  <c r="Q216" i="3"/>
  <c r="S216" i="3" s="1"/>
  <c r="A217" i="3"/>
  <c r="B217" i="3"/>
  <c r="D217" i="3" s="1"/>
  <c r="E217" i="3"/>
  <c r="H217" i="3"/>
  <c r="K217" i="3"/>
  <c r="M217" i="3" s="1"/>
  <c r="N217" i="3"/>
  <c r="P217" i="3" s="1"/>
  <c r="Q217" i="3"/>
  <c r="A218" i="3"/>
  <c r="B218" i="3"/>
  <c r="D218" i="3" s="1"/>
  <c r="E218" i="3"/>
  <c r="H218" i="3"/>
  <c r="J218" i="3" s="1"/>
  <c r="K218" i="3"/>
  <c r="M218" i="3" s="1"/>
  <c r="N218" i="3"/>
  <c r="P218" i="3" s="1"/>
  <c r="Q218" i="3"/>
  <c r="S218" i="3" s="1"/>
  <c r="A219" i="3"/>
  <c r="B219" i="3"/>
  <c r="E219" i="3"/>
  <c r="G219" i="3" s="1"/>
  <c r="H219" i="3"/>
  <c r="J219" i="3" s="1"/>
  <c r="K219" i="3"/>
  <c r="M219" i="3" s="1"/>
  <c r="N219" i="3"/>
  <c r="P219" i="3" s="1"/>
  <c r="Q219" i="3"/>
  <c r="S219" i="3" s="1"/>
  <c r="A220" i="3"/>
  <c r="B220" i="3"/>
  <c r="D220" i="3" s="1"/>
  <c r="E220" i="3"/>
  <c r="G220" i="3" s="1"/>
  <c r="H220" i="3"/>
  <c r="J220" i="3" s="1"/>
  <c r="K220" i="3"/>
  <c r="M220" i="3" s="1"/>
  <c r="N220" i="3"/>
  <c r="P220" i="3" s="1"/>
  <c r="Q220" i="3"/>
  <c r="S220" i="3" s="1"/>
  <c r="A221" i="3"/>
  <c r="B221" i="3"/>
  <c r="D221" i="3" s="1"/>
  <c r="E221" i="3"/>
  <c r="G221" i="3" s="1"/>
  <c r="H221" i="3"/>
  <c r="J221" i="3" s="1"/>
  <c r="K221" i="3"/>
  <c r="M221" i="3" s="1"/>
  <c r="N221" i="3"/>
  <c r="P221" i="3" s="1"/>
  <c r="Q221" i="3"/>
  <c r="S221" i="3" s="1"/>
  <c r="A222" i="3"/>
  <c r="B222" i="3"/>
  <c r="E222" i="3"/>
  <c r="G222" i="3" s="1"/>
  <c r="H222" i="3"/>
  <c r="K222" i="3"/>
  <c r="M222" i="3" s="1"/>
  <c r="N222" i="3"/>
  <c r="P222" i="3" s="1"/>
  <c r="Q222" i="3"/>
  <c r="A223" i="3"/>
  <c r="B223" i="3"/>
  <c r="D223" i="3" s="1"/>
  <c r="E223" i="3"/>
  <c r="G223" i="3" s="1"/>
  <c r="H223" i="3"/>
  <c r="J223" i="3" s="1"/>
  <c r="K223" i="3"/>
  <c r="N223" i="3"/>
  <c r="Q223" i="3"/>
  <c r="S223" i="3" s="1"/>
  <c r="A224" i="3"/>
  <c r="B224" i="3"/>
  <c r="E224" i="3"/>
  <c r="G224" i="3" s="1"/>
  <c r="H224" i="3"/>
  <c r="K224" i="3"/>
  <c r="N224" i="3"/>
  <c r="P224" i="3" s="1"/>
  <c r="Q224" i="3"/>
  <c r="S224" i="3" s="1"/>
  <c r="A225" i="3"/>
  <c r="B225" i="3"/>
  <c r="D225" i="3" s="1"/>
  <c r="E225" i="3"/>
  <c r="G225" i="3" s="1"/>
  <c r="H225" i="3"/>
  <c r="K225" i="3"/>
  <c r="M225" i="3" s="1"/>
  <c r="N225" i="3"/>
  <c r="P225" i="3" s="1"/>
  <c r="Q225" i="3"/>
  <c r="A226" i="3"/>
  <c r="B226" i="3"/>
  <c r="E226" i="3"/>
  <c r="H226" i="3"/>
  <c r="J226" i="3" s="1"/>
  <c r="K226" i="3"/>
  <c r="M226" i="3" s="1"/>
  <c r="N226" i="3"/>
  <c r="Q226" i="3"/>
  <c r="S226" i="3" s="1"/>
  <c r="A227" i="3"/>
  <c r="B227" i="3"/>
  <c r="D227" i="3" s="1"/>
  <c r="E227" i="3"/>
  <c r="G227" i="3" s="1"/>
  <c r="H227" i="3"/>
  <c r="J227" i="3" s="1"/>
  <c r="K227" i="3"/>
  <c r="M227" i="3" s="1"/>
  <c r="N227" i="3"/>
  <c r="P227" i="3" s="1"/>
  <c r="Q227" i="3"/>
  <c r="C224" i="3" l="1"/>
  <c r="C219" i="3"/>
  <c r="R227" i="3"/>
  <c r="C217" i="3"/>
  <c r="R222" i="3"/>
  <c r="L225" i="3"/>
  <c r="D224" i="3"/>
  <c r="O216" i="3"/>
  <c r="R221" i="3"/>
  <c r="I225" i="3"/>
  <c r="I222" i="3"/>
  <c r="C216" i="3"/>
  <c r="C227" i="3"/>
  <c r="R226" i="3"/>
  <c r="O223" i="3"/>
  <c r="R223" i="3"/>
  <c r="C223" i="3"/>
  <c r="L216" i="3"/>
  <c r="O227" i="3"/>
  <c r="I218" i="3"/>
  <c r="F219" i="3"/>
  <c r="F218" i="3"/>
  <c r="L222" i="3"/>
  <c r="C220" i="3"/>
  <c r="J222" i="3"/>
  <c r="R219" i="3"/>
  <c r="R218" i="3"/>
  <c r="L224" i="3"/>
  <c r="S227" i="3"/>
  <c r="F226" i="3"/>
  <c r="C225" i="3"/>
  <c r="J224" i="3"/>
  <c r="O222" i="3"/>
  <c r="D222" i="3"/>
  <c r="I221" i="3"/>
  <c r="J217" i="3"/>
  <c r="F216" i="3"/>
  <c r="F227" i="3"/>
  <c r="O226" i="3"/>
  <c r="I224" i="3"/>
  <c r="F223" i="3"/>
  <c r="L221" i="3"/>
  <c r="R220" i="3"/>
  <c r="L220" i="3"/>
  <c r="I217" i="3"/>
  <c r="D226" i="3"/>
  <c r="O219" i="3"/>
  <c r="O224" i="3"/>
  <c r="P226" i="3"/>
  <c r="C226" i="3"/>
  <c r="F224" i="3"/>
  <c r="M223" i="3"/>
  <c r="S217" i="3"/>
  <c r="G217" i="3"/>
  <c r="I226" i="3"/>
  <c r="R225" i="3"/>
  <c r="L223" i="3"/>
  <c r="O220" i="3"/>
  <c r="F222" i="3"/>
  <c r="L217" i="3"/>
  <c r="L227" i="3"/>
  <c r="S225" i="3"/>
  <c r="F225" i="3"/>
  <c r="I223" i="3"/>
  <c r="O221" i="3"/>
  <c r="G226" i="3"/>
  <c r="J225" i="3"/>
  <c r="M224" i="3"/>
  <c r="P223" i="3"/>
  <c r="S222" i="3"/>
  <c r="C222" i="3"/>
  <c r="F221" i="3"/>
  <c r="I220" i="3"/>
  <c r="L219" i="3"/>
  <c r="D219" i="3"/>
  <c r="O218" i="3"/>
  <c r="G218" i="3"/>
  <c r="R217" i="3"/>
  <c r="D216" i="3"/>
  <c r="L226" i="3"/>
  <c r="O225" i="3"/>
  <c r="R224" i="3"/>
  <c r="C221" i="3"/>
  <c r="F220" i="3"/>
  <c r="I219" i="3"/>
  <c r="L218" i="3"/>
  <c r="O217" i="3"/>
  <c r="R216" i="3"/>
  <c r="C218" i="3"/>
  <c r="F217" i="3"/>
  <c r="I216" i="3"/>
  <c r="I227" i="3"/>
  <c r="P216" i="3"/>
  <c r="A60" i="3"/>
  <c r="A61" i="3"/>
  <c r="A62" i="3"/>
  <c r="A63" i="3"/>
  <c r="A64" i="3"/>
  <c r="A65" i="3"/>
  <c r="A66" i="3"/>
  <c r="A67" i="3"/>
  <c r="A68" i="3"/>
  <c r="A69" i="3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C38" i="26"/>
  <c r="C23" i="26"/>
  <c r="H22" i="26"/>
  <c r="H37" i="26" s="1"/>
  <c r="H52" i="26" s="1"/>
  <c r="G22" i="26"/>
  <c r="G37" i="26" s="1"/>
  <c r="G52" i="26" s="1"/>
  <c r="F22" i="26"/>
  <c r="F37" i="26" s="1"/>
  <c r="F52" i="26" s="1"/>
  <c r="E22" i="26"/>
  <c r="E37" i="26" s="1"/>
  <c r="E52" i="26" s="1"/>
  <c r="D22" i="26"/>
  <c r="C22" i="26"/>
  <c r="C37" i="26" s="1"/>
  <c r="C52" i="26" s="1"/>
  <c r="B22" i="26"/>
  <c r="B37" i="26" s="1"/>
  <c r="B52" i="26" s="1"/>
  <c r="A22" i="26"/>
  <c r="A37" i="26" s="1"/>
  <c r="A52" i="26" s="1"/>
  <c r="Y74" i="2"/>
  <c r="Y75" i="2"/>
  <c r="Y76" i="2"/>
  <c r="Y77" i="2"/>
  <c r="Y78" i="2"/>
  <c r="Y79" i="2"/>
  <c r="Y73" i="2"/>
  <c r="F28" i="26"/>
  <c r="F61" i="26"/>
  <c r="F41" i="26"/>
  <c r="Y69" i="2"/>
  <c r="F58" i="26"/>
  <c r="Y66" i="2"/>
  <c r="F62" i="26"/>
  <c r="Y72" i="2"/>
  <c r="F27" i="26"/>
  <c r="F26" i="26"/>
  <c r="F45" i="26"/>
  <c r="F18" i="26"/>
  <c r="Y71" i="2"/>
  <c r="F43" i="26"/>
  <c r="F24" i="26"/>
  <c r="F46" i="26"/>
  <c r="Y67" i="2"/>
  <c r="F57" i="26"/>
  <c r="F16" i="26"/>
  <c r="F44" i="26"/>
  <c r="Y63" i="2"/>
  <c r="F42" i="26"/>
  <c r="Y64" i="2"/>
  <c r="F12" i="26"/>
  <c r="F15" i="26"/>
  <c r="F14" i="26"/>
  <c r="Y60" i="2"/>
  <c r="F10" i="26"/>
  <c r="F54" i="26"/>
  <c r="Y61" i="2"/>
  <c r="F63" i="26"/>
  <c r="F59" i="26"/>
  <c r="F47" i="26"/>
  <c r="F30" i="26"/>
  <c r="F25" i="26"/>
  <c r="Y70" i="2"/>
  <c r="F55" i="26"/>
  <c r="Y65" i="2"/>
  <c r="F48" i="26"/>
  <c r="F60" i="26"/>
  <c r="F29" i="26"/>
  <c r="Y62" i="2"/>
  <c r="F33" i="26"/>
  <c r="F40" i="26"/>
  <c r="F31" i="26"/>
  <c r="F32" i="26"/>
  <c r="F56" i="26"/>
  <c r="F39" i="26"/>
  <c r="F9" i="26"/>
  <c r="F17" i="26"/>
  <c r="F13" i="26"/>
  <c r="F11" i="26"/>
  <c r="Y68" i="2"/>
  <c r="H199" i="3" l="1"/>
  <c r="B199" i="3"/>
  <c r="E199" i="3"/>
  <c r="H191" i="3"/>
  <c r="B191" i="3"/>
  <c r="E191" i="3"/>
  <c r="H103" i="3"/>
  <c r="B103" i="3"/>
  <c r="E103" i="3"/>
  <c r="H205" i="3"/>
  <c r="B205" i="3"/>
  <c r="E205" i="3"/>
  <c r="E214" i="3"/>
  <c r="H214" i="3"/>
  <c r="B214" i="3"/>
  <c r="E206" i="3"/>
  <c r="H206" i="3"/>
  <c r="B206" i="3"/>
  <c r="E198" i="3"/>
  <c r="H198" i="3"/>
  <c r="B198" i="3"/>
  <c r="E190" i="3"/>
  <c r="H190" i="3"/>
  <c r="B190" i="3"/>
  <c r="E182" i="3"/>
  <c r="H182" i="3"/>
  <c r="B182" i="3"/>
  <c r="E174" i="3"/>
  <c r="H174" i="3"/>
  <c r="B174" i="3"/>
  <c r="E166" i="3"/>
  <c r="H166" i="3"/>
  <c r="B166" i="3"/>
  <c r="E158" i="3"/>
  <c r="H158" i="3"/>
  <c r="B158" i="3"/>
  <c r="E150" i="3"/>
  <c r="H150" i="3"/>
  <c r="B150" i="3"/>
  <c r="E142" i="3"/>
  <c r="H142" i="3"/>
  <c r="B142" i="3"/>
  <c r="B134" i="3"/>
  <c r="E134" i="3"/>
  <c r="H134" i="3"/>
  <c r="B126" i="3"/>
  <c r="E126" i="3"/>
  <c r="H126" i="3"/>
  <c r="B118" i="3"/>
  <c r="E118" i="3"/>
  <c r="H118" i="3"/>
  <c r="B110" i="3"/>
  <c r="E110" i="3"/>
  <c r="H110" i="3"/>
  <c r="B102" i="3"/>
  <c r="E102" i="3"/>
  <c r="H102" i="3"/>
  <c r="B94" i="3"/>
  <c r="E94" i="3"/>
  <c r="H94" i="3"/>
  <c r="B86" i="3"/>
  <c r="E86" i="3"/>
  <c r="H86" i="3"/>
  <c r="B159" i="3"/>
  <c r="E159" i="3"/>
  <c r="H159" i="3"/>
  <c r="H111" i="3"/>
  <c r="B111" i="3"/>
  <c r="E111" i="3"/>
  <c r="H208" i="3"/>
  <c r="B208" i="3"/>
  <c r="E208" i="3"/>
  <c r="E200" i="3"/>
  <c r="H200" i="3"/>
  <c r="B200" i="3"/>
  <c r="E192" i="3"/>
  <c r="H192" i="3"/>
  <c r="B192" i="3"/>
  <c r="E184" i="3"/>
  <c r="H184" i="3"/>
  <c r="B184" i="3"/>
  <c r="E176" i="3"/>
  <c r="H176" i="3"/>
  <c r="B176" i="3"/>
  <c r="H168" i="3"/>
  <c r="B168" i="3"/>
  <c r="E168" i="3"/>
  <c r="H160" i="3"/>
  <c r="B160" i="3"/>
  <c r="E160" i="3"/>
  <c r="H152" i="3"/>
  <c r="B152" i="3"/>
  <c r="E152" i="3"/>
  <c r="H144" i="3"/>
  <c r="B144" i="3"/>
  <c r="E144" i="3"/>
  <c r="E136" i="3"/>
  <c r="H136" i="3"/>
  <c r="B136" i="3"/>
  <c r="E128" i="3"/>
  <c r="H128" i="3"/>
  <c r="B128" i="3"/>
  <c r="E120" i="3"/>
  <c r="H120" i="3"/>
  <c r="B120" i="3"/>
  <c r="E112" i="3"/>
  <c r="H112" i="3"/>
  <c r="B112" i="3"/>
  <c r="E104" i="3"/>
  <c r="H104" i="3"/>
  <c r="B104" i="3"/>
  <c r="E96" i="3"/>
  <c r="H96" i="3"/>
  <c r="B96" i="3"/>
  <c r="E88" i="3"/>
  <c r="H88" i="3"/>
  <c r="B88" i="3"/>
  <c r="E80" i="3"/>
  <c r="H80" i="3"/>
  <c r="B80" i="3"/>
  <c r="B143" i="3"/>
  <c r="E143" i="3"/>
  <c r="H143" i="3"/>
  <c r="H119" i="3"/>
  <c r="B119" i="3"/>
  <c r="E119" i="3"/>
  <c r="B177" i="3"/>
  <c r="E177" i="3"/>
  <c r="H177" i="3"/>
  <c r="E169" i="3"/>
  <c r="H169" i="3"/>
  <c r="B169" i="3"/>
  <c r="E161" i="3"/>
  <c r="H161" i="3"/>
  <c r="B161" i="3"/>
  <c r="E153" i="3"/>
  <c r="H153" i="3"/>
  <c r="B153" i="3"/>
  <c r="E145" i="3"/>
  <c r="H145" i="3"/>
  <c r="B145" i="3"/>
  <c r="H137" i="3"/>
  <c r="B137" i="3"/>
  <c r="E137" i="3"/>
  <c r="H129" i="3"/>
  <c r="B129" i="3"/>
  <c r="E129" i="3"/>
  <c r="H121" i="3"/>
  <c r="B121" i="3"/>
  <c r="E121" i="3"/>
  <c r="H113" i="3"/>
  <c r="B113" i="3"/>
  <c r="E113" i="3"/>
  <c r="H105" i="3"/>
  <c r="B105" i="3"/>
  <c r="E105" i="3"/>
  <c r="H97" i="3"/>
  <c r="B97" i="3"/>
  <c r="E97" i="3"/>
  <c r="H89" i="3"/>
  <c r="B89" i="3"/>
  <c r="E89" i="3"/>
  <c r="H81" i="3"/>
  <c r="B81" i="3"/>
  <c r="E81" i="3"/>
  <c r="B210" i="3"/>
  <c r="E210" i="3"/>
  <c r="H210" i="3"/>
  <c r="H202" i="3"/>
  <c r="B202" i="3"/>
  <c r="E202" i="3"/>
  <c r="H194" i="3"/>
  <c r="B194" i="3"/>
  <c r="E194" i="3"/>
  <c r="H186" i="3"/>
  <c r="B186" i="3"/>
  <c r="E186" i="3"/>
  <c r="H178" i="3"/>
  <c r="B178" i="3"/>
  <c r="E178" i="3"/>
  <c r="B170" i="3"/>
  <c r="E170" i="3"/>
  <c r="H170" i="3"/>
  <c r="B162" i="3"/>
  <c r="E162" i="3"/>
  <c r="H162" i="3"/>
  <c r="B154" i="3"/>
  <c r="E154" i="3"/>
  <c r="H154" i="3"/>
  <c r="B146" i="3"/>
  <c r="E146" i="3"/>
  <c r="H146" i="3"/>
  <c r="E138" i="3"/>
  <c r="H138" i="3"/>
  <c r="B138" i="3"/>
  <c r="E130" i="3"/>
  <c r="H130" i="3"/>
  <c r="B130" i="3"/>
  <c r="E122" i="3"/>
  <c r="H122" i="3"/>
  <c r="B122" i="3"/>
  <c r="E114" i="3"/>
  <c r="H114" i="3"/>
  <c r="B114" i="3"/>
  <c r="E106" i="3"/>
  <c r="H106" i="3"/>
  <c r="B106" i="3"/>
  <c r="E98" i="3"/>
  <c r="H98" i="3"/>
  <c r="B98" i="3"/>
  <c r="E90" i="3"/>
  <c r="H90" i="3"/>
  <c r="B90" i="3"/>
  <c r="E82" i="3"/>
  <c r="H82" i="3"/>
  <c r="B82" i="3"/>
  <c r="B207" i="3"/>
  <c r="E207" i="3"/>
  <c r="H207" i="3"/>
  <c r="B167" i="3"/>
  <c r="E167" i="3"/>
  <c r="H167" i="3"/>
  <c r="H135" i="3"/>
  <c r="B135" i="3"/>
  <c r="E135" i="3"/>
  <c r="H95" i="3"/>
  <c r="B95" i="3"/>
  <c r="E95" i="3"/>
  <c r="E209" i="3"/>
  <c r="H209" i="3"/>
  <c r="B209" i="3"/>
  <c r="B201" i="3"/>
  <c r="E201" i="3"/>
  <c r="H201" i="3"/>
  <c r="E211" i="3"/>
  <c r="H211" i="3"/>
  <c r="B211" i="3"/>
  <c r="E203" i="3"/>
  <c r="H203" i="3"/>
  <c r="B203" i="3"/>
  <c r="E195" i="3"/>
  <c r="H195" i="3"/>
  <c r="B195" i="3"/>
  <c r="E187" i="3"/>
  <c r="H187" i="3"/>
  <c r="B187" i="3"/>
  <c r="E179" i="3"/>
  <c r="H179" i="3"/>
  <c r="B179" i="3"/>
  <c r="H171" i="3"/>
  <c r="B171" i="3"/>
  <c r="E171" i="3"/>
  <c r="H163" i="3"/>
  <c r="B163" i="3"/>
  <c r="E163" i="3"/>
  <c r="H155" i="3"/>
  <c r="B155" i="3"/>
  <c r="E155" i="3"/>
  <c r="H147" i="3"/>
  <c r="B147" i="3"/>
  <c r="E147" i="3"/>
  <c r="B139" i="3"/>
  <c r="E139" i="3"/>
  <c r="H139" i="3"/>
  <c r="B131" i="3"/>
  <c r="E131" i="3"/>
  <c r="H131" i="3"/>
  <c r="B123" i="3"/>
  <c r="E123" i="3"/>
  <c r="H123" i="3"/>
  <c r="B115" i="3"/>
  <c r="E115" i="3"/>
  <c r="H115" i="3"/>
  <c r="B107" i="3"/>
  <c r="E107" i="3"/>
  <c r="H107" i="3"/>
  <c r="B99" i="3"/>
  <c r="E99" i="3"/>
  <c r="H99" i="3"/>
  <c r="B91" i="3"/>
  <c r="E91" i="3"/>
  <c r="H91" i="3"/>
  <c r="B83" i="3"/>
  <c r="E83" i="3"/>
  <c r="H83" i="3"/>
  <c r="H175" i="3"/>
  <c r="B175" i="3"/>
  <c r="E175" i="3"/>
  <c r="E212" i="3"/>
  <c r="B212" i="3"/>
  <c r="H212" i="3"/>
  <c r="B204" i="3"/>
  <c r="E204" i="3"/>
  <c r="H204" i="3"/>
  <c r="B196" i="3"/>
  <c r="E196" i="3"/>
  <c r="H196" i="3"/>
  <c r="B188" i="3"/>
  <c r="E188" i="3"/>
  <c r="H188" i="3"/>
  <c r="B180" i="3"/>
  <c r="E180" i="3"/>
  <c r="H180" i="3"/>
  <c r="E172" i="3"/>
  <c r="H172" i="3"/>
  <c r="B172" i="3"/>
  <c r="E164" i="3"/>
  <c r="H164" i="3"/>
  <c r="B164" i="3"/>
  <c r="E156" i="3"/>
  <c r="H156" i="3"/>
  <c r="B156" i="3"/>
  <c r="E148" i="3"/>
  <c r="H148" i="3"/>
  <c r="B148" i="3"/>
  <c r="B140" i="3"/>
  <c r="E140" i="3"/>
  <c r="H140" i="3"/>
  <c r="H132" i="3"/>
  <c r="B132" i="3"/>
  <c r="E132" i="3"/>
  <c r="H124" i="3"/>
  <c r="B124" i="3"/>
  <c r="E124" i="3"/>
  <c r="H116" i="3"/>
  <c r="B116" i="3"/>
  <c r="E116" i="3"/>
  <c r="H108" i="3"/>
  <c r="B108" i="3"/>
  <c r="E108" i="3"/>
  <c r="H100" i="3"/>
  <c r="B100" i="3"/>
  <c r="E100" i="3"/>
  <c r="H92" i="3"/>
  <c r="B92" i="3"/>
  <c r="E92" i="3"/>
  <c r="H84" i="3"/>
  <c r="B84" i="3"/>
  <c r="E84" i="3"/>
  <c r="H183" i="3"/>
  <c r="B183" i="3"/>
  <c r="E183" i="3"/>
  <c r="B151" i="3"/>
  <c r="E151" i="3"/>
  <c r="H151" i="3"/>
  <c r="H127" i="3"/>
  <c r="B127" i="3"/>
  <c r="E127" i="3"/>
  <c r="H87" i="3"/>
  <c r="B87" i="3"/>
  <c r="E87" i="3"/>
  <c r="B193" i="3"/>
  <c r="E193" i="3"/>
  <c r="H193" i="3"/>
  <c r="B185" i="3"/>
  <c r="E185" i="3"/>
  <c r="H185" i="3"/>
  <c r="H213" i="3"/>
  <c r="B213" i="3"/>
  <c r="E213" i="3"/>
  <c r="H197" i="3"/>
  <c r="B197" i="3"/>
  <c r="E197" i="3"/>
  <c r="H189" i="3"/>
  <c r="B189" i="3"/>
  <c r="E189" i="3"/>
  <c r="H181" i="3"/>
  <c r="B181" i="3"/>
  <c r="E181" i="3"/>
  <c r="E173" i="3"/>
  <c r="H173" i="3"/>
  <c r="B173" i="3"/>
  <c r="H165" i="3"/>
  <c r="B165" i="3"/>
  <c r="E165" i="3"/>
  <c r="H157" i="3"/>
  <c r="B157" i="3"/>
  <c r="E157" i="3"/>
  <c r="H149" i="3"/>
  <c r="B149" i="3"/>
  <c r="E149" i="3"/>
  <c r="H141" i="3"/>
  <c r="B141" i="3"/>
  <c r="E141" i="3"/>
  <c r="E133" i="3"/>
  <c r="H133" i="3"/>
  <c r="B133" i="3"/>
  <c r="E125" i="3"/>
  <c r="H125" i="3"/>
  <c r="B125" i="3"/>
  <c r="E117" i="3"/>
  <c r="H117" i="3"/>
  <c r="B117" i="3"/>
  <c r="E109" i="3"/>
  <c r="H109" i="3"/>
  <c r="B109" i="3"/>
  <c r="E101" i="3"/>
  <c r="H101" i="3"/>
  <c r="B101" i="3"/>
  <c r="E93" i="3"/>
  <c r="H93" i="3"/>
  <c r="B93" i="3"/>
  <c r="E85" i="3"/>
  <c r="H85" i="3"/>
  <c r="B85" i="3"/>
  <c r="K17" i="21"/>
  <c r="J17" i="21"/>
  <c r="K14" i="21"/>
  <c r="J14" i="21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H1" i="13"/>
  <c r="E2" i="24"/>
  <c r="C2" i="24" s="1"/>
  <c r="D17" i="19"/>
  <c r="C17" i="19"/>
  <c r="Q24" i="23"/>
  <c r="Q23" i="23"/>
  <c r="I23" i="23"/>
  <c r="F23" i="23"/>
  <c r="G23" i="23" s="1"/>
  <c r="Q22" i="23"/>
  <c r="F22" i="23"/>
  <c r="G22" i="23" s="1"/>
  <c r="Q21" i="23"/>
  <c r="F21" i="23"/>
  <c r="G21" i="23" s="1"/>
  <c r="Q20" i="23"/>
  <c r="F20" i="23"/>
  <c r="G20" i="23" s="1"/>
  <c r="Q19" i="23"/>
  <c r="F19" i="23"/>
  <c r="G19" i="23" s="1"/>
  <c r="Q18" i="23"/>
  <c r="F18" i="23"/>
  <c r="G18" i="23" s="1"/>
  <c r="Q17" i="23"/>
  <c r="F17" i="23"/>
  <c r="G17" i="23" s="1"/>
  <c r="Q16" i="23"/>
  <c r="F16" i="23"/>
  <c r="G16" i="23" s="1"/>
  <c r="Q15" i="23"/>
  <c r="F15" i="23"/>
  <c r="G15" i="23" s="1"/>
  <c r="Q14" i="23"/>
  <c r="F14" i="23"/>
  <c r="G14" i="23" s="1"/>
  <c r="Q13" i="23"/>
  <c r="F13" i="23"/>
  <c r="G13" i="23" s="1"/>
  <c r="Q12" i="23"/>
  <c r="F12" i="23"/>
  <c r="G12" i="23" s="1"/>
  <c r="Q11" i="23"/>
  <c r="F11" i="23"/>
  <c r="G11" i="23" s="1"/>
  <c r="Q10" i="23"/>
  <c r="F10" i="23"/>
  <c r="G10" i="23" s="1"/>
  <c r="Q9" i="23"/>
  <c r="F9" i="23"/>
  <c r="G9" i="23" s="1"/>
  <c r="Q8" i="23"/>
  <c r="F8" i="23"/>
  <c r="G8" i="23" s="1"/>
  <c r="Q7" i="23"/>
  <c r="F7" i="23"/>
  <c r="G7" i="23" s="1"/>
  <c r="Q6" i="23"/>
  <c r="F6" i="23"/>
  <c r="G6" i="23" s="1"/>
  <c r="Q5" i="23"/>
  <c r="F5" i="23"/>
  <c r="G5" i="23" s="1"/>
  <c r="Q4" i="23"/>
  <c r="F4" i="23"/>
  <c r="G4" i="23" s="1"/>
  <c r="Q3" i="23"/>
  <c r="E1" i="23"/>
  <c r="K20" i="21"/>
  <c r="J20" i="21"/>
  <c r="K11" i="21"/>
  <c r="J11" i="21"/>
  <c r="F6" i="16"/>
  <c r="F5" i="16"/>
  <c r="F5" i="17"/>
  <c r="H4" i="17"/>
  <c r="H3" i="17"/>
  <c r="H2" i="17"/>
  <c r="J1" i="17"/>
  <c r="H1" i="17"/>
  <c r="F7" i="19"/>
  <c r="F6" i="19"/>
  <c r="F5" i="19"/>
  <c r="E17" i="19"/>
  <c r="H4" i="19"/>
  <c r="H3" i="19"/>
  <c r="H2" i="19"/>
  <c r="J1" i="19"/>
  <c r="H1" i="19"/>
  <c r="H2" i="16"/>
  <c r="H3" i="16"/>
  <c r="H4" i="16"/>
  <c r="J1" i="16"/>
  <c r="H1" i="16"/>
  <c r="E23" i="16"/>
  <c r="D23" i="16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AL8" i="1"/>
  <c r="AL7" i="1"/>
  <c r="AL6" i="1"/>
  <c r="AL5" i="1"/>
  <c r="AL4" i="1"/>
  <c r="A4" i="2"/>
  <c r="A2" i="23"/>
  <c r="T73" i="2"/>
  <c r="T74" i="2"/>
  <c r="T75" i="2"/>
  <c r="T76" i="2"/>
  <c r="T77" i="2"/>
  <c r="T78" i="2"/>
  <c r="T79" i="2"/>
  <c r="L73" i="2"/>
  <c r="L74" i="2"/>
  <c r="L75" i="2"/>
  <c r="L76" i="2"/>
  <c r="L77" i="2"/>
  <c r="L78" i="2"/>
  <c r="L79" i="2"/>
  <c r="D73" i="2"/>
  <c r="D74" i="2"/>
  <c r="D75" i="2"/>
  <c r="D76" i="2"/>
  <c r="D77" i="2"/>
  <c r="D78" i="2"/>
  <c r="D79" i="2"/>
  <c r="C73" i="2"/>
  <c r="C74" i="2"/>
  <c r="C75" i="2"/>
  <c r="C76" i="2"/>
  <c r="C77" i="2"/>
  <c r="C78" i="2"/>
  <c r="C79" i="2"/>
  <c r="S73" i="2"/>
  <c r="S74" i="2"/>
  <c r="S75" i="2"/>
  <c r="S76" i="2"/>
  <c r="S77" i="2"/>
  <c r="S78" i="2"/>
  <c r="S79" i="2"/>
  <c r="K73" i="2"/>
  <c r="K74" i="2"/>
  <c r="K75" i="2"/>
  <c r="K76" i="2"/>
  <c r="K77" i="2"/>
  <c r="K78" i="2"/>
  <c r="K79" i="2"/>
  <c r="R79" i="2"/>
  <c r="R73" i="2"/>
  <c r="R74" i="2"/>
  <c r="R75" i="2"/>
  <c r="R76" i="2"/>
  <c r="R77" i="2"/>
  <c r="R78" i="2"/>
  <c r="J79" i="2"/>
  <c r="J73" i="2"/>
  <c r="J74" i="2"/>
  <c r="J75" i="2"/>
  <c r="J76" i="2"/>
  <c r="J77" i="2"/>
  <c r="J78" i="2"/>
  <c r="B79" i="2"/>
  <c r="B73" i="2"/>
  <c r="B74" i="2"/>
  <c r="B75" i="2"/>
  <c r="B76" i="2"/>
  <c r="B77" i="2"/>
  <c r="B78" i="2"/>
  <c r="E74" i="2"/>
  <c r="E75" i="2"/>
  <c r="E76" i="2"/>
  <c r="E77" i="2"/>
  <c r="E78" i="2"/>
  <c r="E79" i="2"/>
  <c r="E73" i="2"/>
  <c r="Q78" i="2"/>
  <c r="Q79" i="2"/>
  <c r="Q73" i="2"/>
  <c r="Q74" i="2"/>
  <c r="Q75" i="2"/>
  <c r="Q76" i="2"/>
  <c r="Q77" i="2"/>
  <c r="I78" i="2"/>
  <c r="I79" i="2"/>
  <c r="I73" i="2"/>
  <c r="I74" i="2"/>
  <c r="I75" i="2"/>
  <c r="I76" i="2"/>
  <c r="I77" i="2"/>
  <c r="X77" i="2"/>
  <c r="X78" i="2"/>
  <c r="X79" i="2"/>
  <c r="X73" i="2"/>
  <c r="X74" i="2"/>
  <c r="X75" i="2"/>
  <c r="X76" i="2"/>
  <c r="P77" i="2"/>
  <c r="P78" i="2"/>
  <c r="P79" i="2"/>
  <c r="P73" i="2"/>
  <c r="P74" i="2"/>
  <c r="P75" i="2"/>
  <c r="P76" i="2"/>
  <c r="H77" i="2"/>
  <c r="H78" i="2"/>
  <c r="H79" i="2"/>
  <c r="H73" i="2"/>
  <c r="H74" i="2"/>
  <c r="H75" i="2"/>
  <c r="H76" i="2"/>
  <c r="U74" i="2"/>
  <c r="U75" i="2"/>
  <c r="U76" i="2"/>
  <c r="U77" i="2"/>
  <c r="U78" i="2"/>
  <c r="U79" i="2"/>
  <c r="U73" i="2"/>
  <c r="W76" i="2"/>
  <c r="W77" i="2"/>
  <c r="W78" i="2"/>
  <c r="W79" i="2"/>
  <c r="W73" i="2"/>
  <c r="W74" i="2"/>
  <c r="W75" i="2"/>
  <c r="O76" i="2"/>
  <c r="O77" i="2"/>
  <c r="O78" i="2"/>
  <c r="O79" i="2"/>
  <c r="O73" i="2"/>
  <c r="O74" i="2"/>
  <c r="O75" i="2"/>
  <c r="G76" i="2"/>
  <c r="G77" i="2"/>
  <c r="G78" i="2"/>
  <c r="G79" i="2"/>
  <c r="G73" i="2"/>
  <c r="G74" i="2"/>
  <c r="G75" i="2"/>
  <c r="V75" i="2"/>
  <c r="V76" i="2"/>
  <c r="V77" i="2"/>
  <c r="V78" i="2"/>
  <c r="V79" i="2"/>
  <c r="V73" i="2"/>
  <c r="V74" i="2"/>
  <c r="N75" i="2"/>
  <c r="N76" i="2"/>
  <c r="N77" i="2"/>
  <c r="N78" i="2"/>
  <c r="N79" i="2"/>
  <c r="N73" i="2"/>
  <c r="N74" i="2"/>
  <c r="F75" i="2"/>
  <c r="F76" i="2"/>
  <c r="F77" i="2"/>
  <c r="F78" i="2"/>
  <c r="F79" i="2"/>
  <c r="F73" i="2"/>
  <c r="F74" i="2"/>
  <c r="M74" i="2"/>
  <c r="M75" i="2"/>
  <c r="M76" i="2"/>
  <c r="M77" i="2"/>
  <c r="M78" i="2"/>
  <c r="M79" i="2"/>
  <c r="M73" i="2"/>
  <c r="F72" i="2"/>
  <c r="N72" i="2"/>
  <c r="V72" i="2"/>
  <c r="R72" i="2"/>
  <c r="J72" i="2"/>
  <c r="C71" i="2"/>
  <c r="P71" i="2"/>
  <c r="L71" i="2"/>
  <c r="Q72" i="2"/>
  <c r="M72" i="2"/>
  <c r="S71" i="2"/>
  <c r="E72" i="2"/>
  <c r="F71" i="2"/>
  <c r="C72" i="2"/>
  <c r="X71" i="2"/>
  <c r="W71" i="2"/>
  <c r="U71" i="2"/>
  <c r="T71" i="2"/>
  <c r="B71" i="2"/>
  <c r="T72" i="2"/>
  <c r="Q71" i="2"/>
  <c r="M71" i="2"/>
  <c r="P72" i="2"/>
  <c r="L72" i="2"/>
  <c r="H72" i="2"/>
  <c r="D72" i="2"/>
  <c r="N71" i="2"/>
  <c r="X72" i="2"/>
  <c r="W72" i="2"/>
  <c r="U72" i="2"/>
  <c r="B72" i="2"/>
  <c r="O71" i="2"/>
  <c r="S72" i="2"/>
  <c r="O72" i="2"/>
  <c r="G72" i="2"/>
  <c r="K71" i="2"/>
  <c r="J71" i="2"/>
  <c r="I71" i="2"/>
  <c r="H71" i="2"/>
  <c r="G71" i="2"/>
  <c r="E71" i="2"/>
  <c r="D71" i="2"/>
  <c r="K72" i="2"/>
  <c r="I72" i="2"/>
  <c r="R71" i="2"/>
  <c r="V71" i="2"/>
  <c r="AM12" i="4" l="1"/>
  <c r="AM10" i="4"/>
  <c r="AM8" i="4"/>
  <c r="AM7" i="4"/>
  <c r="AM6" i="4"/>
  <c r="AM5" i="4"/>
  <c r="I1" i="16"/>
  <c r="F4" i="27"/>
  <c r="F150" i="3"/>
  <c r="G149" i="3"/>
  <c r="G193" i="3"/>
  <c r="F194" i="3"/>
  <c r="D195" i="3"/>
  <c r="C196" i="3"/>
  <c r="C99" i="3"/>
  <c r="D98" i="3"/>
  <c r="G114" i="3"/>
  <c r="F115" i="3"/>
  <c r="J138" i="3"/>
  <c r="I139" i="3"/>
  <c r="D81" i="3"/>
  <c r="C82" i="3"/>
  <c r="F106" i="3"/>
  <c r="G105" i="3"/>
  <c r="J121" i="3"/>
  <c r="I122" i="3"/>
  <c r="G101" i="3"/>
  <c r="F102" i="3"/>
  <c r="J151" i="3"/>
  <c r="I152" i="3"/>
  <c r="D100" i="3"/>
  <c r="C101" i="3"/>
  <c r="G124" i="3"/>
  <c r="F125" i="3"/>
  <c r="C141" i="3"/>
  <c r="D140" i="3"/>
  <c r="J165" i="3"/>
  <c r="I166" i="3"/>
  <c r="J178" i="3"/>
  <c r="I179" i="3"/>
  <c r="D202" i="3"/>
  <c r="C203" i="3"/>
  <c r="I126" i="3"/>
  <c r="J125" i="3"/>
  <c r="J185" i="3"/>
  <c r="I186" i="3"/>
  <c r="F176" i="3"/>
  <c r="G175" i="3"/>
  <c r="D83" i="3"/>
  <c r="C84" i="3"/>
  <c r="G179" i="3"/>
  <c r="F180" i="3"/>
  <c r="I204" i="3"/>
  <c r="J203" i="3"/>
  <c r="G82" i="3"/>
  <c r="F83" i="3"/>
  <c r="J106" i="3"/>
  <c r="I107" i="3"/>
  <c r="C131" i="3"/>
  <c r="D130" i="3"/>
  <c r="J89" i="3"/>
  <c r="I90" i="3"/>
  <c r="D113" i="3"/>
  <c r="C114" i="3"/>
  <c r="F138" i="3"/>
  <c r="G137" i="3"/>
  <c r="G153" i="3"/>
  <c r="F154" i="3"/>
  <c r="I94" i="3"/>
  <c r="J93" i="3"/>
  <c r="D117" i="3"/>
  <c r="C118" i="3"/>
  <c r="G133" i="3"/>
  <c r="F134" i="3"/>
  <c r="D157" i="3"/>
  <c r="C158" i="3"/>
  <c r="D183" i="3"/>
  <c r="C184" i="3"/>
  <c r="G107" i="3"/>
  <c r="F108" i="3"/>
  <c r="J131" i="3"/>
  <c r="I132" i="3"/>
  <c r="D209" i="3"/>
  <c r="C210" i="3"/>
  <c r="G139" i="3"/>
  <c r="F140" i="3"/>
  <c r="J108" i="3"/>
  <c r="I109" i="3"/>
  <c r="D132" i="3"/>
  <c r="C133" i="3"/>
  <c r="D115" i="3"/>
  <c r="C116" i="3"/>
  <c r="G194" i="3"/>
  <c r="F195" i="3"/>
  <c r="D169" i="3"/>
  <c r="C170" i="3"/>
  <c r="D144" i="3"/>
  <c r="C145" i="3"/>
  <c r="C159" i="3"/>
  <c r="D158" i="3"/>
  <c r="D85" i="3"/>
  <c r="C86" i="3"/>
  <c r="G181" i="3"/>
  <c r="F182" i="3"/>
  <c r="C190" i="3"/>
  <c r="D189" i="3"/>
  <c r="J197" i="3"/>
  <c r="I198" i="3"/>
  <c r="J87" i="3"/>
  <c r="I88" i="3"/>
  <c r="G92" i="3"/>
  <c r="F93" i="3"/>
  <c r="D156" i="3"/>
  <c r="C157" i="3"/>
  <c r="I165" i="3"/>
  <c r="J164" i="3"/>
  <c r="G172" i="3"/>
  <c r="F173" i="3"/>
  <c r="J188" i="3"/>
  <c r="I189" i="3"/>
  <c r="F197" i="3"/>
  <c r="G196" i="3"/>
  <c r="D204" i="3"/>
  <c r="C205" i="3"/>
  <c r="J99" i="3"/>
  <c r="I100" i="3"/>
  <c r="J147" i="3"/>
  <c r="I148" i="3"/>
  <c r="G163" i="3"/>
  <c r="F164" i="3"/>
  <c r="C172" i="3"/>
  <c r="D171" i="3"/>
  <c r="D203" i="3"/>
  <c r="C204" i="3"/>
  <c r="G211" i="3"/>
  <c r="F212" i="3"/>
  <c r="C96" i="3"/>
  <c r="D95" i="3"/>
  <c r="J135" i="3"/>
  <c r="I136" i="3"/>
  <c r="J207" i="3"/>
  <c r="I208" i="3"/>
  <c r="D146" i="3"/>
  <c r="C147" i="3"/>
  <c r="J162" i="3"/>
  <c r="I163" i="3"/>
  <c r="F171" i="3"/>
  <c r="G170" i="3"/>
  <c r="D210" i="3"/>
  <c r="C211" i="3"/>
  <c r="J119" i="3"/>
  <c r="I120" i="3"/>
  <c r="I81" i="3"/>
  <c r="J80" i="3"/>
  <c r="G88" i="3"/>
  <c r="F89" i="3"/>
  <c r="I113" i="3"/>
  <c r="J112" i="3"/>
  <c r="G120" i="3"/>
  <c r="F121" i="3"/>
  <c r="D136" i="3"/>
  <c r="C137" i="3"/>
  <c r="C209" i="3"/>
  <c r="D208" i="3"/>
  <c r="J94" i="3"/>
  <c r="I95" i="3"/>
  <c r="F103" i="3"/>
  <c r="G102" i="3"/>
  <c r="D110" i="3"/>
  <c r="C111" i="3"/>
  <c r="J126" i="3"/>
  <c r="I127" i="3"/>
  <c r="F135" i="3"/>
  <c r="G134" i="3"/>
  <c r="G174" i="3"/>
  <c r="F175" i="3"/>
  <c r="D190" i="3"/>
  <c r="C191" i="3"/>
  <c r="I199" i="3"/>
  <c r="J198" i="3"/>
  <c r="G205" i="3"/>
  <c r="F206" i="3"/>
  <c r="C104" i="3"/>
  <c r="D103" i="3"/>
  <c r="I146" i="3"/>
  <c r="J145" i="3"/>
  <c r="J152" i="3"/>
  <c r="I153" i="3"/>
  <c r="G142" i="3"/>
  <c r="F143" i="3"/>
  <c r="C182" i="3"/>
  <c r="D181" i="3"/>
  <c r="J189" i="3"/>
  <c r="I190" i="3"/>
  <c r="G127" i="3"/>
  <c r="F128" i="3"/>
  <c r="G84" i="3"/>
  <c r="F85" i="3"/>
  <c r="D148" i="3"/>
  <c r="C149" i="3"/>
  <c r="I157" i="3"/>
  <c r="J156" i="3"/>
  <c r="G164" i="3"/>
  <c r="F165" i="3"/>
  <c r="J180" i="3"/>
  <c r="I181" i="3"/>
  <c r="F189" i="3"/>
  <c r="G188" i="3"/>
  <c r="D196" i="3"/>
  <c r="C197" i="3"/>
  <c r="J91" i="3"/>
  <c r="I92" i="3"/>
  <c r="G155" i="3"/>
  <c r="F156" i="3"/>
  <c r="C164" i="3"/>
  <c r="D163" i="3"/>
  <c r="J171" i="3"/>
  <c r="I172" i="3"/>
  <c r="J95" i="3"/>
  <c r="I96" i="3"/>
  <c r="J154" i="3"/>
  <c r="I155" i="3"/>
  <c r="F163" i="3"/>
  <c r="G162" i="3"/>
  <c r="D170" i="3"/>
  <c r="C171" i="3"/>
  <c r="G80" i="3"/>
  <c r="F81" i="3"/>
  <c r="I105" i="3"/>
  <c r="J104" i="3"/>
  <c r="G112" i="3"/>
  <c r="F113" i="3"/>
  <c r="D128" i="3"/>
  <c r="C129" i="3"/>
  <c r="I137" i="3"/>
  <c r="J136" i="3"/>
  <c r="G111" i="3"/>
  <c r="F112" i="3"/>
  <c r="J86" i="3"/>
  <c r="I87" i="3"/>
  <c r="F95" i="3"/>
  <c r="G94" i="3"/>
  <c r="D102" i="3"/>
  <c r="C103" i="3"/>
  <c r="J118" i="3"/>
  <c r="I119" i="3"/>
  <c r="F127" i="3"/>
  <c r="G126" i="3"/>
  <c r="D134" i="3"/>
  <c r="C135" i="3"/>
  <c r="D182" i="3"/>
  <c r="C183" i="3"/>
  <c r="I191" i="3"/>
  <c r="J190" i="3"/>
  <c r="G198" i="3"/>
  <c r="F199" i="3"/>
  <c r="J103" i="3"/>
  <c r="I104" i="3"/>
  <c r="D104" i="3"/>
  <c r="C105" i="3"/>
  <c r="J176" i="3"/>
  <c r="I177" i="3"/>
  <c r="J191" i="3"/>
  <c r="I192" i="3"/>
  <c r="I86" i="3"/>
  <c r="J85" i="3"/>
  <c r="G93" i="3"/>
  <c r="F94" i="3"/>
  <c r="D109" i="3"/>
  <c r="C110" i="3"/>
  <c r="I118" i="3"/>
  <c r="J117" i="3"/>
  <c r="G125" i="3"/>
  <c r="F126" i="3"/>
  <c r="F142" i="3"/>
  <c r="G141" i="3"/>
  <c r="D149" i="3"/>
  <c r="C150" i="3"/>
  <c r="J157" i="3"/>
  <c r="I158" i="3"/>
  <c r="C174" i="3"/>
  <c r="D173" i="3"/>
  <c r="F214" i="3"/>
  <c r="G213" i="3"/>
  <c r="G185" i="3"/>
  <c r="F186" i="3"/>
  <c r="D193" i="3"/>
  <c r="C194" i="3"/>
  <c r="G151" i="3"/>
  <c r="F152" i="3"/>
  <c r="J183" i="3"/>
  <c r="I184" i="3"/>
  <c r="D92" i="3"/>
  <c r="C93" i="3"/>
  <c r="J100" i="3"/>
  <c r="I101" i="3"/>
  <c r="G116" i="3"/>
  <c r="F117" i="3"/>
  <c r="D124" i="3"/>
  <c r="C125" i="3"/>
  <c r="J132" i="3"/>
  <c r="I133" i="3"/>
  <c r="I213" i="3"/>
  <c r="J212" i="3"/>
  <c r="D175" i="3"/>
  <c r="C176" i="3"/>
  <c r="G99" i="3"/>
  <c r="F100" i="3"/>
  <c r="D107" i="3"/>
  <c r="C108" i="3"/>
  <c r="J123" i="3"/>
  <c r="I124" i="3"/>
  <c r="G131" i="3"/>
  <c r="F132" i="3"/>
  <c r="D139" i="3"/>
  <c r="C140" i="3"/>
  <c r="D187" i="3"/>
  <c r="C188" i="3"/>
  <c r="I196" i="3"/>
  <c r="J195" i="3"/>
  <c r="G203" i="3"/>
  <c r="F204" i="3"/>
  <c r="J201" i="3"/>
  <c r="I202" i="3"/>
  <c r="I210" i="3"/>
  <c r="J209" i="3"/>
  <c r="J167" i="3"/>
  <c r="I168" i="3"/>
  <c r="F208" i="3"/>
  <c r="G207" i="3"/>
  <c r="C91" i="3"/>
  <c r="D90" i="3"/>
  <c r="J98" i="3"/>
  <c r="I99" i="3"/>
  <c r="G106" i="3"/>
  <c r="F107" i="3"/>
  <c r="C123" i="3"/>
  <c r="D122" i="3"/>
  <c r="J130" i="3"/>
  <c r="I131" i="3"/>
  <c r="G138" i="3"/>
  <c r="F139" i="3"/>
  <c r="G186" i="3"/>
  <c r="F187" i="3"/>
  <c r="D194" i="3"/>
  <c r="C195" i="3"/>
  <c r="J202" i="3"/>
  <c r="I203" i="3"/>
  <c r="J81" i="3"/>
  <c r="I82" i="3"/>
  <c r="F98" i="3"/>
  <c r="G97" i="3"/>
  <c r="D105" i="3"/>
  <c r="C106" i="3"/>
  <c r="J113" i="3"/>
  <c r="I114" i="3"/>
  <c r="F130" i="3"/>
  <c r="G129" i="3"/>
  <c r="D137" i="3"/>
  <c r="C138" i="3"/>
  <c r="G145" i="3"/>
  <c r="F146" i="3"/>
  <c r="D161" i="3"/>
  <c r="C162" i="3"/>
  <c r="I170" i="3"/>
  <c r="J169" i="3"/>
  <c r="D177" i="3"/>
  <c r="C178" i="3"/>
  <c r="J143" i="3"/>
  <c r="I144" i="3"/>
  <c r="D96" i="3"/>
  <c r="C97" i="3"/>
  <c r="J144" i="3"/>
  <c r="I145" i="3"/>
  <c r="G160" i="3"/>
  <c r="F161" i="3"/>
  <c r="D168" i="3"/>
  <c r="C169" i="3"/>
  <c r="G176" i="3"/>
  <c r="F177" i="3"/>
  <c r="C193" i="3"/>
  <c r="D192" i="3"/>
  <c r="J200" i="3"/>
  <c r="I201" i="3"/>
  <c r="J208" i="3"/>
  <c r="I209" i="3"/>
  <c r="G159" i="3"/>
  <c r="F160" i="3"/>
  <c r="C151" i="3"/>
  <c r="D150" i="3"/>
  <c r="J158" i="3"/>
  <c r="I159" i="3"/>
  <c r="G166" i="3"/>
  <c r="F167" i="3"/>
  <c r="C215" i="3"/>
  <c r="D214" i="3"/>
  <c r="F200" i="3"/>
  <c r="G199" i="3"/>
  <c r="G184" i="3"/>
  <c r="F185" i="3"/>
  <c r="J166" i="3"/>
  <c r="I167" i="3"/>
  <c r="D101" i="3"/>
  <c r="C102" i="3"/>
  <c r="J181" i="3"/>
  <c r="I182" i="3"/>
  <c r="G197" i="3"/>
  <c r="F198" i="3"/>
  <c r="G87" i="3"/>
  <c r="F88" i="3"/>
  <c r="C128" i="3"/>
  <c r="D127" i="3"/>
  <c r="I149" i="3"/>
  <c r="J148" i="3"/>
  <c r="G156" i="3"/>
  <c r="F157" i="3"/>
  <c r="D172" i="3"/>
  <c r="C173" i="3"/>
  <c r="F181" i="3"/>
  <c r="G180" i="3"/>
  <c r="D188" i="3"/>
  <c r="C189" i="3"/>
  <c r="D212" i="3"/>
  <c r="C213" i="3"/>
  <c r="J83" i="3"/>
  <c r="I84" i="3"/>
  <c r="G147" i="3"/>
  <c r="F148" i="3"/>
  <c r="C156" i="3"/>
  <c r="D155" i="3"/>
  <c r="J163" i="3"/>
  <c r="I164" i="3"/>
  <c r="G135" i="3"/>
  <c r="F136" i="3"/>
  <c r="J146" i="3"/>
  <c r="I147" i="3"/>
  <c r="F155" i="3"/>
  <c r="G154" i="3"/>
  <c r="D162" i="3"/>
  <c r="C163" i="3"/>
  <c r="J210" i="3"/>
  <c r="I211" i="3"/>
  <c r="G119" i="3"/>
  <c r="F120" i="3"/>
  <c r="I97" i="3"/>
  <c r="J96" i="3"/>
  <c r="G104" i="3"/>
  <c r="F105" i="3"/>
  <c r="D120" i="3"/>
  <c r="C121" i="3"/>
  <c r="I129" i="3"/>
  <c r="J128" i="3"/>
  <c r="G136" i="3"/>
  <c r="F137" i="3"/>
  <c r="C112" i="3"/>
  <c r="D111" i="3"/>
  <c r="F87" i="3"/>
  <c r="G86" i="3"/>
  <c r="D94" i="3"/>
  <c r="C95" i="3"/>
  <c r="J110" i="3"/>
  <c r="I111" i="3"/>
  <c r="F119" i="3"/>
  <c r="G118" i="3"/>
  <c r="D126" i="3"/>
  <c r="C127" i="3"/>
  <c r="D174" i="3"/>
  <c r="C175" i="3"/>
  <c r="I183" i="3"/>
  <c r="J182" i="3"/>
  <c r="G190" i="3"/>
  <c r="F191" i="3"/>
  <c r="D205" i="3"/>
  <c r="C206" i="3"/>
  <c r="G177" i="3"/>
  <c r="F178" i="3"/>
  <c r="G168" i="3"/>
  <c r="F169" i="3"/>
  <c r="G206" i="3"/>
  <c r="F207" i="3"/>
  <c r="G85" i="3"/>
  <c r="F86" i="3"/>
  <c r="I110" i="3"/>
  <c r="J109" i="3"/>
  <c r="G117" i="3"/>
  <c r="F118" i="3"/>
  <c r="D133" i="3"/>
  <c r="C134" i="3"/>
  <c r="D141" i="3"/>
  <c r="C142" i="3"/>
  <c r="J149" i="3"/>
  <c r="I150" i="3"/>
  <c r="F166" i="3"/>
  <c r="G165" i="3"/>
  <c r="J173" i="3"/>
  <c r="I174" i="3"/>
  <c r="D213" i="3"/>
  <c r="C214" i="3"/>
  <c r="D185" i="3"/>
  <c r="C186" i="3"/>
  <c r="D151" i="3"/>
  <c r="C152" i="3"/>
  <c r="D84" i="3"/>
  <c r="C85" i="3"/>
  <c r="J92" i="3"/>
  <c r="I93" i="3"/>
  <c r="G108" i="3"/>
  <c r="F109" i="3"/>
  <c r="D116" i="3"/>
  <c r="C117" i="3"/>
  <c r="J124" i="3"/>
  <c r="I125" i="3"/>
  <c r="J140" i="3"/>
  <c r="I141" i="3"/>
  <c r="J204" i="3"/>
  <c r="I205" i="3"/>
  <c r="J175" i="3"/>
  <c r="I176" i="3"/>
  <c r="G91" i="3"/>
  <c r="F92" i="3"/>
  <c r="D99" i="3"/>
  <c r="C100" i="3"/>
  <c r="J115" i="3"/>
  <c r="I116" i="3"/>
  <c r="G123" i="3"/>
  <c r="F124" i="3"/>
  <c r="D131" i="3"/>
  <c r="C132" i="3"/>
  <c r="D179" i="3"/>
  <c r="C180" i="3"/>
  <c r="I188" i="3"/>
  <c r="J187" i="3"/>
  <c r="G195" i="3"/>
  <c r="F196" i="3"/>
  <c r="C212" i="3"/>
  <c r="D211" i="3"/>
  <c r="G201" i="3"/>
  <c r="F202" i="3"/>
  <c r="G209" i="3"/>
  <c r="F210" i="3"/>
  <c r="G167" i="3"/>
  <c r="F168" i="3"/>
  <c r="D207" i="3"/>
  <c r="C208" i="3"/>
  <c r="C83" i="3"/>
  <c r="D82" i="3"/>
  <c r="J90" i="3"/>
  <c r="I91" i="3"/>
  <c r="G98" i="3"/>
  <c r="F99" i="3"/>
  <c r="C115" i="3"/>
  <c r="D114" i="3"/>
  <c r="J122" i="3"/>
  <c r="I123" i="3"/>
  <c r="G130" i="3"/>
  <c r="F131" i="3"/>
  <c r="G178" i="3"/>
  <c r="F179" i="3"/>
  <c r="D186" i="3"/>
  <c r="C187" i="3"/>
  <c r="J194" i="3"/>
  <c r="I195" i="3"/>
  <c r="F90" i="3"/>
  <c r="G89" i="3"/>
  <c r="D97" i="3"/>
  <c r="C98" i="3"/>
  <c r="J105" i="3"/>
  <c r="I106" i="3"/>
  <c r="F122" i="3"/>
  <c r="G121" i="3"/>
  <c r="D129" i="3"/>
  <c r="C130" i="3"/>
  <c r="J137" i="3"/>
  <c r="I138" i="3"/>
  <c r="D153" i="3"/>
  <c r="C154" i="3"/>
  <c r="I162" i="3"/>
  <c r="J161" i="3"/>
  <c r="G169" i="3"/>
  <c r="F170" i="3"/>
  <c r="G143" i="3"/>
  <c r="F144" i="3"/>
  <c r="D88" i="3"/>
  <c r="C89" i="3"/>
  <c r="G152" i="3"/>
  <c r="F153" i="3"/>
  <c r="D160" i="3"/>
  <c r="C161" i="3"/>
  <c r="J168" i="3"/>
  <c r="I169" i="3"/>
  <c r="C185" i="3"/>
  <c r="D184" i="3"/>
  <c r="J192" i="3"/>
  <c r="I193" i="3"/>
  <c r="G200" i="3"/>
  <c r="F201" i="3"/>
  <c r="D159" i="3"/>
  <c r="C160" i="3"/>
  <c r="C143" i="3"/>
  <c r="D142" i="3"/>
  <c r="J150" i="3"/>
  <c r="I151" i="3"/>
  <c r="G158" i="3"/>
  <c r="F159" i="3"/>
  <c r="C207" i="3"/>
  <c r="D206" i="3"/>
  <c r="I215" i="3"/>
  <c r="J214" i="3"/>
  <c r="J205" i="3"/>
  <c r="I206" i="3"/>
  <c r="F192" i="3"/>
  <c r="G191" i="3"/>
  <c r="D199" i="3"/>
  <c r="C200" i="3"/>
  <c r="C201" i="3"/>
  <c r="D200" i="3"/>
  <c r="D93" i="3"/>
  <c r="C94" i="3"/>
  <c r="G189" i="3"/>
  <c r="F190" i="3"/>
  <c r="C198" i="3"/>
  <c r="D197" i="3"/>
  <c r="C88" i="3"/>
  <c r="D87" i="3"/>
  <c r="J127" i="3"/>
  <c r="I128" i="3"/>
  <c r="G100" i="3"/>
  <c r="F101" i="3"/>
  <c r="G148" i="3"/>
  <c r="F149" i="3"/>
  <c r="D164" i="3"/>
  <c r="C165" i="3"/>
  <c r="J172" i="3"/>
  <c r="I173" i="3"/>
  <c r="D180" i="3"/>
  <c r="C181" i="3"/>
  <c r="J196" i="3"/>
  <c r="I197" i="3"/>
  <c r="F205" i="3"/>
  <c r="G204" i="3"/>
  <c r="G212" i="3"/>
  <c r="F213" i="3"/>
  <c r="C148" i="3"/>
  <c r="D147" i="3"/>
  <c r="J155" i="3"/>
  <c r="I156" i="3"/>
  <c r="G171" i="3"/>
  <c r="F172" i="3"/>
  <c r="G95" i="3"/>
  <c r="F96" i="3"/>
  <c r="C136" i="3"/>
  <c r="D135" i="3"/>
  <c r="F147" i="3"/>
  <c r="G146" i="3"/>
  <c r="D154" i="3"/>
  <c r="C155" i="3"/>
  <c r="J170" i="3"/>
  <c r="I171" i="3"/>
  <c r="F211" i="3"/>
  <c r="G210" i="3"/>
  <c r="C120" i="3"/>
  <c r="D119" i="3"/>
  <c r="I89" i="3"/>
  <c r="J88" i="3"/>
  <c r="G96" i="3"/>
  <c r="F97" i="3"/>
  <c r="D112" i="3"/>
  <c r="C113" i="3"/>
  <c r="I121" i="3"/>
  <c r="J120" i="3"/>
  <c r="G128" i="3"/>
  <c r="F129" i="3"/>
  <c r="G208" i="3"/>
  <c r="F209" i="3"/>
  <c r="J111" i="3"/>
  <c r="I112" i="3"/>
  <c r="D86" i="3"/>
  <c r="C87" i="3"/>
  <c r="J102" i="3"/>
  <c r="I103" i="3"/>
  <c r="F111" i="3"/>
  <c r="G110" i="3"/>
  <c r="D118" i="3"/>
  <c r="C119" i="3"/>
  <c r="J134" i="3"/>
  <c r="I135" i="3"/>
  <c r="I175" i="3"/>
  <c r="J174" i="3"/>
  <c r="G182" i="3"/>
  <c r="F183" i="3"/>
  <c r="D198" i="3"/>
  <c r="C199" i="3"/>
  <c r="G103" i="3"/>
  <c r="F104" i="3"/>
  <c r="J159" i="3"/>
  <c r="I160" i="3"/>
  <c r="I102" i="3"/>
  <c r="J101" i="3"/>
  <c r="G109" i="3"/>
  <c r="F110" i="3"/>
  <c r="D125" i="3"/>
  <c r="C126" i="3"/>
  <c r="I134" i="3"/>
  <c r="J133" i="3"/>
  <c r="J141" i="3"/>
  <c r="I142" i="3"/>
  <c r="F158" i="3"/>
  <c r="G157" i="3"/>
  <c r="D165" i="3"/>
  <c r="C166" i="3"/>
  <c r="G173" i="3"/>
  <c r="F174" i="3"/>
  <c r="J213" i="3"/>
  <c r="I214" i="3"/>
  <c r="J193" i="3"/>
  <c r="I194" i="3"/>
  <c r="F184" i="3"/>
  <c r="G183" i="3"/>
  <c r="J84" i="3"/>
  <c r="I85" i="3"/>
  <c r="D108" i="3"/>
  <c r="C109" i="3"/>
  <c r="J116" i="3"/>
  <c r="I117" i="3"/>
  <c r="G132" i="3"/>
  <c r="F133" i="3"/>
  <c r="G140" i="3"/>
  <c r="F141" i="3"/>
  <c r="G83" i="3"/>
  <c r="F84" i="3"/>
  <c r="D91" i="3"/>
  <c r="C92" i="3"/>
  <c r="J107" i="3"/>
  <c r="I108" i="3"/>
  <c r="G115" i="3"/>
  <c r="F116" i="3"/>
  <c r="D123" i="3"/>
  <c r="C124" i="3"/>
  <c r="J139" i="3"/>
  <c r="I140" i="3"/>
  <c r="I180" i="3"/>
  <c r="J179" i="3"/>
  <c r="G187" i="3"/>
  <c r="F188" i="3"/>
  <c r="J211" i="3"/>
  <c r="I212" i="3"/>
  <c r="D201" i="3"/>
  <c r="C202" i="3"/>
  <c r="D167" i="3"/>
  <c r="C168" i="3"/>
  <c r="J82" i="3"/>
  <c r="I83" i="3"/>
  <c r="G90" i="3"/>
  <c r="F91" i="3"/>
  <c r="C107" i="3"/>
  <c r="D106" i="3"/>
  <c r="J114" i="3"/>
  <c r="I115" i="3"/>
  <c r="G122" i="3"/>
  <c r="F123" i="3"/>
  <c r="C139" i="3"/>
  <c r="D138" i="3"/>
  <c r="D178" i="3"/>
  <c r="C179" i="3"/>
  <c r="J186" i="3"/>
  <c r="I187" i="3"/>
  <c r="G202" i="3"/>
  <c r="F203" i="3"/>
  <c r="F82" i="3"/>
  <c r="G81" i="3"/>
  <c r="D89" i="3"/>
  <c r="C90" i="3"/>
  <c r="J97" i="3"/>
  <c r="I98" i="3"/>
  <c r="F114" i="3"/>
  <c r="G113" i="3"/>
  <c r="D121" i="3"/>
  <c r="C122" i="3"/>
  <c r="J129" i="3"/>
  <c r="I130" i="3"/>
  <c r="D145" i="3"/>
  <c r="C146" i="3"/>
  <c r="I154" i="3"/>
  <c r="J153" i="3"/>
  <c r="G161" i="3"/>
  <c r="F162" i="3"/>
  <c r="J177" i="3"/>
  <c r="I178" i="3"/>
  <c r="D143" i="3"/>
  <c r="C144" i="3"/>
  <c r="D80" i="3"/>
  <c r="C81" i="3"/>
  <c r="G144" i="3"/>
  <c r="F145" i="3"/>
  <c r="D152" i="3"/>
  <c r="C153" i="3"/>
  <c r="J160" i="3"/>
  <c r="I161" i="3"/>
  <c r="C177" i="3"/>
  <c r="D176" i="3"/>
  <c r="J184" i="3"/>
  <c r="I185" i="3"/>
  <c r="G192" i="3"/>
  <c r="F193" i="3"/>
  <c r="J142" i="3"/>
  <c r="I143" i="3"/>
  <c r="G150" i="3"/>
  <c r="F151" i="3"/>
  <c r="C167" i="3"/>
  <c r="D166" i="3"/>
  <c r="I207" i="3"/>
  <c r="J206" i="3"/>
  <c r="G214" i="3"/>
  <c r="F215" i="3"/>
  <c r="D191" i="3"/>
  <c r="C192" i="3"/>
  <c r="J199" i="3"/>
  <c r="I200" i="3"/>
  <c r="R24" i="23"/>
  <c r="S24" i="23" s="1"/>
  <c r="I1" i="19"/>
  <c r="I1" i="17"/>
  <c r="R10" i="23"/>
  <c r="S10" i="23" s="1"/>
  <c r="R11" i="23"/>
  <c r="S11" i="23" s="1"/>
  <c r="R15" i="23"/>
  <c r="S15" i="23" s="1"/>
  <c r="R14" i="23"/>
  <c r="S14" i="23" s="1"/>
  <c r="R13" i="23"/>
  <c r="S13" i="23" s="1"/>
  <c r="R12" i="23"/>
  <c r="S12" i="23" s="1"/>
  <c r="R23" i="23"/>
  <c r="S23" i="23" s="1"/>
  <c r="R22" i="23"/>
  <c r="S22" i="23" s="1"/>
  <c r="R21" i="23"/>
  <c r="S21" i="23" s="1"/>
  <c r="R9" i="23"/>
  <c r="S9" i="23" s="1"/>
  <c r="R20" i="23"/>
  <c r="S20" i="23" s="1"/>
  <c r="R8" i="23"/>
  <c r="S8" i="23" s="1"/>
  <c r="R19" i="23"/>
  <c r="S19" i="23" s="1"/>
  <c r="R7" i="23"/>
  <c r="S7" i="23" s="1"/>
  <c r="R18" i="23"/>
  <c r="S18" i="23" s="1"/>
  <c r="R6" i="23"/>
  <c r="S6" i="23" s="1"/>
  <c r="R17" i="23"/>
  <c r="S17" i="23" s="1"/>
  <c r="R5" i="23"/>
  <c r="S5" i="23" s="1"/>
  <c r="R16" i="23"/>
  <c r="S16" i="23" s="1"/>
  <c r="R4" i="23"/>
  <c r="S4" i="23" s="1"/>
  <c r="R3" i="23"/>
  <c r="S3" i="23" s="1"/>
  <c r="V32" i="2"/>
  <c r="R33" i="2"/>
  <c r="J13" i="21"/>
  <c r="P56" i="2"/>
  <c r="D33" i="2"/>
  <c r="O33" i="2"/>
  <c r="V64" i="2"/>
  <c r="K16" i="21"/>
  <c r="X63" i="2"/>
  <c r="X47" i="2"/>
  <c r="C28" i="2"/>
  <c r="H30" i="2"/>
  <c r="M67" i="2"/>
  <c r="B42" i="2"/>
  <c r="Q41" i="2"/>
  <c r="W31" i="2"/>
  <c r="U29" i="2"/>
  <c r="Y47" i="2"/>
  <c r="N58" i="2"/>
  <c r="T45" i="2"/>
  <c r="G37" i="2"/>
  <c r="F54" i="2"/>
  <c r="F30" i="2"/>
  <c r="F68" i="2"/>
  <c r="C29" i="2"/>
  <c r="L51" i="2"/>
  <c r="R51" i="2"/>
  <c r="O55" i="2"/>
  <c r="C68" i="2"/>
  <c r="J46" i="2"/>
  <c r="M42" i="2"/>
  <c r="G69" i="2"/>
  <c r="V65" i="2"/>
  <c r="D70" i="2"/>
  <c r="O66" i="2"/>
  <c r="S42" i="2"/>
  <c r="P44" i="2"/>
  <c r="G53" i="2"/>
  <c r="K48" i="2"/>
  <c r="K39" i="2"/>
  <c r="J58" i="2"/>
  <c r="X45" i="2"/>
  <c r="G66" i="2"/>
  <c r="W70" i="2"/>
  <c r="F42" i="2"/>
  <c r="T53" i="2"/>
  <c r="Q28" i="2"/>
  <c r="B40" i="2"/>
  <c r="K61" i="2"/>
  <c r="U68" i="2"/>
  <c r="E53" i="2"/>
  <c r="I57" i="2"/>
  <c r="S61" i="2"/>
  <c r="Q44" i="2"/>
  <c r="B28" i="2"/>
  <c r="Y52" i="2"/>
  <c r="R64" i="2"/>
  <c r="R63" i="2"/>
  <c r="B30" i="2"/>
  <c r="B33" i="2"/>
  <c r="Q63" i="2"/>
  <c r="B55" i="2"/>
  <c r="U48" i="2"/>
  <c r="C33" i="2"/>
  <c r="L70" i="2"/>
  <c r="B58" i="2"/>
  <c r="S31" i="2"/>
  <c r="B63" i="2"/>
  <c r="O41" i="2"/>
  <c r="N55" i="2"/>
  <c r="D58" i="2"/>
  <c r="H48" i="2"/>
  <c r="W43" i="2"/>
  <c r="F69" i="2"/>
  <c r="N45" i="2"/>
  <c r="J52" i="2"/>
  <c r="O70" i="2"/>
  <c r="D53" i="2"/>
  <c r="J35" i="2"/>
  <c r="X41" i="2"/>
  <c r="B65" i="2"/>
  <c r="O60" i="2"/>
  <c r="K49" i="2"/>
  <c r="L29" i="2"/>
  <c r="D60" i="2"/>
  <c r="V59" i="2"/>
  <c r="F50" i="2"/>
  <c r="T67" i="2"/>
  <c r="M30" i="2"/>
  <c r="Q45" i="2"/>
  <c r="V43" i="2"/>
  <c r="E61" i="2"/>
  <c r="T46" i="2"/>
  <c r="P60" i="2"/>
  <c r="C59" i="2"/>
  <c r="R55" i="2"/>
  <c r="F49" i="2"/>
  <c r="S50" i="2"/>
  <c r="R48" i="2"/>
  <c r="W58" i="2"/>
  <c r="Q59" i="2"/>
  <c r="D32" i="2"/>
  <c r="E37" i="2"/>
  <c r="Q30" i="2"/>
  <c r="T49" i="2"/>
  <c r="H32" i="2"/>
  <c r="X35" i="2"/>
  <c r="N54" i="2"/>
  <c r="Y45" i="2"/>
  <c r="K60" i="2"/>
  <c r="R39" i="2"/>
  <c r="H43" i="2"/>
  <c r="M52" i="2"/>
  <c r="I50" i="2"/>
  <c r="N37" i="2"/>
  <c r="S29" i="2"/>
  <c r="Q53" i="2"/>
  <c r="I44" i="2"/>
  <c r="E38" i="2"/>
  <c r="Y32" i="2"/>
  <c r="D44" i="2"/>
  <c r="I68" i="2"/>
  <c r="H64" i="2"/>
  <c r="H68" i="2"/>
  <c r="Q42" i="2"/>
  <c r="U35" i="2"/>
  <c r="E65" i="2"/>
  <c r="E33" i="2"/>
  <c r="T69" i="2"/>
  <c r="I64" i="2"/>
  <c r="X44" i="2"/>
  <c r="B32" i="2"/>
  <c r="D40" i="2"/>
  <c r="W46" i="2"/>
  <c r="N62" i="2"/>
  <c r="M34" i="2"/>
  <c r="I56" i="2"/>
  <c r="W55" i="2"/>
  <c r="G28" i="2"/>
  <c r="G65" i="2"/>
  <c r="T50" i="2"/>
  <c r="J53" i="2"/>
  <c r="E62" i="2"/>
  <c r="R42" i="2"/>
  <c r="L44" i="2"/>
  <c r="M60" i="2"/>
  <c r="W61" i="2"/>
  <c r="L32" i="2"/>
  <c r="H51" i="2"/>
  <c r="J43" i="2"/>
  <c r="C66" i="2"/>
  <c r="B35" i="2"/>
  <c r="L37" i="2"/>
  <c r="L47" i="2"/>
  <c r="G47" i="2"/>
  <c r="C53" i="2"/>
  <c r="N31" i="2"/>
  <c r="O54" i="2"/>
  <c r="N28" i="2"/>
  <c r="K70" i="2"/>
  <c r="W65" i="2"/>
  <c r="H59" i="2"/>
  <c r="B51" i="2"/>
  <c r="S33" i="2"/>
  <c r="R41" i="2"/>
  <c r="C64" i="2"/>
  <c r="L40" i="2"/>
  <c r="J37" i="2"/>
  <c r="M59" i="2"/>
  <c r="R69" i="2"/>
  <c r="X65" i="2"/>
  <c r="Y36" i="2"/>
  <c r="D35" i="2"/>
  <c r="N35" i="2"/>
  <c r="D41" i="2"/>
  <c r="Y33" i="2"/>
  <c r="S41" i="2"/>
  <c r="W57" i="2"/>
  <c r="S69" i="2"/>
  <c r="K43" i="2"/>
  <c r="J50" i="2"/>
  <c r="L36" i="2"/>
  <c r="F39" i="2"/>
  <c r="C63" i="2"/>
  <c r="I42" i="2"/>
  <c r="V37" i="2"/>
  <c r="P55" i="2"/>
  <c r="E40" i="2"/>
  <c r="J56" i="2"/>
  <c r="H46" i="2"/>
  <c r="H52" i="2"/>
  <c r="E57" i="2"/>
  <c r="X60" i="2"/>
  <c r="M61" i="2"/>
  <c r="W42" i="2"/>
  <c r="B37" i="2"/>
  <c r="P41" i="2"/>
  <c r="O30" i="2"/>
  <c r="G68" i="2"/>
  <c r="D42" i="2"/>
  <c r="P70" i="2"/>
  <c r="N56" i="2"/>
  <c r="I41" i="2"/>
  <c r="R50" i="2"/>
  <c r="V28" i="2"/>
  <c r="Y58" i="2"/>
  <c r="C49" i="2"/>
  <c r="B54" i="2"/>
  <c r="B66" i="2"/>
  <c r="C30" i="2"/>
  <c r="S49" i="2"/>
  <c r="W54" i="2"/>
  <c r="R28" i="2"/>
  <c r="P45" i="2"/>
  <c r="C55" i="2"/>
  <c r="J65" i="2"/>
  <c r="G55" i="2"/>
  <c r="E49" i="2"/>
  <c r="B39" i="2"/>
  <c r="Y29" i="2"/>
  <c r="L61" i="2"/>
  <c r="S35" i="2"/>
  <c r="P61" i="2"/>
  <c r="N61" i="2"/>
  <c r="J49" i="2"/>
  <c r="Y35" i="2"/>
  <c r="K40" i="2"/>
  <c r="I67" i="2"/>
  <c r="I70" i="2"/>
  <c r="D37" i="2"/>
  <c r="D52" i="2"/>
  <c r="G52" i="2"/>
  <c r="C39" i="2"/>
  <c r="V60" i="2"/>
  <c r="P50" i="2"/>
  <c r="M66" i="2"/>
  <c r="T47" i="2"/>
  <c r="T62" i="2"/>
  <c r="M70" i="2"/>
  <c r="V54" i="2"/>
  <c r="F29" i="2"/>
  <c r="J16" i="21"/>
  <c r="O43" i="2"/>
  <c r="H53" i="2"/>
  <c r="U32" i="2"/>
  <c r="S52" i="2"/>
  <c r="Q64" i="2"/>
  <c r="L42" i="2"/>
  <c r="Y28" i="2"/>
  <c r="I65" i="2"/>
  <c r="Q32" i="2"/>
  <c r="U34" i="2"/>
  <c r="F67" i="2"/>
  <c r="U52" i="2"/>
  <c r="Q60" i="2"/>
  <c r="R52" i="2"/>
  <c r="G34" i="2"/>
  <c r="R32" i="2"/>
  <c r="H37" i="2"/>
  <c r="Q47" i="2"/>
  <c r="I53" i="2"/>
  <c r="L50" i="2"/>
  <c r="P68" i="2"/>
  <c r="J67" i="2"/>
  <c r="I30" i="2"/>
  <c r="Q29" i="2"/>
  <c r="J42" i="2"/>
  <c r="R47" i="2"/>
  <c r="O48" i="2"/>
  <c r="R59" i="2"/>
  <c r="J45" i="2"/>
  <c r="O31" i="2"/>
  <c r="Q50" i="2"/>
  <c r="J66" i="2"/>
  <c r="B48" i="2"/>
  <c r="P32" i="2"/>
  <c r="C70" i="2"/>
  <c r="D67" i="2"/>
  <c r="S30" i="2"/>
  <c r="D56" i="2"/>
  <c r="F70" i="2"/>
  <c r="L60" i="2"/>
  <c r="B61" i="2"/>
  <c r="G50" i="2"/>
  <c r="F60" i="2"/>
  <c r="I54" i="2"/>
  <c r="U66" i="2"/>
  <c r="C65" i="2"/>
  <c r="Y59" i="2"/>
  <c r="T59" i="2"/>
  <c r="M54" i="2"/>
  <c r="E58" i="2"/>
  <c r="I29" i="2"/>
  <c r="R49" i="2"/>
  <c r="T63" i="2"/>
  <c r="R68" i="2"/>
  <c r="H49" i="2"/>
  <c r="X58" i="2"/>
  <c r="S70" i="2"/>
  <c r="P62" i="2"/>
  <c r="F37" i="2"/>
  <c r="F41" i="2"/>
  <c r="K50" i="2"/>
  <c r="V61" i="2"/>
  <c r="O62" i="2"/>
  <c r="D68" i="2"/>
  <c r="M56" i="2"/>
  <c r="T29" i="2"/>
  <c r="U61" i="2"/>
  <c r="N53" i="2"/>
  <c r="Y50" i="2"/>
  <c r="T32" i="2"/>
  <c r="U44" i="2"/>
  <c r="Y31" i="2"/>
  <c r="C41" i="2"/>
  <c r="S59" i="2"/>
  <c r="M37" i="2"/>
  <c r="J28" i="2"/>
  <c r="N44" i="2"/>
  <c r="C48" i="2"/>
  <c r="O50" i="2"/>
  <c r="O64" i="2"/>
  <c r="T65" i="2"/>
  <c r="G63" i="2"/>
  <c r="U31" i="2"/>
  <c r="R66" i="2"/>
  <c r="N51" i="2"/>
  <c r="I60" i="2"/>
  <c r="F46" i="2"/>
  <c r="L64" i="2"/>
  <c r="D63" i="2"/>
  <c r="R36" i="2"/>
  <c r="O46" i="2"/>
  <c r="U46" i="2"/>
  <c r="T34" i="2"/>
  <c r="E55" i="2"/>
  <c r="Q39" i="2"/>
  <c r="N34" i="2"/>
  <c r="S68" i="2"/>
  <c r="T39" i="2"/>
  <c r="D65" i="2"/>
  <c r="F52" i="2"/>
  <c r="O38" i="2"/>
  <c r="X69" i="2"/>
  <c r="E69" i="2"/>
  <c r="Y57" i="2"/>
  <c r="T66" i="2"/>
  <c r="U42" i="2"/>
  <c r="U64" i="2"/>
  <c r="R31" i="2"/>
  <c r="E44" i="2"/>
  <c r="O61" i="2"/>
  <c r="Q68" i="2"/>
  <c r="F34" i="2"/>
  <c r="W50" i="2"/>
  <c r="O49" i="2"/>
  <c r="J48" i="2"/>
  <c r="E67" i="2"/>
  <c r="N38" i="2"/>
  <c r="C40" i="2"/>
  <c r="D43" i="2"/>
  <c r="E42" i="2"/>
  <c r="P39" i="2"/>
  <c r="S56" i="2"/>
  <c r="L34" i="2"/>
  <c r="G67" i="2"/>
  <c r="Y53" i="2"/>
  <c r="K51" i="2"/>
  <c r="P46" i="2"/>
  <c r="H47" i="2"/>
  <c r="B59" i="2"/>
  <c r="V46" i="2"/>
  <c r="G62" i="2"/>
  <c r="F32" i="2"/>
  <c r="N68" i="2"/>
  <c r="V70" i="2"/>
  <c r="J54" i="2"/>
  <c r="G33" i="2"/>
  <c r="V39" i="2"/>
  <c r="D48" i="2"/>
  <c r="F58" i="2"/>
  <c r="W28" i="2"/>
  <c r="K62" i="2"/>
  <c r="M47" i="2"/>
  <c r="E31" i="2"/>
  <c r="M57" i="2"/>
  <c r="B36" i="2"/>
  <c r="X40" i="2"/>
  <c r="B31" i="2"/>
  <c r="P29" i="2"/>
  <c r="K36" i="2"/>
  <c r="P37" i="2"/>
  <c r="X51" i="2"/>
  <c r="O39" i="2"/>
  <c r="R30" i="2"/>
  <c r="C69" i="2"/>
  <c r="N59" i="2"/>
  <c r="T43" i="2"/>
  <c r="E46" i="2"/>
  <c r="P63" i="2"/>
  <c r="E30" i="2"/>
  <c r="B56" i="2"/>
  <c r="V29" i="2"/>
  <c r="X52" i="2"/>
  <c r="C32" i="2"/>
  <c r="S60" i="2"/>
  <c r="T52" i="2"/>
  <c r="B44" i="2"/>
  <c r="E68" i="2"/>
  <c r="J29" i="2"/>
  <c r="F61" i="2"/>
  <c r="W36" i="2"/>
  <c r="K15" i="21"/>
  <c r="D46" i="2"/>
  <c r="B2" i="24"/>
  <c r="W41" i="2"/>
  <c r="R38" i="2"/>
  <c r="I48" i="2"/>
  <c r="F51" i="2"/>
  <c r="K69" i="2"/>
  <c r="S44" i="2"/>
  <c r="H57" i="2"/>
  <c r="E45" i="2"/>
  <c r="L45" i="2"/>
  <c r="R54" i="2"/>
  <c r="L35" i="2"/>
  <c r="L57" i="2"/>
  <c r="H36" i="2"/>
  <c r="F64" i="2"/>
  <c r="N40" i="2"/>
  <c r="P42" i="2"/>
  <c r="X64" i="2"/>
  <c r="T44" i="2"/>
  <c r="H40" i="2"/>
  <c r="B62" i="2"/>
  <c r="S48" i="2"/>
  <c r="N63" i="2"/>
  <c r="B29" i="2"/>
  <c r="R45" i="2"/>
  <c r="G40" i="2"/>
  <c r="J69" i="2"/>
  <c r="H60" i="2"/>
  <c r="P52" i="2"/>
  <c r="U69" i="2"/>
  <c r="K53" i="2"/>
  <c r="Y38" i="2"/>
  <c r="T31" i="2"/>
  <c r="U45" i="2"/>
  <c r="B6" i="24"/>
  <c r="T58" i="2"/>
  <c r="S47" i="2"/>
  <c r="B60" i="2"/>
  <c r="D59" i="2"/>
  <c r="N36" i="2"/>
  <c r="L69" i="2"/>
  <c r="D50" i="2"/>
  <c r="C46" i="2"/>
  <c r="S55" i="2"/>
  <c r="T68" i="2"/>
  <c r="I69" i="2"/>
  <c r="C42" i="2"/>
  <c r="Q49" i="2"/>
  <c r="Q55" i="2"/>
  <c r="I61" i="2"/>
  <c r="E34" i="2"/>
  <c r="R58" i="2"/>
  <c r="P59" i="2"/>
  <c r="B64" i="2"/>
  <c r="T60" i="2"/>
  <c r="U49" i="2"/>
  <c r="D57" i="2"/>
  <c r="R40" i="2"/>
  <c r="P43" i="2"/>
  <c r="P47" i="2"/>
  <c r="M50" i="2"/>
  <c r="Q66" i="2"/>
  <c r="O52" i="2"/>
  <c r="E51" i="2"/>
  <c r="Y44" i="2"/>
  <c r="G36" i="2"/>
  <c r="G70" i="2"/>
  <c r="G61" i="2"/>
  <c r="U38" i="2"/>
  <c r="R65" i="2"/>
  <c r="G44" i="2"/>
  <c r="E60" i="2"/>
  <c r="E29" i="2"/>
  <c r="D38" i="2"/>
  <c r="I55" i="2"/>
  <c r="H65" i="2"/>
  <c r="X28" i="2"/>
  <c r="L68" i="2"/>
  <c r="I59" i="2"/>
  <c r="F66" i="2"/>
  <c r="R56" i="2"/>
  <c r="U41" i="2"/>
  <c r="W29" i="2"/>
  <c r="E43" i="2"/>
  <c r="W60" i="2"/>
  <c r="K55" i="2"/>
  <c r="O40" i="2"/>
  <c r="K30" i="2"/>
  <c r="H55" i="2"/>
  <c r="S63" i="2"/>
  <c r="T36" i="2"/>
  <c r="H41" i="2"/>
  <c r="H35" i="2"/>
  <c r="I43" i="2"/>
  <c r="W33" i="2"/>
  <c r="J44" i="2"/>
  <c r="V53" i="2"/>
  <c r="C35" i="2"/>
  <c r="X29" i="2"/>
  <c r="I38" i="2"/>
  <c r="O45" i="2"/>
  <c r="J55" i="2"/>
  <c r="K66" i="2"/>
  <c r="P38" i="2"/>
  <c r="I66" i="2"/>
  <c r="B50" i="2"/>
  <c r="W51" i="2"/>
  <c r="H42" i="2"/>
  <c r="C31" i="2"/>
  <c r="X38" i="2"/>
  <c r="G57" i="2"/>
  <c r="E64" i="2"/>
  <c r="J32" i="2"/>
  <c r="F55" i="2"/>
  <c r="Y46" i="2"/>
  <c r="Q43" i="2"/>
  <c r="S62" i="2"/>
  <c r="V62" i="2"/>
  <c r="X66" i="2"/>
  <c r="P69" i="2"/>
  <c r="Q40" i="2"/>
  <c r="K12" i="21"/>
  <c r="G45" i="2"/>
  <c r="P64" i="2"/>
  <c r="X56" i="2"/>
  <c r="L28" i="2"/>
  <c r="M63" i="2"/>
  <c r="S65" i="2"/>
  <c r="X48" i="2"/>
  <c r="E70" i="2"/>
  <c r="P36" i="2"/>
  <c r="O37" i="2"/>
  <c r="S64" i="2"/>
  <c r="O47" i="2"/>
  <c r="G58" i="2"/>
  <c r="T56" i="2"/>
  <c r="F48" i="2"/>
  <c r="I63" i="2"/>
  <c r="P67" i="2"/>
  <c r="G41" i="2"/>
  <c r="U56" i="2"/>
  <c r="F47" i="2"/>
  <c r="W62" i="2"/>
  <c r="B38" i="2"/>
  <c r="N50" i="2"/>
  <c r="I51" i="2"/>
  <c r="P58" i="2"/>
  <c r="G56" i="2"/>
  <c r="R60" i="2"/>
  <c r="K65" i="2"/>
  <c r="T55" i="2"/>
  <c r="R67" i="2"/>
  <c r="Q58" i="2"/>
  <c r="V42" i="2"/>
  <c r="X68" i="2"/>
  <c r="O68" i="2"/>
  <c r="M55" i="2"/>
  <c r="M36" i="2"/>
  <c r="M68" i="2"/>
  <c r="Q34" i="2"/>
  <c r="D69" i="2"/>
  <c r="I34" i="2"/>
  <c r="S46" i="2"/>
  <c r="Y40" i="2"/>
  <c r="N42" i="2"/>
  <c r="K42" i="2"/>
  <c r="V31" i="2"/>
  <c r="D66" i="2"/>
  <c r="V35" i="2"/>
  <c r="I47" i="2"/>
  <c r="J59" i="2"/>
  <c r="Y37" i="2"/>
  <c r="T40" i="2"/>
  <c r="E48" i="2"/>
  <c r="W44" i="2"/>
  <c r="C36" i="2"/>
  <c r="I52" i="2"/>
  <c r="R57" i="2"/>
  <c r="P31" i="2"/>
  <c r="Y41" i="2"/>
  <c r="W40" i="2"/>
  <c r="Q61" i="2"/>
  <c r="I46" i="2"/>
  <c r="G64" i="2"/>
  <c r="W47" i="2"/>
  <c r="M38" i="2"/>
  <c r="L59" i="2"/>
  <c r="J64" i="2"/>
  <c r="N47" i="2"/>
  <c r="V47" i="2"/>
  <c r="T41" i="2"/>
  <c r="O63" i="2"/>
  <c r="V30" i="2"/>
  <c r="W63" i="2"/>
  <c r="K44" i="2"/>
  <c r="G42" i="2"/>
  <c r="X70" i="2"/>
  <c r="K13" i="21"/>
  <c r="N66" i="2"/>
  <c r="J12" i="21"/>
  <c r="M51" i="2"/>
  <c r="U33" i="2"/>
  <c r="V69" i="2"/>
  <c r="G32" i="2"/>
  <c r="Q57" i="2"/>
  <c r="E39" i="2"/>
  <c r="U40" i="2"/>
  <c r="H28" i="2"/>
  <c r="M49" i="2"/>
  <c r="N46" i="2"/>
  <c r="I39" i="2"/>
  <c r="V38" i="2"/>
  <c r="D51" i="2"/>
  <c r="G60" i="2"/>
  <c r="S39" i="2"/>
  <c r="L54" i="2"/>
  <c r="P57" i="2"/>
  <c r="G35" i="2"/>
  <c r="D54" i="2"/>
  <c r="S67" i="2"/>
  <c r="R46" i="2"/>
  <c r="X49" i="2"/>
  <c r="L56" i="2"/>
  <c r="M64" i="2"/>
  <c r="B47" i="2"/>
  <c r="K57" i="2"/>
  <c r="Q31" i="2"/>
  <c r="B68" i="2"/>
  <c r="Q46" i="2"/>
  <c r="R29" i="2"/>
  <c r="M62" i="2"/>
  <c r="Y55" i="2"/>
  <c r="I49" i="2"/>
  <c r="F35" i="2"/>
  <c r="N70" i="2"/>
  <c r="L55" i="2"/>
  <c r="L31" i="2"/>
  <c r="L33" i="2"/>
  <c r="F40" i="2"/>
  <c r="W34" i="2"/>
  <c r="Y48" i="2"/>
  <c r="C60" i="2"/>
  <c r="D30" i="2"/>
  <c r="W48" i="2"/>
  <c r="K45" i="2"/>
  <c r="B46" i="2"/>
  <c r="T38" i="2"/>
  <c r="K35" i="2"/>
  <c r="X42" i="2"/>
  <c r="X30" i="2"/>
  <c r="L67" i="2"/>
  <c r="O56" i="2"/>
  <c r="P65" i="2"/>
  <c r="F65" i="2"/>
  <c r="T42" i="2"/>
  <c r="H39" i="2"/>
  <c r="I45" i="2"/>
  <c r="N57" i="2"/>
  <c r="X46" i="2"/>
  <c r="M31" i="2"/>
  <c r="F33" i="2"/>
  <c r="P34" i="2"/>
  <c r="S32" i="2"/>
  <c r="D34" i="2"/>
  <c r="E66" i="2"/>
  <c r="Q38" i="2"/>
  <c r="M28" i="2"/>
  <c r="G39" i="2"/>
  <c r="K28" i="2"/>
  <c r="X61" i="2"/>
  <c r="L30" i="2"/>
  <c r="U37" i="2"/>
  <c r="G38" i="2"/>
  <c r="F53" i="2"/>
  <c r="P51" i="2"/>
  <c r="L38" i="2"/>
  <c r="C62" i="2"/>
  <c r="E32" i="2"/>
  <c r="Y30" i="2"/>
  <c r="I35" i="2"/>
  <c r="X32" i="2"/>
  <c r="H67" i="2"/>
  <c r="L46" i="2"/>
  <c r="S45" i="2"/>
  <c r="U28" i="2"/>
  <c r="K47" i="2"/>
  <c r="F44" i="2"/>
  <c r="W59" i="2"/>
  <c r="V41" i="2"/>
  <c r="U60" i="2"/>
  <c r="K68" i="2"/>
  <c r="K46" i="2"/>
  <c r="I36" i="2"/>
  <c r="U47" i="2"/>
  <c r="S37" i="2"/>
  <c r="D49" i="2"/>
  <c r="I31" i="2"/>
  <c r="T37" i="2"/>
  <c r="U51" i="2"/>
  <c r="J60" i="2"/>
  <c r="V34" i="2"/>
  <c r="L66" i="2"/>
  <c r="V63" i="2"/>
  <c r="F56" i="2"/>
  <c r="K29" i="2"/>
  <c r="N43" i="2"/>
  <c r="D29" i="2"/>
  <c r="X33" i="2"/>
  <c r="Y49" i="2"/>
  <c r="E56" i="2"/>
  <c r="E54" i="2"/>
  <c r="X43" i="2"/>
  <c r="E47" i="2"/>
  <c r="H34" i="2"/>
  <c r="S66" i="2"/>
  <c r="W67" i="2"/>
  <c r="N67" i="2"/>
  <c r="O28" i="2"/>
  <c r="M48" i="2"/>
  <c r="O44" i="2"/>
  <c r="Q33" i="2"/>
  <c r="W66" i="2"/>
  <c r="M43" i="2"/>
  <c r="H31" i="2"/>
  <c r="R37" i="2"/>
  <c r="E35" i="2"/>
  <c r="K64" i="2"/>
  <c r="S38" i="2"/>
  <c r="O35" i="2"/>
  <c r="L65" i="2"/>
  <c r="E59" i="2"/>
  <c r="C37" i="2"/>
  <c r="D55" i="2"/>
  <c r="H33" i="2"/>
  <c r="R44" i="2"/>
  <c r="Y34" i="2"/>
  <c r="P54" i="2"/>
  <c r="R34" i="2"/>
  <c r="V58" i="2"/>
  <c r="O57" i="2"/>
  <c r="G49" i="2"/>
  <c r="J47" i="2"/>
  <c r="U65" i="2"/>
  <c r="C47" i="2"/>
  <c r="I37" i="2"/>
  <c r="X50" i="2"/>
  <c r="Q65" i="2"/>
  <c r="B53" i="2"/>
  <c r="Y56" i="2"/>
  <c r="B57" i="2"/>
  <c r="G59" i="2"/>
  <c r="N52" i="2"/>
  <c r="M58" i="2"/>
  <c r="D64" i="2"/>
  <c r="T64" i="2"/>
  <c r="E50" i="2"/>
  <c r="K56" i="2"/>
  <c r="N41" i="2"/>
  <c r="J63" i="2"/>
  <c r="K58" i="2"/>
  <c r="O51" i="2"/>
  <c r="H63" i="2"/>
  <c r="Q69" i="2"/>
  <c r="H54" i="2"/>
  <c r="D31" i="2"/>
  <c r="N65" i="2"/>
  <c r="S53" i="2"/>
  <c r="B43" i="2"/>
  <c r="T28" i="2"/>
  <c r="U63" i="2"/>
  <c r="E52" i="2"/>
  <c r="H38" i="2"/>
  <c r="P30" i="2"/>
  <c r="K31" i="2"/>
  <c r="Y42" i="2"/>
  <c r="W52" i="2"/>
  <c r="W69" i="2"/>
  <c r="K37" i="2"/>
  <c r="X62" i="2"/>
  <c r="L63" i="2"/>
  <c r="P40" i="2"/>
  <c r="G30" i="2"/>
  <c r="J15" i="21"/>
  <c r="J68" i="2"/>
  <c r="G31" i="2"/>
  <c r="V55" i="2"/>
  <c r="T35" i="2"/>
  <c r="N39" i="2"/>
  <c r="W68" i="2"/>
  <c r="S51" i="2"/>
  <c r="Y43" i="2"/>
  <c r="M41" i="2"/>
  <c r="B34" i="2"/>
  <c r="H69" i="2"/>
  <c r="D28" i="2"/>
  <c r="K67" i="2"/>
  <c r="L58" i="2"/>
  <c r="U62" i="2"/>
  <c r="B41" i="2"/>
  <c r="G54" i="2"/>
  <c r="G29" i="2"/>
  <c r="V68" i="2"/>
  <c r="X39" i="2"/>
  <c r="X55" i="2"/>
  <c r="H70" i="2"/>
  <c r="V36" i="2"/>
  <c r="M39" i="2"/>
  <c r="X67" i="2"/>
  <c r="R61" i="2"/>
  <c r="D45" i="2"/>
  <c r="W38" i="2"/>
  <c r="O34" i="2"/>
  <c r="V56" i="2"/>
  <c r="N48" i="2"/>
  <c r="W39" i="2"/>
  <c r="Q67" i="2"/>
  <c r="Q56" i="2"/>
  <c r="S36" i="2"/>
  <c r="J57" i="2"/>
  <c r="M32" i="2"/>
  <c r="H61" i="2"/>
  <c r="W35" i="2"/>
  <c r="V48" i="2"/>
  <c r="H50" i="2"/>
  <c r="U57" i="2"/>
  <c r="G43" i="2"/>
  <c r="P33" i="2"/>
  <c r="N30" i="2"/>
  <c r="J41" i="2"/>
  <c r="K59" i="2"/>
  <c r="D39" i="2"/>
  <c r="N29" i="2"/>
  <c r="V51" i="2"/>
  <c r="Q37" i="2"/>
  <c r="B52" i="2"/>
  <c r="G46" i="2"/>
  <c r="U30" i="2"/>
  <c r="E41" i="2"/>
  <c r="T48" i="2"/>
  <c r="K63" i="2"/>
  <c r="C54" i="2"/>
  <c r="H44" i="2"/>
  <c r="F59" i="2"/>
  <c r="L43" i="2"/>
  <c r="U67" i="2"/>
  <c r="H62" i="2"/>
  <c r="V40" i="2"/>
  <c r="N69" i="2"/>
  <c r="I28" i="2"/>
  <c r="P35" i="2"/>
  <c r="L39" i="2"/>
  <c r="M69" i="2"/>
  <c r="C44" i="2"/>
  <c r="V57" i="2"/>
  <c r="W37" i="2"/>
  <c r="X31" i="2"/>
  <c r="C58" i="2"/>
  <c r="J30" i="2"/>
  <c r="V50" i="2"/>
  <c r="H29" i="2"/>
  <c r="O36" i="2"/>
  <c r="X59" i="2"/>
  <c r="N32" i="2"/>
  <c r="W45" i="2"/>
  <c r="O32" i="2"/>
  <c r="K41" i="2"/>
  <c r="C50" i="2"/>
  <c r="M35" i="2"/>
  <c r="O67" i="2"/>
  <c r="O29" i="2"/>
  <c r="J36" i="2"/>
  <c r="J70" i="2"/>
  <c r="V33" i="2"/>
  <c r="F28" i="2"/>
  <c r="M53" i="2"/>
  <c r="N33" i="2"/>
  <c r="N60" i="2"/>
  <c r="T51" i="2"/>
  <c r="J31" i="2"/>
  <c r="Q48" i="2"/>
  <c r="S40" i="2"/>
  <c r="I32" i="2"/>
  <c r="H58" i="2"/>
  <c r="P49" i="2"/>
  <c r="C52" i="2"/>
  <c r="C45" i="2"/>
  <c r="P66" i="2"/>
  <c r="R53" i="2"/>
  <c r="U53" i="2"/>
  <c r="L48" i="2"/>
  <c r="V66" i="2"/>
  <c r="U70" i="2"/>
  <c r="U55" i="2"/>
  <c r="J34" i="2"/>
  <c r="S57" i="2"/>
  <c r="F63" i="2"/>
  <c r="H45" i="2"/>
  <c r="E28" i="2"/>
  <c r="K52" i="2"/>
  <c r="F43" i="2"/>
  <c r="R43" i="2"/>
  <c r="M46" i="2"/>
  <c r="O59" i="2"/>
  <c r="U39" i="2"/>
  <c r="M44" i="2"/>
  <c r="W56" i="2"/>
  <c r="T54" i="2"/>
  <c r="Q52" i="2"/>
  <c r="H66" i="2"/>
  <c r="L52" i="2"/>
  <c r="D62" i="2"/>
  <c r="S43" i="2"/>
  <c r="O58" i="2"/>
  <c r="W30" i="2"/>
  <c r="L53" i="2"/>
  <c r="F62" i="2"/>
  <c r="V44" i="2"/>
  <c r="C43" i="2"/>
  <c r="W32" i="2"/>
  <c r="C61" i="2"/>
  <c r="M65" i="2"/>
  <c r="J51" i="2"/>
  <c r="J62" i="2"/>
  <c r="Q62" i="2"/>
  <c r="H56" i="2"/>
  <c r="X54" i="2"/>
  <c r="Q70" i="2"/>
  <c r="V52" i="2"/>
  <c r="M29" i="2"/>
  <c r="M40" i="2"/>
  <c r="Q36" i="2"/>
  <c r="T70" i="2"/>
  <c r="V49" i="2"/>
  <c r="B67" i="2"/>
  <c r="C38" i="2"/>
  <c r="R70" i="2"/>
  <c r="T61" i="2"/>
  <c r="D47" i="2"/>
  <c r="X36" i="2"/>
  <c r="U54" i="2"/>
  <c r="K34" i="2"/>
  <c r="S54" i="2"/>
  <c r="F36" i="2"/>
  <c r="Y39" i="2"/>
  <c r="N49" i="2"/>
  <c r="Q51" i="2"/>
  <c r="B70" i="2"/>
  <c r="W49" i="2"/>
  <c r="Q54" i="2"/>
  <c r="Q35" i="2"/>
  <c r="C57" i="2"/>
  <c r="I40" i="2"/>
  <c r="E36" i="2"/>
  <c r="V45" i="2"/>
  <c r="K32" i="2"/>
  <c r="J40" i="2"/>
  <c r="J33" i="2"/>
  <c r="D61" i="2"/>
  <c r="U58" i="2"/>
  <c r="P28" i="2"/>
  <c r="Y51" i="2"/>
  <c r="U36" i="2"/>
  <c r="C51" i="2"/>
  <c r="X34" i="2"/>
  <c r="S58" i="2"/>
  <c r="I62" i="2"/>
  <c r="U59" i="2"/>
  <c r="F57" i="2"/>
  <c r="X57" i="2"/>
  <c r="B45" i="2"/>
  <c r="T33" i="2"/>
  <c r="U50" i="2"/>
  <c r="J38" i="2"/>
  <c r="K33" i="2"/>
  <c r="K38" i="2"/>
  <c r="D36" i="2"/>
  <c r="R35" i="2"/>
  <c r="R62" i="2"/>
  <c r="Y54" i="2"/>
  <c r="E63" i="2"/>
  <c r="X37" i="2"/>
  <c r="C34" i="2"/>
  <c r="T57" i="2"/>
  <c r="P53" i="2"/>
  <c r="G51" i="2"/>
  <c r="O42" i="2"/>
  <c r="L62" i="2"/>
  <c r="W53" i="2"/>
  <c r="F45" i="2"/>
  <c r="J61" i="2"/>
  <c r="O69" i="2"/>
  <c r="G48" i="2"/>
  <c r="S28" i="2"/>
  <c r="T30" i="2"/>
  <c r="O53" i="2"/>
  <c r="I33" i="2"/>
  <c r="K54" i="2"/>
  <c r="S34" i="2"/>
  <c r="W64" i="2"/>
  <c r="F38" i="2"/>
  <c r="C67" i="2"/>
  <c r="M45" i="2"/>
  <c r="O65" i="2"/>
  <c r="C56" i="2"/>
  <c r="B49" i="2"/>
  <c r="U43" i="2"/>
  <c r="I58" i="2"/>
  <c r="X53" i="2"/>
  <c r="V67" i="2"/>
  <c r="M33" i="2"/>
  <c r="L41" i="2"/>
  <c r="P48" i="2"/>
  <c r="J39" i="2"/>
  <c r="F31" i="2"/>
  <c r="L49" i="2"/>
  <c r="B69" i="2"/>
  <c r="N64" i="2"/>
  <c r="G4" i="20" l="1"/>
  <c r="H4" i="20" s="1"/>
  <c r="E4" i="21"/>
  <c r="F4" i="21" s="1"/>
  <c r="B5" i="27"/>
  <c r="D5" i="27" s="1"/>
  <c r="H4" i="13"/>
  <c r="I4" i="28" s="1"/>
  <c r="E5" i="26"/>
  <c r="G5" i="26" s="1"/>
  <c r="C5" i="24"/>
  <c r="A1" i="25"/>
  <c r="C4" i="24"/>
  <c r="B5" i="21"/>
  <c r="B6" i="21" s="1"/>
  <c r="C3" i="24"/>
  <c r="R2" i="23"/>
  <c r="C17" i="21"/>
  <c r="C20" i="21"/>
  <c r="G31" i="26"/>
  <c r="G29" i="26"/>
  <c r="C10" i="27"/>
  <c r="C15" i="28"/>
  <c r="C17" i="28"/>
  <c r="C24" i="28"/>
  <c r="E13" i="28"/>
  <c r="C16" i="28"/>
  <c r="E56" i="26"/>
  <c r="H56" i="26"/>
  <c r="E44" i="26"/>
  <c r="E63" i="26"/>
  <c r="H55" i="26"/>
  <c r="E60" i="26"/>
  <c r="E18" i="26"/>
  <c r="H47" i="26"/>
  <c r="H13" i="26"/>
  <c r="E30" i="26"/>
  <c r="G14" i="26"/>
  <c r="G43" i="26"/>
  <c r="C22" i="21"/>
  <c r="C10" i="21"/>
  <c r="G57" i="26"/>
  <c r="G26" i="26"/>
  <c r="C12" i="27"/>
  <c r="C22" i="28"/>
  <c r="E11" i="28"/>
  <c r="C14" i="28"/>
  <c r="E23" i="28"/>
  <c r="C8" i="28"/>
  <c r="E57" i="26"/>
  <c r="E10" i="26"/>
  <c r="H31" i="26"/>
  <c r="G56" i="26"/>
  <c r="C19" i="21"/>
  <c r="G48" i="26"/>
  <c r="G47" i="26"/>
  <c r="G42" i="26"/>
  <c r="G18" i="26"/>
  <c r="E9" i="28"/>
  <c r="E19" i="28"/>
  <c r="C19" i="28"/>
  <c r="E15" i="28"/>
  <c r="E12" i="28"/>
  <c r="H29" i="26"/>
  <c r="E11" i="26"/>
  <c r="H10" i="26"/>
  <c r="E14" i="26"/>
  <c r="H58" i="26"/>
  <c r="H16" i="26"/>
  <c r="E16" i="26"/>
  <c r="H59" i="26"/>
  <c r="E62" i="26"/>
  <c r="E28" i="26"/>
  <c r="G44" i="26"/>
  <c r="G13" i="26"/>
  <c r="C18" i="21"/>
  <c r="G62" i="26"/>
  <c r="C11" i="28"/>
  <c r="E20" i="28"/>
  <c r="E26" i="26"/>
  <c r="E61" i="26"/>
  <c r="E9" i="26"/>
  <c r="G33" i="26"/>
  <c r="H57" i="26"/>
  <c r="H33" i="26"/>
  <c r="H42" i="26"/>
  <c r="G39" i="26"/>
  <c r="H44" i="26"/>
  <c r="E46" i="26"/>
  <c r="C11" i="21"/>
  <c r="C15" i="21"/>
  <c r="G41" i="26"/>
  <c r="G28" i="26"/>
  <c r="G58" i="26"/>
  <c r="G45" i="26"/>
  <c r="E10" i="28"/>
  <c r="C18" i="28"/>
  <c r="C21" i="28"/>
  <c r="C9" i="28"/>
  <c r="C10" i="28"/>
  <c r="E45" i="26"/>
  <c r="E12" i="26"/>
  <c r="H25" i="26"/>
  <c r="H18" i="26"/>
  <c r="H9" i="26"/>
  <c r="H63" i="26"/>
  <c r="H17" i="26"/>
  <c r="E55" i="26"/>
  <c r="H39" i="26"/>
  <c r="H14" i="26"/>
  <c r="G9" i="26"/>
  <c r="G15" i="26"/>
  <c r="G46" i="26"/>
  <c r="C11" i="27"/>
  <c r="C20" i="28"/>
  <c r="H24" i="26"/>
  <c r="H60" i="26"/>
  <c r="E33" i="26"/>
  <c r="E17" i="28"/>
  <c r="H27" i="26"/>
  <c r="H61" i="26"/>
  <c r="E15" i="26"/>
  <c r="G17" i="26"/>
  <c r="C12" i="21"/>
  <c r="C14" i="21"/>
  <c r="G40" i="26"/>
  <c r="G12" i="26"/>
  <c r="C9" i="27"/>
  <c r="G32" i="26"/>
  <c r="C23" i="28"/>
  <c r="E25" i="28"/>
  <c r="E8" i="28"/>
  <c r="C25" i="28"/>
  <c r="H11" i="26"/>
  <c r="E47" i="26"/>
  <c r="E29" i="26"/>
  <c r="E17" i="26"/>
  <c r="E27" i="26"/>
  <c r="E42" i="26"/>
  <c r="H26" i="26"/>
  <c r="H28" i="26"/>
  <c r="H54" i="26"/>
  <c r="E54" i="26"/>
  <c r="G27" i="26"/>
  <c r="G30" i="26"/>
  <c r="C9" i="21"/>
  <c r="G54" i="26"/>
  <c r="E18" i="28"/>
  <c r="H46" i="26"/>
  <c r="E39" i="26"/>
  <c r="E48" i="26"/>
  <c r="H12" i="26"/>
  <c r="G25" i="26"/>
  <c r="H62" i="26"/>
  <c r="E32" i="26"/>
  <c r="E31" i="26"/>
  <c r="E58" i="26"/>
  <c r="E41" i="26"/>
  <c r="C8" i="21"/>
  <c r="C21" i="21"/>
  <c r="G16" i="26"/>
  <c r="G10" i="26"/>
  <c r="C8" i="27"/>
  <c r="G61" i="26"/>
  <c r="E22" i="28"/>
  <c r="C13" i="28"/>
  <c r="E16" i="28"/>
  <c r="E14" i="28"/>
  <c r="H32" i="26"/>
  <c r="H45" i="26"/>
  <c r="H43" i="26"/>
  <c r="E25" i="26"/>
  <c r="E59" i="26"/>
  <c r="E24" i="26"/>
  <c r="H41" i="26"/>
  <c r="H30" i="26"/>
  <c r="H40" i="26"/>
  <c r="E13" i="26"/>
  <c r="G24" i="26"/>
  <c r="G59" i="26"/>
  <c r="C13" i="21"/>
  <c r="C16" i="21"/>
  <c r="G11" i="26"/>
  <c r="G63" i="26"/>
  <c r="C13" i="27"/>
  <c r="G60" i="26"/>
  <c r="C12" i="28"/>
  <c r="E24" i="28"/>
  <c r="E21" i="28"/>
  <c r="H48" i="26"/>
  <c r="H15" i="26"/>
  <c r="G55" i="26"/>
  <c r="E43" i="26"/>
  <c r="E40" i="26"/>
  <c r="I4" i="19" l="1"/>
  <c r="I4" i="16"/>
  <c r="E5" i="27"/>
  <c r="D5" i="21"/>
  <c r="E5" i="21"/>
  <c r="F5" i="21"/>
  <c r="I4" i="17"/>
  <c r="D1" i="13"/>
  <c r="E1" i="16" s="1"/>
  <c r="B6" i="27"/>
  <c r="F5" i="27"/>
  <c r="E27" i="16"/>
  <c r="E11" i="16"/>
  <c r="C28" i="16"/>
  <c r="E32" i="16"/>
  <c r="E12" i="16"/>
  <c r="E35" i="16"/>
  <c r="E12" i="27"/>
  <c r="E15" i="21"/>
  <c r="F17" i="21"/>
  <c r="E11" i="17"/>
  <c r="C11" i="17"/>
  <c r="E21" i="17"/>
  <c r="F8" i="27"/>
  <c r="C31" i="16"/>
  <c r="E15" i="17"/>
  <c r="C32" i="16"/>
  <c r="C11" i="16"/>
  <c r="E31" i="16"/>
  <c r="E25" i="16"/>
  <c r="C12" i="16"/>
  <c r="C26" i="16"/>
  <c r="E8" i="27"/>
  <c r="E13" i="21"/>
  <c r="F13" i="21"/>
  <c r="E18" i="17"/>
  <c r="C18" i="17"/>
  <c r="C9" i="17"/>
  <c r="F11" i="27"/>
  <c r="F13" i="27"/>
  <c r="E18" i="16"/>
  <c r="F12" i="27"/>
  <c r="E19" i="16"/>
  <c r="E16" i="16"/>
  <c r="C29" i="16"/>
  <c r="E17" i="16"/>
  <c r="E21" i="16"/>
  <c r="C13" i="16"/>
  <c r="C21" i="16"/>
  <c r="E9" i="27"/>
  <c r="E14" i="21"/>
  <c r="E9" i="17"/>
  <c r="C13" i="17"/>
  <c r="E16" i="17"/>
  <c r="C16" i="17"/>
  <c r="E19" i="17"/>
  <c r="C15" i="16"/>
  <c r="E16" i="21"/>
  <c r="C34" i="16"/>
  <c r="E20" i="16"/>
  <c r="C30" i="16"/>
  <c r="C25" i="16"/>
  <c r="C19" i="16"/>
  <c r="C14" i="16"/>
  <c r="E29" i="16"/>
  <c r="E10" i="27"/>
  <c r="E17" i="21"/>
  <c r="C19" i="17"/>
  <c r="C21" i="17"/>
  <c r="C12" i="17"/>
  <c r="E14" i="17"/>
  <c r="E20" i="17"/>
  <c r="C16" i="16"/>
  <c r="E13" i="17"/>
  <c r="E13" i="16"/>
  <c r="E37" i="16"/>
  <c r="E33" i="16"/>
  <c r="C36" i="16"/>
  <c r="C37" i="16"/>
  <c r="C33" i="16"/>
  <c r="E28" i="16"/>
  <c r="E13" i="27"/>
  <c r="F16" i="21"/>
  <c r="C14" i="17"/>
  <c r="E34" i="16"/>
  <c r="F12" i="21"/>
  <c r="C18" i="16"/>
  <c r="E15" i="16"/>
  <c r="C17" i="16"/>
  <c r="E22" i="16"/>
  <c r="E10" i="16"/>
  <c r="E36" i="16"/>
  <c r="E30" i="16"/>
  <c r="E11" i="27"/>
  <c r="F14" i="21"/>
  <c r="E10" i="17"/>
  <c r="E12" i="17"/>
  <c r="C15" i="17"/>
  <c r="F9" i="27"/>
  <c r="E26" i="16"/>
  <c r="C27" i="16"/>
  <c r="C10" i="17"/>
  <c r="C24" i="16"/>
  <c r="E24" i="16"/>
  <c r="C35" i="16"/>
  <c r="C10" i="16"/>
  <c r="C22" i="16"/>
  <c r="E14" i="16"/>
  <c r="C20" i="16"/>
  <c r="E12" i="21"/>
  <c r="F15" i="21"/>
  <c r="C20" i="17"/>
  <c r="C17" i="17"/>
  <c r="E17" i="17"/>
  <c r="F10" i="27"/>
  <c r="E1" i="19" l="1"/>
  <c r="E1" i="28"/>
  <c r="E1" i="17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Z205" i="2"/>
  <c r="AA204" i="2"/>
  <c r="Z204" i="2"/>
  <c r="AA203" i="2"/>
  <c r="Z203" i="2"/>
  <c r="AA202" i="2"/>
  <c r="Z202" i="2"/>
  <c r="AA201" i="2"/>
  <c r="Z201" i="2"/>
  <c r="AA200" i="2"/>
  <c r="Z200" i="2"/>
  <c r="AA199" i="2"/>
  <c r="Z199" i="2"/>
  <c r="AA198" i="2"/>
  <c r="Z198" i="2"/>
  <c r="AA197" i="2"/>
  <c r="Z197" i="2"/>
  <c r="AA196" i="2"/>
  <c r="Z196" i="2"/>
  <c r="AA195" i="2"/>
  <c r="Z195" i="2"/>
  <c r="AA194" i="2"/>
  <c r="Z194" i="2"/>
  <c r="AA193" i="2"/>
  <c r="Z193" i="2"/>
  <c r="AA192" i="2"/>
  <c r="Z192" i="2"/>
  <c r="AA191" i="2"/>
  <c r="Z191" i="2"/>
  <c r="AA190" i="2"/>
  <c r="Z190" i="2"/>
  <c r="AA189" i="2"/>
  <c r="Z189" i="2"/>
  <c r="AA188" i="2"/>
  <c r="Z188" i="2"/>
  <c r="AA187" i="2"/>
  <c r="Z187" i="2"/>
  <c r="AA186" i="2"/>
  <c r="Z186" i="2"/>
  <c r="AA185" i="2"/>
  <c r="Z185" i="2"/>
  <c r="AA184" i="2"/>
  <c r="Z184" i="2"/>
  <c r="AA183" i="2"/>
  <c r="Z183" i="2"/>
  <c r="AA182" i="2"/>
  <c r="Z182" i="2"/>
  <c r="AA181" i="2"/>
  <c r="Z181" i="2"/>
  <c r="AA180" i="2"/>
  <c r="Z180" i="2"/>
  <c r="AA179" i="2"/>
  <c r="Z179" i="2"/>
  <c r="AA178" i="2"/>
  <c r="Z178" i="2"/>
  <c r="AA177" i="2"/>
  <c r="Z177" i="2"/>
  <c r="AA176" i="2"/>
  <c r="Z176" i="2"/>
  <c r="AA175" i="2"/>
  <c r="Z175" i="2"/>
  <c r="AA174" i="2"/>
  <c r="Z174" i="2"/>
  <c r="AA173" i="2"/>
  <c r="Z173" i="2"/>
  <c r="AA172" i="2"/>
  <c r="Z172" i="2"/>
  <c r="AA171" i="2"/>
  <c r="Z171" i="2"/>
  <c r="AA170" i="2"/>
  <c r="Z170" i="2"/>
  <c r="AA169" i="2"/>
  <c r="Z169" i="2"/>
  <c r="AA168" i="2"/>
  <c r="Z168" i="2"/>
  <c r="AA167" i="2"/>
  <c r="Z167" i="2"/>
  <c r="AA166" i="2"/>
  <c r="Z166" i="2"/>
  <c r="AA165" i="2"/>
  <c r="Z165" i="2"/>
  <c r="AA164" i="2"/>
  <c r="Z164" i="2"/>
  <c r="AA163" i="2"/>
  <c r="Z163" i="2"/>
  <c r="AA162" i="2"/>
  <c r="Z162" i="2"/>
  <c r="AA161" i="2"/>
  <c r="Z161" i="2"/>
  <c r="AA160" i="2"/>
  <c r="Z160" i="2"/>
  <c r="AA159" i="2"/>
  <c r="Z159" i="2"/>
  <c r="AA158" i="2"/>
  <c r="Z158" i="2"/>
  <c r="AA157" i="2"/>
  <c r="Z157" i="2"/>
  <c r="AA156" i="2"/>
  <c r="Z156" i="2"/>
  <c r="AA155" i="2"/>
  <c r="Z155" i="2"/>
  <c r="AA154" i="2"/>
  <c r="Z154" i="2"/>
  <c r="AA153" i="2"/>
  <c r="Z153" i="2"/>
  <c r="AA152" i="2"/>
  <c r="Z152" i="2"/>
  <c r="AA151" i="2"/>
  <c r="Z151" i="2"/>
  <c r="AA150" i="2"/>
  <c r="Z150" i="2"/>
  <c r="AA149" i="2"/>
  <c r="Z149" i="2"/>
  <c r="AA148" i="2"/>
  <c r="Z148" i="2"/>
  <c r="AA147" i="2"/>
  <c r="Z147" i="2"/>
  <c r="AA146" i="2"/>
  <c r="Z146" i="2"/>
  <c r="AA145" i="2"/>
  <c r="Z145" i="2"/>
  <c r="AA144" i="2"/>
  <c r="Z144" i="2"/>
  <c r="AA143" i="2"/>
  <c r="Z143" i="2"/>
  <c r="AA142" i="2"/>
  <c r="Z142" i="2"/>
  <c r="AA141" i="2"/>
  <c r="Z141" i="2"/>
  <c r="AA140" i="2"/>
  <c r="Z140" i="2"/>
  <c r="AA139" i="2"/>
  <c r="Z139" i="2"/>
  <c r="AA138" i="2"/>
  <c r="Z138" i="2"/>
  <c r="AA137" i="2"/>
  <c r="Z137" i="2"/>
  <c r="AA136" i="2"/>
  <c r="Z136" i="2"/>
  <c r="AA135" i="2"/>
  <c r="Z135" i="2"/>
  <c r="AA134" i="2"/>
  <c r="Z134" i="2"/>
  <c r="AA133" i="2"/>
  <c r="Z133" i="2"/>
  <c r="AA132" i="2"/>
  <c r="Z132" i="2"/>
  <c r="AA131" i="2"/>
  <c r="Z131" i="2"/>
  <c r="AA130" i="2"/>
  <c r="Z130" i="2"/>
  <c r="AA129" i="2"/>
  <c r="Z129" i="2"/>
  <c r="AA128" i="2"/>
  <c r="Z128" i="2"/>
  <c r="AA127" i="2"/>
  <c r="Z127" i="2"/>
  <c r="AA126" i="2"/>
  <c r="Z126" i="2"/>
  <c r="AA125" i="2"/>
  <c r="Z125" i="2"/>
  <c r="AA124" i="2"/>
  <c r="Z124" i="2"/>
  <c r="AA123" i="2"/>
  <c r="Z123" i="2"/>
  <c r="AA122" i="2"/>
  <c r="Z122" i="2"/>
  <c r="AA121" i="2"/>
  <c r="Z121" i="2"/>
  <c r="AA120" i="2"/>
  <c r="Z120" i="2"/>
  <c r="AA119" i="2"/>
  <c r="Z119" i="2"/>
  <c r="AA118" i="2"/>
  <c r="Z118" i="2"/>
  <c r="AA117" i="2"/>
  <c r="Z117" i="2"/>
  <c r="AA116" i="2"/>
  <c r="Z116" i="2"/>
  <c r="AA115" i="2"/>
  <c r="Z115" i="2"/>
  <c r="AA114" i="2"/>
  <c r="Z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AA106" i="2"/>
  <c r="Z106" i="2"/>
  <c r="AA105" i="2"/>
  <c r="Z105" i="2"/>
  <c r="AA104" i="2"/>
  <c r="Z104" i="2"/>
  <c r="AA103" i="2"/>
  <c r="Z103" i="2"/>
  <c r="AA102" i="2"/>
  <c r="Z102" i="2"/>
  <c r="AA101" i="2"/>
  <c r="Z101" i="2"/>
  <c r="AA100" i="2"/>
  <c r="Z100" i="2"/>
  <c r="AA99" i="2"/>
  <c r="Z99" i="2"/>
  <c r="AA98" i="2"/>
  <c r="Z98" i="2"/>
  <c r="AA97" i="2"/>
  <c r="Z97" i="2"/>
  <c r="AA96" i="2"/>
  <c r="Z96" i="2"/>
  <c r="AA95" i="2"/>
  <c r="Z95" i="2"/>
  <c r="AA94" i="2"/>
  <c r="Z94" i="2"/>
  <c r="AA93" i="2"/>
  <c r="Z93" i="2"/>
  <c r="AA92" i="2"/>
  <c r="Z92" i="2"/>
  <c r="AA91" i="2"/>
  <c r="Z91" i="2"/>
  <c r="AA90" i="2"/>
  <c r="Z90" i="2"/>
  <c r="AA89" i="2"/>
  <c r="Z89" i="2"/>
  <c r="AA88" i="2"/>
  <c r="Z88" i="2"/>
  <c r="AA87" i="2"/>
  <c r="Z87" i="2"/>
  <c r="AA86" i="2"/>
  <c r="Z86" i="2"/>
  <c r="AA85" i="2"/>
  <c r="Z85" i="2"/>
  <c r="AA84" i="2"/>
  <c r="Z84" i="2"/>
  <c r="AA83" i="2"/>
  <c r="Z83" i="2"/>
  <c r="AA82" i="2"/>
  <c r="Z82" i="2"/>
  <c r="AA81" i="2"/>
  <c r="Z81" i="2"/>
  <c r="AA80" i="2"/>
  <c r="Z80" i="2"/>
  <c r="Z76" i="2"/>
  <c r="AA79" i="2"/>
  <c r="AA75" i="2"/>
  <c r="Z79" i="2"/>
  <c r="Z75" i="2"/>
  <c r="AA78" i="2"/>
  <c r="AA74" i="2"/>
  <c r="Z77" i="2"/>
  <c r="Z78" i="2"/>
  <c r="Z74" i="2"/>
  <c r="Z73" i="2"/>
  <c r="AA77" i="2"/>
  <c r="AA73" i="2"/>
  <c r="AA76" i="2"/>
  <c r="AA71" i="2"/>
  <c r="Z71" i="2"/>
  <c r="AA72" i="2"/>
  <c r="Z72" i="2"/>
  <c r="N81" i="3" l="1"/>
  <c r="Q81" i="3"/>
  <c r="K81" i="3"/>
  <c r="K89" i="3"/>
  <c r="N89" i="3"/>
  <c r="Q89" i="3"/>
  <c r="K93" i="3"/>
  <c r="N93" i="3"/>
  <c r="Q93" i="3"/>
  <c r="Q101" i="3"/>
  <c r="K101" i="3"/>
  <c r="N101" i="3"/>
  <c r="Q105" i="3"/>
  <c r="K105" i="3"/>
  <c r="N105" i="3"/>
  <c r="N109" i="3"/>
  <c r="Q109" i="3"/>
  <c r="K109" i="3"/>
  <c r="N113" i="3"/>
  <c r="Q113" i="3"/>
  <c r="K113" i="3"/>
  <c r="N117" i="3"/>
  <c r="Q117" i="3"/>
  <c r="K117" i="3"/>
  <c r="K121" i="3"/>
  <c r="N121" i="3"/>
  <c r="Q121" i="3"/>
  <c r="K125" i="3"/>
  <c r="N125" i="3"/>
  <c r="Q125" i="3"/>
  <c r="Q129" i="3"/>
  <c r="K129" i="3"/>
  <c r="N129" i="3"/>
  <c r="Q133" i="3"/>
  <c r="K133" i="3"/>
  <c r="N133" i="3"/>
  <c r="Q137" i="3"/>
  <c r="K137" i="3"/>
  <c r="N137" i="3"/>
  <c r="Q141" i="3"/>
  <c r="K141" i="3"/>
  <c r="N141" i="3"/>
  <c r="K145" i="3"/>
  <c r="N145" i="3"/>
  <c r="Q145" i="3"/>
  <c r="Q149" i="3"/>
  <c r="K149" i="3"/>
  <c r="N149" i="3"/>
  <c r="Q153" i="3"/>
  <c r="K153" i="3"/>
  <c r="N153" i="3"/>
  <c r="N157" i="3"/>
  <c r="Q157" i="3"/>
  <c r="K157" i="3"/>
  <c r="N161" i="3"/>
  <c r="Q161" i="3"/>
  <c r="K161" i="3"/>
  <c r="K165" i="3"/>
  <c r="N165" i="3"/>
  <c r="Q165" i="3"/>
  <c r="N169" i="3"/>
  <c r="Q169" i="3"/>
  <c r="K169" i="3"/>
  <c r="N173" i="3"/>
  <c r="Q173" i="3"/>
  <c r="K173" i="3"/>
  <c r="Q177" i="3"/>
  <c r="K177" i="3"/>
  <c r="N177" i="3"/>
  <c r="N181" i="3"/>
  <c r="Q181" i="3"/>
  <c r="K181" i="3"/>
  <c r="K185" i="3"/>
  <c r="N185" i="3"/>
  <c r="Q185" i="3"/>
  <c r="K189" i="3"/>
  <c r="N189" i="3"/>
  <c r="Q189" i="3"/>
  <c r="Q193" i="3"/>
  <c r="K193" i="3"/>
  <c r="N193" i="3"/>
  <c r="Q197" i="3"/>
  <c r="K197" i="3"/>
  <c r="N197" i="3"/>
  <c r="K201" i="3"/>
  <c r="N201" i="3"/>
  <c r="Q201" i="3"/>
  <c r="Q205" i="3"/>
  <c r="K205" i="3"/>
  <c r="N205" i="3"/>
  <c r="N209" i="3"/>
  <c r="Q209" i="3"/>
  <c r="K209" i="3"/>
  <c r="Q213" i="3"/>
  <c r="K213" i="3"/>
  <c r="N213" i="3"/>
  <c r="N85" i="3"/>
  <c r="Q85" i="3"/>
  <c r="K85" i="3"/>
  <c r="Q97" i="3"/>
  <c r="K97" i="3"/>
  <c r="N97" i="3"/>
  <c r="Q82" i="3"/>
  <c r="K82" i="3"/>
  <c r="N82" i="3"/>
  <c r="N98" i="3"/>
  <c r="Q98" i="3"/>
  <c r="K98" i="3"/>
  <c r="K110" i="3"/>
  <c r="Q110" i="3"/>
  <c r="N110" i="3"/>
  <c r="N126" i="3"/>
  <c r="Q126" i="3"/>
  <c r="K126" i="3"/>
  <c r="K138" i="3"/>
  <c r="N138" i="3"/>
  <c r="Q138" i="3"/>
  <c r="Q154" i="3"/>
  <c r="K154" i="3"/>
  <c r="N154" i="3"/>
  <c r="N170" i="3"/>
  <c r="Q170" i="3"/>
  <c r="K170" i="3"/>
  <c r="Q186" i="3"/>
  <c r="K186" i="3"/>
  <c r="N186" i="3"/>
  <c r="Q198" i="3"/>
  <c r="N198" i="3"/>
  <c r="K198" i="3"/>
  <c r="N214" i="3"/>
  <c r="Q214" i="3"/>
  <c r="K214" i="3"/>
  <c r="N90" i="3"/>
  <c r="Q90" i="3"/>
  <c r="K90" i="3"/>
  <c r="K106" i="3"/>
  <c r="N106" i="3"/>
  <c r="Q106" i="3"/>
  <c r="N122" i="3"/>
  <c r="Q122" i="3"/>
  <c r="K122" i="3"/>
  <c r="Q142" i="3"/>
  <c r="K142" i="3"/>
  <c r="N142" i="3"/>
  <c r="N158" i="3"/>
  <c r="Q158" i="3"/>
  <c r="K158" i="3"/>
  <c r="N174" i="3"/>
  <c r="Q174" i="3"/>
  <c r="K174" i="3"/>
  <c r="K190" i="3"/>
  <c r="Q190" i="3"/>
  <c r="N190" i="3"/>
  <c r="N202" i="3"/>
  <c r="Q202" i="3"/>
  <c r="K202" i="3"/>
  <c r="N83" i="3"/>
  <c r="Q83" i="3"/>
  <c r="K83" i="3"/>
  <c r="Q87" i="3"/>
  <c r="K87" i="3"/>
  <c r="N87" i="3"/>
  <c r="K91" i="3"/>
  <c r="N91" i="3"/>
  <c r="Q91" i="3"/>
  <c r="K95" i="3"/>
  <c r="N95" i="3"/>
  <c r="Q95" i="3"/>
  <c r="K99" i="3"/>
  <c r="N99" i="3"/>
  <c r="Q99" i="3"/>
  <c r="K103" i="3"/>
  <c r="Q103" i="3"/>
  <c r="N103" i="3"/>
  <c r="Q107" i="3"/>
  <c r="K107" i="3"/>
  <c r="N107" i="3"/>
  <c r="N111" i="3"/>
  <c r="Q111" i="3"/>
  <c r="K111" i="3"/>
  <c r="N115" i="3"/>
  <c r="Q115" i="3"/>
  <c r="K115" i="3"/>
  <c r="Q119" i="3"/>
  <c r="N119" i="3"/>
  <c r="K119" i="3"/>
  <c r="K123" i="3"/>
  <c r="N123" i="3"/>
  <c r="Q123" i="3"/>
  <c r="N127" i="3"/>
  <c r="Q127" i="3"/>
  <c r="K127" i="3"/>
  <c r="K131" i="3"/>
  <c r="N131" i="3"/>
  <c r="Q131" i="3"/>
  <c r="Q135" i="3"/>
  <c r="K135" i="3"/>
  <c r="N135" i="3"/>
  <c r="Q139" i="3"/>
  <c r="K139" i="3"/>
  <c r="N139" i="3"/>
  <c r="K143" i="3"/>
  <c r="N143" i="3"/>
  <c r="Q143" i="3"/>
  <c r="Q147" i="3"/>
  <c r="K147" i="3"/>
  <c r="N147" i="3"/>
  <c r="K151" i="3"/>
  <c r="N151" i="3"/>
  <c r="Q151" i="3"/>
  <c r="N155" i="3"/>
  <c r="Q155" i="3"/>
  <c r="K155" i="3"/>
  <c r="K159" i="3"/>
  <c r="N159" i="3"/>
  <c r="Q159" i="3"/>
  <c r="N163" i="3"/>
  <c r="Q163" i="3"/>
  <c r="K163" i="3"/>
  <c r="K167" i="3"/>
  <c r="N167" i="3"/>
  <c r="Q167" i="3"/>
  <c r="K171" i="3"/>
  <c r="N171" i="3"/>
  <c r="Q171" i="3"/>
  <c r="Q175" i="3"/>
  <c r="K175" i="3"/>
  <c r="N175" i="3"/>
  <c r="Q179" i="3"/>
  <c r="K179" i="3"/>
  <c r="N179" i="3"/>
  <c r="N183" i="3"/>
  <c r="Q183" i="3"/>
  <c r="K183" i="3"/>
  <c r="N187" i="3"/>
  <c r="Q187" i="3"/>
  <c r="K187" i="3"/>
  <c r="K191" i="3"/>
  <c r="N191" i="3"/>
  <c r="Q191" i="3"/>
  <c r="N195" i="3"/>
  <c r="Q195" i="3"/>
  <c r="K195" i="3"/>
  <c r="Q199" i="3"/>
  <c r="K199" i="3"/>
  <c r="N199" i="3"/>
  <c r="K203" i="3"/>
  <c r="Q203" i="3"/>
  <c r="N203" i="3"/>
  <c r="K207" i="3"/>
  <c r="Q207" i="3"/>
  <c r="N207" i="3"/>
  <c r="Q211" i="3"/>
  <c r="K211" i="3"/>
  <c r="N211" i="3"/>
  <c r="Q94" i="3"/>
  <c r="N94" i="3"/>
  <c r="K94" i="3"/>
  <c r="Q114" i="3"/>
  <c r="K114" i="3"/>
  <c r="N114" i="3"/>
  <c r="N130" i="3"/>
  <c r="Q130" i="3"/>
  <c r="K130" i="3"/>
  <c r="K146" i="3"/>
  <c r="N146" i="3"/>
  <c r="Q146" i="3"/>
  <c r="Q162" i="3"/>
  <c r="K162" i="3"/>
  <c r="N162" i="3"/>
  <c r="K182" i="3"/>
  <c r="N182" i="3"/>
  <c r="Q182" i="3"/>
  <c r="K210" i="3"/>
  <c r="N210" i="3"/>
  <c r="Q210" i="3"/>
  <c r="Q86" i="3"/>
  <c r="K86" i="3"/>
  <c r="N86" i="3"/>
  <c r="N102" i="3"/>
  <c r="Q102" i="3"/>
  <c r="K102" i="3"/>
  <c r="Q118" i="3"/>
  <c r="K118" i="3"/>
  <c r="N118" i="3"/>
  <c r="N134" i="3"/>
  <c r="K134" i="3"/>
  <c r="Q134" i="3"/>
  <c r="N150" i="3"/>
  <c r="Q150" i="3"/>
  <c r="K150" i="3"/>
  <c r="K166" i="3"/>
  <c r="N166" i="3"/>
  <c r="Q166" i="3"/>
  <c r="K178" i="3"/>
  <c r="N178" i="3"/>
  <c r="Q178" i="3"/>
  <c r="Q194" i="3"/>
  <c r="K194" i="3"/>
  <c r="N194" i="3"/>
  <c r="Q206" i="3"/>
  <c r="K206" i="3"/>
  <c r="N206" i="3"/>
  <c r="Q80" i="3"/>
  <c r="K80" i="3"/>
  <c r="N80" i="3"/>
  <c r="Q84" i="3"/>
  <c r="K84" i="3"/>
  <c r="N84" i="3"/>
  <c r="N88" i="3"/>
  <c r="K88" i="3"/>
  <c r="Q88" i="3"/>
  <c r="Q92" i="3"/>
  <c r="K92" i="3"/>
  <c r="N92" i="3"/>
  <c r="K96" i="3"/>
  <c r="N96" i="3"/>
  <c r="Q96" i="3"/>
  <c r="N100" i="3"/>
  <c r="Q100" i="3"/>
  <c r="K100" i="3"/>
  <c r="K104" i="3"/>
  <c r="N104" i="3"/>
  <c r="Q104" i="3"/>
  <c r="K108" i="3"/>
  <c r="N108" i="3"/>
  <c r="Q108" i="3"/>
  <c r="Q112" i="3"/>
  <c r="N112" i="3"/>
  <c r="K112" i="3"/>
  <c r="Q116" i="3"/>
  <c r="K116" i="3"/>
  <c r="N116" i="3"/>
  <c r="N120" i="3"/>
  <c r="K120" i="3"/>
  <c r="Q120" i="3"/>
  <c r="Q124" i="3"/>
  <c r="K124" i="3"/>
  <c r="N124" i="3"/>
  <c r="K128" i="3"/>
  <c r="N128" i="3"/>
  <c r="Q128" i="3"/>
  <c r="N132" i="3"/>
  <c r="Q132" i="3"/>
  <c r="K132" i="3"/>
  <c r="Q136" i="3"/>
  <c r="K136" i="3"/>
  <c r="N136" i="3"/>
  <c r="N140" i="3"/>
  <c r="Q140" i="3"/>
  <c r="K140" i="3"/>
  <c r="N144" i="3"/>
  <c r="Q144" i="3"/>
  <c r="K144" i="3"/>
  <c r="K148" i="3"/>
  <c r="N148" i="3"/>
  <c r="Q148" i="3"/>
  <c r="K152" i="3"/>
  <c r="N152" i="3"/>
  <c r="Q152" i="3"/>
  <c r="K156" i="3"/>
  <c r="N156" i="3"/>
  <c r="Q156" i="3"/>
  <c r="Q160" i="3"/>
  <c r="K160" i="3"/>
  <c r="N160" i="3"/>
  <c r="Q164" i="3"/>
  <c r="K164" i="3"/>
  <c r="N164" i="3"/>
  <c r="Q168" i="3"/>
  <c r="K168" i="3"/>
  <c r="N168" i="3"/>
  <c r="N172" i="3"/>
  <c r="Q172" i="3"/>
  <c r="K172" i="3"/>
  <c r="K176" i="3"/>
  <c r="N176" i="3"/>
  <c r="Q176" i="3"/>
  <c r="Q180" i="3"/>
  <c r="K180" i="3"/>
  <c r="N180" i="3"/>
  <c r="Q184" i="3"/>
  <c r="K184" i="3"/>
  <c r="N184" i="3"/>
  <c r="Q188" i="3"/>
  <c r="K188" i="3"/>
  <c r="N188" i="3"/>
  <c r="N192" i="3"/>
  <c r="Q192" i="3"/>
  <c r="K192" i="3"/>
  <c r="N196" i="3"/>
  <c r="Q196" i="3"/>
  <c r="K196" i="3"/>
  <c r="N200" i="3"/>
  <c r="Q200" i="3"/>
  <c r="K200" i="3"/>
  <c r="K204" i="3"/>
  <c r="N204" i="3"/>
  <c r="Q204" i="3"/>
  <c r="K208" i="3"/>
  <c r="N208" i="3"/>
  <c r="Q208" i="3"/>
  <c r="K212" i="3"/>
  <c r="N212" i="3"/>
  <c r="Q212" i="3"/>
  <c r="R18" i="2"/>
  <c r="M21" i="2"/>
  <c r="T16" i="2"/>
  <c r="L27" i="2"/>
  <c r="E13" i="2"/>
  <c r="U12" i="2"/>
  <c r="AA44" i="2"/>
  <c r="S7" i="2"/>
  <c r="J7" i="2"/>
  <c r="E25" i="2"/>
  <c r="V16" i="2"/>
  <c r="E8" i="17"/>
  <c r="I11" i="2"/>
  <c r="U18" i="2"/>
  <c r="K18" i="21"/>
  <c r="I15" i="2"/>
  <c r="S18" i="2"/>
  <c r="J20" i="2"/>
  <c r="K21" i="2"/>
  <c r="E20" i="19"/>
  <c r="AA18" i="2"/>
  <c r="S26" i="2"/>
  <c r="Z49" i="2"/>
  <c r="U26" i="2"/>
  <c r="Z25" i="2"/>
  <c r="F22" i="2"/>
  <c r="AA55" i="2"/>
  <c r="D12" i="2"/>
  <c r="J13" i="2"/>
  <c r="C23" i="2"/>
  <c r="I20" i="2"/>
  <c r="Z39" i="2"/>
  <c r="F20" i="2"/>
  <c r="C18" i="2"/>
  <c r="P25" i="2"/>
  <c r="E7" i="2"/>
  <c r="AA10" i="2"/>
  <c r="R7" i="2"/>
  <c r="G12" i="2"/>
  <c r="F7" i="2"/>
  <c r="F11" i="2"/>
  <c r="U20" i="2"/>
  <c r="V6" i="2"/>
  <c r="R14" i="2"/>
  <c r="D8" i="2"/>
  <c r="H8" i="2"/>
  <c r="Z20" i="2"/>
  <c r="H19" i="2"/>
  <c r="L8" i="2"/>
  <c r="O9" i="2"/>
  <c r="P24" i="2"/>
  <c r="F21" i="21"/>
  <c r="V5" i="2"/>
  <c r="Z13" i="2"/>
  <c r="W24" i="2"/>
  <c r="M13" i="2"/>
  <c r="D19" i="2"/>
  <c r="N19" i="2"/>
  <c r="O24" i="2"/>
  <c r="E23" i="19"/>
  <c r="C20" i="2"/>
  <c r="C13" i="2"/>
  <c r="W15" i="2"/>
  <c r="K9" i="21"/>
  <c r="Z26" i="2"/>
  <c r="E8" i="2"/>
  <c r="V8" i="2"/>
  <c r="B20" i="2"/>
  <c r="O27" i="2"/>
  <c r="C24" i="19"/>
  <c r="AA28" i="2"/>
  <c r="S5" i="2"/>
  <c r="E9" i="21"/>
  <c r="C12" i="2"/>
  <c r="G7" i="2"/>
  <c r="AA14" i="2"/>
  <c r="E6" i="2"/>
  <c r="X6" i="2"/>
  <c r="J19" i="21"/>
  <c r="C9" i="16"/>
  <c r="W6" i="2"/>
  <c r="AA67" i="2"/>
  <c r="V14" i="2"/>
  <c r="P18" i="2"/>
  <c r="C22" i="19"/>
  <c r="N11" i="2"/>
  <c r="AA23" i="2"/>
  <c r="R24" i="2"/>
  <c r="F22" i="21"/>
  <c r="Z47" i="2"/>
  <c r="AA39" i="2"/>
  <c r="Q21" i="2"/>
  <c r="Z52" i="2"/>
  <c r="B3" i="24"/>
  <c r="Q23" i="2"/>
  <c r="Q5" i="2"/>
  <c r="T18" i="2"/>
  <c r="P20" i="2"/>
  <c r="I19" i="2"/>
  <c r="G11" i="2"/>
  <c r="O8" i="2"/>
  <c r="T6" i="2"/>
  <c r="S19" i="2"/>
  <c r="Z12" i="2"/>
  <c r="W23" i="2"/>
  <c r="E12" i="19"/>
  <c r="I6" i="2"/>
  <c r="L19" i="2"/>
  <c r="L12" i="2"/>
  <c r="Z10" i="2"/>
  <c r="O17" i="2"/>
  <c r="X7" i="2"/>
  <c r="Z59" i="2"/>
  <c r="W7" i="2"/>
  <c r="E22" i="21"/>
  <c r="AA41" i="2"/>
  <c r="M5" i="2"/>
  <c r="P19" i="2"/>
  <c r="N25" i="2"/>
  <c r="Q7" i="2"/>
  <c r="Y11" i="2"/>
  <c r="N10" i="2"/>
  <c r="Z21" i="2"/>
  <c r="Z18" i="2"/>
  <c r="P23" i="2"/>
  <c r="M26" i="2"/>
  <c r="AA65" i="2"/>
  <c r="AA33" i="2"/>
  <c r="F13" i="2"/>
  <c r="AA9" i="2"/>
  <c r="Z57" i="2"/>
  <c r="Z42" i="2"/>
  <c r="C18" i="19"/>
  <c r="N22" i="2"/>
  <c r="O16" i="2"/>
  <c r="E18" i="19"/>
  <c r="Q9" i="2"/>
  <c r="J27" i="2"/>
  <c r="F11" i="21"/>
  <c r="I12" i="2"/>
  <c r="Y8" i="2"/>
  <c r="C22" i="2"/>
  <c r="Q12" i="2"/>
  <c r="S24" i="2"/>
  <c r="B8" i="2"/>
  <c r="C19" i="19"/>
  <c r="Z34" i="2"/>
  <c r="Q25" i="2"/>
  <c r="C26" i="2"/>
  <c r="G17" i="2"/>
  <c r="Z67" i="2"/>
  <c r="W26" i="2"/>
  <c r="H7" i="2"/>
  <c r="Z16" i="2"/>
  <c r="Y16" i="2"/>
  <c r="W16" i="2"/>
  <c r="M14" i="2"/>
  <c r="W8" i="2"/>
  <c r="E9" i="2"/>
  <c r="G24" i="2"/>
  <c r="L11" i="2"/>
  <c r="E10" i="19"/>
  <c r="N20" i="2"/>
  <c r="P5" i="2"/>
  <c r="T9" i="2"/>
  <c r="D17" i="2"/>
  <c r="V18" i="2"/>
  <c r="Y21" i="2"/>
  <c r="R17" i="2"/>
  <c r="E18" i="2"/>
  <c r="O25" i="2"/>
  <c r="T11" i="2"/>
  <c r="D10" i="20"/>
  <c r="Y13" i="2"/>
  <c r="O11" i="2"/>
  <c r="H20" i="2"/>
  <c r="D18" i="2"/>
  <c r="P12" i="2"/>
  <c r="AA40" i="2"/>
  <c r="C19" i="2"/>
  <c r="R23" i="2"/>
  <c r="G22" i="2"/>
  <c r="M6" i="2"/>
  <c r="AA38" i="2"/>
  <c r="I26" i="2"/>
  <c r="N15" i="2"/>
  <c r="E13" i="19"/>
  <c r="E21" i="19"/>
  <c r="W19" i="2"/>
  <c r="O13" i="2"/>
  <c r="Z40" i="2"/>
  <c r="F24" i="2"/>
  <c r="Y22" i="2"/>
  <c r="F16" i="2"/>
  <c r="Z17" i="2"/>
  <c r="Y10" i="2"/>
  <c r="Z54" i="2"/>
  <c r="AA19" i="2"/>
  <c r="N8" i="2"/>
  <c r="F5" i="2"/>
  <c r="D14" i="20"/>
  <c r="L21" i="2"/>
  <c r="T10" i="2"/>
  <c r="AA27" i="2"/>
  <c r="T8" i="2"/>
  <c r="N16" i="2"/>
  <c r="V26" i="2"/>
  <c r="V7" i="2"/>
  <c r="Q27" i="2"/>
  <c r="B25" i="2"/>
  <c r="B27" i="2"/>
  <c r="K20" i="2"/>
  <c r="W5" i="2"/>
  <c r="L18" i="2"/>
  <c r="R21" i="2"/>
  <c r="I27" i="2"/>
  <c r="AA50" i="2"/>
  <c r="D12" i="20"/>
  <c r="H17" i="2"/>
  <c r="P11" i="2"/>
  <c r="J21" i="21"/>
  <c r="AA25" i="2"/>
  <c r="X24" i="2"/>
  <c r="V9" i="2"/>
  <c r="C24" i="2"/>
  <c r="E11" i="21"/>
  <c r="L16" i="2"/>
  <c r="AA16" i="2"/>
  <c r="P15" i="2"/>
  <c r="L23" i="2"/>
  <c r="L9" i="2"/>
  <c r="J11" i="2"/>
  <c r="S14" i="2"/>
  <c r="X20" i="2"/>
  <c r="F19" i="2"/>
  <c r="W20" i="2"/>
  <c r="O12" i="2"/>
  <c r="D11" i="2"/>
  <c r="F8" i="21"/>
  <c r="K13" i="2"/>
  <c r="H15" i="2"/>
  <c r="F6" i="2"/>
  <c r="N21" i="2"/>
  <c r="I7" i="2"/>
  <c r="J18" i="2"/>
  <c r="M10" i="2"/>
  <c r="O18" i="2"/>
  <c r="D16" i="2"/>
  <c r="AA35" i="2"/>
  <c r="X17" i="2"/>
  <c r="Q14" i="2"/>
  <c r="Y20" i="2"/>
  <c r="X14" i="2"/>
  <c r="F12" i="2"/>
  <c r="Z61" i="2"/>
  <c r="E23" i="2"/>
  <c r="K12" i="2"/>
  <c r="U10" i="2"/>
  <c r="Q13" i="2"/>
  <c r="S9" i="2"/>
  <c r="Y23" i="2"/>
  <c r="Y27" i="2"/>
  <c r="Q22" i="2"/>
  <c r="M22" i="2"/>
  <c r="Z60" i="2"/>
  <c r="R9" i="2"/>
  <c r="H23" i="2"/>
  <c r="D14" i="2"/>
  <c r="N13" i="2"/>
  <c r="M25" i="2"/>
  <c r="S25" i="2"/>
  <c r="U17" i="2"/>
  <c r="Z7" i="2"/>
  <c r="X18" i="2"/>
  <c r="O22" i="2"/>
  <c r="B4" i="24"/>
  <c r="Z30" i="2"/>
  <c r="X9" i="2"/>
  <c r="O26" i="2"/>
  <c r="F15" i="2"/>
  <c r="V22" i="2"/>
  <c r="D26" i="2"/>
  <c r="M24" i="2"/>
  <c r="K10" i="2"/>
  <c r="X26" i="2"/>
  <c r="F10" i="21"/>
  <c r="G27" i="2"/>
  <c r="Z29" i="2"/>
  <c r="Z31" i="2"/>
  <c r="B6" i="2"/>
  <c r="S22" i="2"/>
  <c r="I16" i="2"/>
  <c r="M12" i="2"/>
  <c r="AA63" i="2"/>
  <c r="B21" i="2"/>
  <c r="K26" i="2"/>
  <c r="Q26" i="2"/>
  <c r="B7" i="2"/>
  <c r="Z51" i="2"/>
  <c r="L22" i="2"/>
  <c r="D20" i="2"/>
  <c r="J26" i="2"/>
  <c r="Q24" i="2"/>
  <c r="X21" i="2"/>
  <c r="E17" i="2"/>
  <c r="E10" i="2"/>
  <c r="J8" i="2"/>
  <c r="W10" i="2"/>
  <c r="P9" i="2"/>
  <c r="S6" i="2"/>
  <c r="D10" i="2"/>
  <c r="S16" i="2"/>
  <c r="B23" i="2"/>
  <c r="T22" i="2"/>
  <c r="M11" i="2"/>
  <c r="Z23" i="2"/>
  <c r="AA47" i="2"/>
  <c r="AA26" i="2"/>
  <c r="R19" i="2"/>
  <c r="H5" i="2"/>
  <c r="X22" i="2"/>
  <c r="X5" i="2"/>
  <c r="J17" i="2"/>
  <c r="B16" i="2"/>
  <c r="Y26" i="2"/>
  <c r="B18" i="2"/>
  <c r="S17" i="2"/>
  <c r="Q18" i="2"/>
  <c r="O5" i="2"/>
  <c r="K19" i="21"/>
  <c r="M7" i="2"/>
  <c r="J22" i="2"/>
  <c r="E22" i="2"/>
  <c r="J9" i="2"/>
  <c r="T21" i="2"/>
  <c r="S8" i="2"/>
  <c r="M20" i="2"/>
  <c r="Y14" i="2"/>
  <c r="S11" i="2"/>
  <c r="R22" i="2"/>
  <c r="S15" i="2"/>
  <c r="Y6" i="2"/>
  <c r="N14" i="2"/>
  <c r="D9" i="2"/>
  <c r="S23" i="2"/>
  <c r="X27" i="2"/>
  <c r="F23" i="2"/>
  <c r="D5" i="2"/>
  <c r="AA64" i="2"/>
  <c r="K16" i="2"/>
  <c r="L20" i="2"/>
  <c r="Y25" i="2"/>
  <c r="I25" i="2"/>
  <c r="AA57" i="2"/>
  <c r="F27" i="2"/>
  <c r="AA31" i="2"/>
  <c r="J25" i="2"/>
  <c r="I22" i="2"/>
  <c r="L15" i="2"/>
  <c r="V12" i="2"/>
  <c r="M18" i="2"/>
  <c r="K8" i="21"/>
  <c r="X16" i="2"/>
  <c r="P8" i="2"/>
  <c r="S13" i="2"/>
  <c r="B15" i="2"/>
  <c r="E19" i="19"/>
  <c r="Q15" i="2"/>
  <c r="K22" i="21"/>
  <c r="AA7" i="2"/>
  <c r="G14" i="2"/>
  <c r="V17" i="2"/>
  <c r="H6" i="2"/>
  <c r="Q10" i="2"/>
  <c r="L13" i="2"/>
  <c r="X8" i="2"/>
  <c r="C11" i="2"/>
  <c r="L26" i="2"/>
  <c r="C21" i="19"/>
  <c r="Z68" i="2"/>
  <c r="J15" i="2"/>
  <c r="W17" i="2"/>
  <c r="Z48" i="2"/>
  <c r="AA62" i="2"/>
  <c r="Z35" i="2"/>
  <c r="K18" i="2"/>
  <c r="T15" i="2"/>
  <c r="Q11" i="2"/>
  <c r="AA36" i="2"/>
  <c r="AA12" i="2"/>
  <c r="N27" i="2"/>
  <c r="AA13" i="2"/>
  <c r="E8" i="21"/>
  <c r="C5" i="2"/>
  <c r="Z46" i="2"/>
  <c r="Z43" i="2"/>
  <c r="G23" i="2"/>
  <c r="Z11" i="2"/>
  <c r="T14" i="2"/>
  <c r="R15" i="2"/>
  <c r="C9" i="2"/>
  <c r="K7" i="2"/>
  <c r="U27" i="2"/>
  <c r="K14" i="2"/>
  <c r="G8" i="2"/>
  <c r="J5" i="2"/>
  <c r="F14" i="2"/>
  <c r="H24" i="2"/>
  <c r="K21" i="21"/>
  <c r="E22" i="19"/>
  <c r="E18" i="21"/>
  <c r="I14" i="2"/>
  <c r="O15" i="2"/>
  <c r="U11" i="2"/>
  <c r="Z70" i="2"/>
  <c r="O7" i="2"/>
  <c r="T13" i="2"/>
  <c r="U8" i="2"/>
  <c r="W12" i="2"/>
  <c r="K8" i="2"/>
  <c r="C15" i="19"/>
  <c r="K9" i="2"/>
  <c r="M15" i="2"/>
  <c r="H14" i="2"/>
  <c r="H27" i="2"/>
  <c r="S20" i="2"/>
  <c r="T20" i="2"/>
  <c r="V11" i="2"/>
  <c r="T27" i="2"/>
  <c r="AA29" i="2"/>
  <c r="O19" i="2"/>
  <c r="O21" i="2"/>
  <c r="Q6" i="2"/>
  <c r="L25" i="2"/>
  <c r="C23" i="19"/>
  <c r="G21" i="2"/>
  <c r="K6" i="2"/>
  <c r="X13" i="2"/>
  <c r="C20" i="19"/>
  <c r="Z14" i="2"/>
  <c r="Z63" i="2"/>
  <c r="W9" i="2"/>
  <c r="Z28" i="2"/>
  <c r="J10" i="21"/>
  <c r="O10" i="2"/>
  <c r="D27" i="2"/>
  <c r="V24" i="2"/>
  <c r="Q8" i="2"/>
  <c r="F25" i="2"/>
  <c r="T5" i="2"/>
  <c r="J19" i="2"/>
  <c r="N18" i="2"/>
  <c r="G6" i="2"/>
  <c r="G9" i="2"/>
  <c r="E20" i="21"/>
  <c r="P14" i="2"/>
  <c r="T23" i="2"/>
  <c r="M8" i="2"/>
  <c r="K5" i="2"/>
  <c r="U14" i="2"/>
  <c r="P17" i="2"/>
  <c r="AA61" i="2"/>
  <c r="F10" i="2"/>
  <c r="G5" i="2"/>
  <c r="K25" i="2"/>
  <c r="J24" i="2"/>
  <c r="Z36" i="2"/>
  <c r="AA43" i="2"/>
  <c r="Y19" i="2"/>
  <c r="AA21" i="2"/>
  <c r="I13" i="2"/>
  <c r="M19" i="2"/>
  <c r="C21" i="2"/>
  <c r="P22" i="2"/>
  <c r="D15" i="2"/>
  <c r="S10" i="2"/>
  <c r="Z38" i="2"/>
  <c r="S12" i="2"/>
  <c r="AA49" i="2"/>
  <c r="D6" i="2"/>
  <c r="K22" i="2"/>
  <c r="Q20" i="2"/>
  <c r="K27" i="2"/>
  <c r="C8" i="2"/>
  <c r="H16" i="2"/>
  <c r="AA66" i="2"/>
  <c r="U6" i="2"/>
  <c r="O23" i="2"/>
  <c r="I9" i="2"/>
  <c r="AA15" i="2"/>
  <c r="E19" i="2"/>
  <c r="M27" i="2"/>
  <c r="J9" i="21"/>
  <c r="G18" i="2"/>
  <c r="E12" i="2"/>
  <c r="G19" i="2"/>
  <c r="V23" i="2"/>
  <c r="L7" i="2"/>
  <c r="G13" i="2"/>
  <c r="E11" i="2"/>
  <c r="K19" i="2"/>
  <c r="V20" i="2"/>
  <c r="Z32" i="2"/>
  <c r="J16" i="2"/>
  <c r="N23" i="2"/>
  <c r="V19" i="2"/>
  <c r="F18" i="21"/>
  <c r="Z56" i="2"/>
  <c r="T25" i="2"/>
  <c r="B24" i="2"/>
  <c r="X19" i="2"/>
  <c r="Z50" i="2"/>
  <c r="W14" i="2"/>
  <c r="R26" i="2"/>
  <c r="P7" i="2"/>
  <c r="R25" i="2"/>
  <c r="AA53" i="2"/>
  <c r="T17" i="2"/>
  <c r="Y17" i="2"/>
  <c r="K23" i="2"/>
  <c r="V15" i="2"/>
  <c r="X12" i="2"/>
  <c r="G16" i="2"/>
  <c r="T7" i="2"/>
  <c r="R8" i="2"/>
  <c r="Z22" i="2"/>
  <c r="R16" i="2"/>
  <c r="Q19" i="2"/>
  <c r="AA60" i="2"/>
  <c r="Z69" i="2"/>
  <c r="L14" i="2"/>
  <c r="D11" i="20"/>
  <c r="L5" i="2"/>
  <c r="D13" i="20"/>
  <c r="U13" i="2"/>
  <c r="AA69" i="2"/>
  <c r="E14" i="19"/>
  <c r="T12" i="2"/>
  <c r="AA32" i="2"/>
  <c r="U25" i="2"/>
  <c r="Y15" i="2"/>
  <c r="R5" i="2"/>
  <c r="B19" i="2"/>
  <c r="X11" i="2"/>
  <c r="B9" i="2"/>
  <c r="N24" i="2"/>
  <c r="I5" i="2"/>
  <c r="Z5" i="2"/>
  <c r="O20" i="2"/>
  <c r="Z24" i="2"/>
  <c r="B14" i="2"/>
  <c r="AA59" i="2"/>
  <c r="U24" i="2"/>
  <c r="E11" i="19"/>
  <c r="E14" i="2"/>
  <c r="P6" i="2"/>
  <c r="C15" i="2"/>
  <c r="E27" i="2"/>
  <c r="U22" i="2"/>
  <c r="P13" i="2"/>
  <c r="W25" i="2"/>
  <c r="W21" i="2"/>
  <c r="U5" i="2"/>
  <c r="H13" i="2"/>
  <c r="C6" i="2"/>
  <c r="B11" i="2"/>
  <c r="D13" i="2"/>
  <c r="P27" i="2"/>
  <c r="AA42" i="2"/>
  <c r="Z8" i="2"/>
  <c r="H11" i="2"/>
  <c r="E10" i="21"/>
  <c r="J8" i="21"/>
  <c r="X25" i="2"/>
  <c r="AA30" i="2"/>
  <c r="C13" i="19"/>
  <c r="C17" i="2"/>
  <c r="G25" i="2"/>
  <c r="J23" i="2"/>
  <c r="H25" i="2"/>
  <c r="D24" i="2"/>
  <c r="H12" i="2"/>
  <c r="AA46" i="2"/>
  <c r="Q16" i="2"/>
  <c r="C12" i="19"/>
  <c r="F21" i="2"/>
  <c r="K11" i="2"/>
  <c r="W13" i="2"/>
  <c r="V27" i="2"/>
  <c r="X10" i="2"/>
  <c r="Y24" i="2"/>
  <c r="K10" i="21"/>
  <c r="G15" i="2"/>
  <c r="W27" i="2"/>
  <c r="J12" i="2"/>
  <c r="N12" i="2"/>
  <c r="W22" i="2"/>
  <c r="C16" i="19"/>
  <c r="E26" i="2"/>
  <c r="E9" i="16"/>
  <c r="AA48" i="2"/>
  <c r="Q17" i="2"/>
  <c r="Z9" i="2"/>
  <c r="D22" i="2"/>
  <c r="AA22" i="2"/>
  <c r="K15" i="2"/>
  <c r="F20" i="21"/>
  <c r="Y9" i="2"/>
  <c r="U23" i="2"/>
  <c r="O14" i="2"/>
  <c r="D8" i="20"/>
  <c r="B5" i="2"/>
  <c r="U19" i="2"/>
  <c r="P26" i="2"/>
  <c r="D9" i="20"/>
  <c r="AA56" i="2"/>
  <c r="AA20" i="2"/>
  <c r="S27" i="2"/>
  <c r="C11" i="19"/>
  <c r="Z58" i="2"/>
  <c r="AA68" i="2"/>
  <c r="I8" i="2"/>
  <c r="R13" i="2"/>
  <c r="W18" i="2"/>
  <c r="AA8" i="2"/>
  <c r="P21" i="2"/>
  <c r="R20" i="2"/>
  <c r="C25" i="2"/>
  <c r="Z44" i="2"/>
  <c r="U21" i="2"/>
  <c r="F26" i="2"/>
  <c r="J6" i="2"/>
  <c r="E20" i="2"/>
  <c r="Z55" i="2"/>
  <c r="V10" i="2"/>
  <c r="AA45" i="2"/>
  <c r="Y5" i="2"/>
  <c r="H21" i="2"/>
  <c r="P16" i="2"/>
  <c r="E24" i="2"/>
  <c r="G26" i="2"/>
  <c r="E19" i="21"/>
  <c r="O6" i="2"/>
  <c r="N5" i="2"/>
  <c r="B13" i="2"/>
  <c r="G10" i="2"/>
  <c r="I24" i="2"/>
  <c r="N26" i="2"/>
  <c r="B22" i="2"/>
  <c r="C27" i="2"/>
  <c r="M16" i="2"/>
  <c r="H26" i="2"/>
  <c r="G20" i="2"/>
  <c r="AA58" i="2"/>
  <c r="J18" i="21"/>
  <c r="AA54" i="2"/>
  <c r="E21" i="2"/>
  <c r="Z65" i="2"/>
  <c r="B26" i="2"/>
  <c r="B10" i="2"/>
  <c r="F9" i="2"/>
  <c r="C14" i="2"/>
  <c r="I23" i="2"/>
  <c r="I17" i="2"/>
  <c r="X23" i="2"/>
  <c r="I21" i="2"/>
  <c r="R10" i="2"/>
  <c r="T24" i="2"/>
  <c r="D23" i="2"/>
  <c r="Z33" i="2"/>
  <c r="T26" i="2"/>
  <c r="H9" i="2"/>
  <c r="C10" i="2"/>
  <c r="B17" i="2"/>
  <c r="L6" i="2"/>
  <c r="M17" i="2"/>
  <c r="B5" i="24"/>
  <c r="N6" i="2"/>
  <c r="E24" i="19"/>
  <c r="E15" i="19"/>
  <c r="U9" i="2"/>
  <c r="Z27" i="2"/>
  <c r="AA70" i="2"/>
  <c r="Z64" i="2"/>
  <c r="N9" i="2"/>
  <c r="K24" i="2"/>
  <c r="E16" i="2"/>
  <c r="AA51" i="2"/>
  <c r="B12" i="2"/>
  <c r="V25" i="2"/>
  <c r="C8" i="17"/>
  <c r="E5" i="2"/>
  <c r="AA24" i="2"/>
  <c r="R27" i="2"/>
  <c r="S21" i="2"/>
  <c r="P10" i="2"/>
  <c r="AA17" i="2"/>
  <c r="L10" i="2"/>
  <c r="D25" i="2"/>
  <c r="X15" i="2"/>
  <c r="AA52" i="2"/>
  <c r="Z37" i="2"/>
  <c r="H22" i="2"/>
  <c r="Y18" i="2"/>
  <c r="Y12" i="2"/>
  <c r="AA37" i="2"/>
  <c r="C14" i="19"/>
  <c r="E21" i="21"/>
  <c r="J21" i="2"/>
  <c r="Z15" i="2"/>
  <c r="H10" i="2"/>
  <c r="N17" i="2"/>
  <c r="T19" i="2"/>
  <c r="F17" i="2"/>
  <c r="D21" i="2"/>
  <c r="F9" i="21"/>
  <c r="Y7" i="2"/>
  <c r="L17" i="2"/>
  <c r="Z53" i="2"/>
  <c r="J10" i="2"/>
  <c r="AA5" i="2"/>
  <c r="R12" i="2"/>
  <c r="C16" i="2"/>
  <c r="J14" i="2"/>
  <c r="Z6" i="2"/>
  <c r="U7" i="2"/>
  <c r="C10" i="19"/>
  <c r="W11" i="2"/>
  <c r="F18" i="2"/>
  <c r="V21" i="2"/>
  <c r="N7" i="2"/>
  <c r="Z45" i="2"/>
  <c r="E16" i="19"/>
  <c r="AA34" i="2"/>
  <c r="Z62" i="2"/>
  <c r="J22" i="21"/>
  <c r="M9" i="2"/>
  <c r="L24" i="2"/>
  <c r="K17" i="2"/>
  <c r="U16" i="2"/>
  <c r="Z66" i="2"/>
  <c r="Z41" i="2"/>
  <c r="R6" i="2"/>
  <c r="V13" i="2"/>
  <c r="D7" i="2"/>
  <c r="U15" i="2"/>
  <c r="I10" i="2"/>
  <c r="AA11" i="2"/>
  <c r="C7" i="2"/>
  <c r="H18" i="2"/>
  <c r="M23" i="2"/>
  <c r="I18" i="2"/>
  <c r="AA6" i="2"/>
  <c r="R11" i="2"/>
  <c r="F19" i="21"/>
  <c r="Z19" i="2"/>
  <c r="E15" i="2"/>
  <c r="F8" i="2"/>
  <c r="B10" i="3" l="1"/>
  <c r="K10" i="3"/>
  <c r="Q10" i="3"/>
  <c r="N10" i="3"/>
  <c r="E10" i="3"/>
  <c r="H10" i="3"/>
  <c r="I11" i="3" s="1"/>
  <c r="D4" i="27"/>
  <c r="D4" i="21"/>
  <c r="D2" i="20"/>
  <c r="I2" i="13"/>
  <c r="J2" i="28" s="1"/>
  <c r="E15" i="3"/>
  <c r="F16" i="3" s="1"/>
  <c r="B15" i="3"/>
  <c r="H15" i="3"/>
  <c r="E14" i="3"/>
  <c r="F15" i="3" s="1"/>
  <c r="B14" i="3"/>
  <c r="C15" i="3" s="1"/>
  <c r="H14" i="3"/>
  <c r="Q13" i="3"/>
  <c r="B13" i="3"/>
  <c r="AO9" i="4"/>
  <c r="Y9" i="4" s="1"/>
  <c r="AO13" i="4"/>
  <c r="T13" i="4" s="1"/>
  <c r="H13" i="3"/>
  <c r="N13" i="3"/>
  <c r="AO11" i="4"/>
  <c r="I11" i="4" s="1"/>
  <c r="E13" i="3"/>
  <c r="K13" i="3"/>
  <c r="Q9" i="3"/>
  <c r="R9" i="3"/>
  <c r="L9" i="3"/>
  <c r="H9" i="3"/>
  <c r="K9" i="3"/>
  <c r="L10" i="3" s="1"/>
  <c r="B9" i="3"/>
  <c r="C10" i="3" s="1"/>
  <c r="N9" i="3"/>
  <c r="E9" i="3"/>
  <c r="H19" i="3"/>
  <c r="B19" i="3"/>
  <c r="E19" i="3"/>
  <c r="AO17" i="4"/>
  <c r="B20" i="3"/>
  <c r="H20" i="3"/>
  <c r="E20" i="3"/>
  <c r="AO18" i="4"/>
  <c r="E70" i="3" s="1"/>
  <c r="AO19" i="4"/>
  <c r="H8" i="3"/>
  <c r="I8" i="3"/>
  <c r="E8" i="3"/>
  <c r="N8" i="3"/>
  <c r="B8" i="3"/>
  <c r="B18" i="3"/>
  <c r="C19" i="3" s="1"/>
  <c r="H18" i="3"/>
  <c r="E18" i="3"/>
  <c r="B16" i="3"/>
  <c r="C17" i="3" s="1"/>
  <c r="E16" i="3"/>
  <c r="F17" i="3" s="1"/>
  <c r="H16" i="3"/>
  <c r="B5" i="3"/>
  <c r="D5" i="3" s="1"/>
  <c r="H5" i="3"/>
  <c r="K5" i="3"/>
  <c r="M5" i="3" s="1"/>
  <c r="Q5" i="3"/>
  <c r="K12" i="3"/>
  <c r="B12" i="3"/>
  <c r="C13" i="3" s="1"/>
  <c r="E12" i="3"/>
  <c r="Q12" i="3"/>
  <c r="H12" i="3"/>
  <c r="I13" i="3" s="1"/>
  <c r="N12" i="3"/>
  <c r="K7" i="3"/>
  <c r="M7" i="3" s="1"/>
  <c r="B7" i="3"/>
  <c r="E7" i="3"/>
  <c r="N7" i="3"/>
  <c r="O8" i="3" s="1"/>
  <c r="Q7" i="3"/>
  <c r="R8" i="3" s="1"/>
  <c r="C7" i="3"/>
  <c r="B3" i="27"/>
  <c r="B3" i="21"/>
  <c r="D3" i="20"/>
  <c r="H2" i="13"/>
  <c r="I2" i="28" s="1"/>
  <c r="E6" i="3"/>
  <c r="H6" i="3"/>
  <c r="J6" i="3" s="1"/>
  <c r="O6" i="3"/>
  <c r="Q6" i="3"/>
  <c r="F6" i="3"/>
  <c r="K6" i="3"/>
  <c r="N6" i="3"/>
  <c r="F1" i="26" s="1"/>
  <c r="H17" i="3"/>
  <c r="E17" i="3"/>
  <c r="F18" i="3" s="1"/>
  <c r="B17" i="3"/>
  <c r="C18" i="3" s="1"/>
  <c r="B4" i="27"/>
  <c r="B4" i="21"/>
  <c r="H3" i="13"/>
  <c r="I3" i="28" s="1"/>
  <c r="B11" i="3"/>
  <c r="H11" i="3"/>
  <c r="I12" i="3" s="1"/>
  <c r="Q11" i="3"/>
  <c r="K11" i="3"/>
  <c r="N11" i="3"/>
  <c r="O12" i="3" s="1"/>
  <c r="E11" i="3"/>
  <c r="S188" i="3"/>
  <c r="R189" i="3"/>
  <c r="M80" i="3"/>
  <c r="L81" i="3"/>
  <c r="S208" i="3"/>
  <c r="R209" i="3"/>
  <c r="P200" i="3"/>
  <c r="O201" i="3"/>
  <c r="M188" i="3"/>
  <c r="L189" i="3"/>
  <c r="R177" i="3"/>
  <c r="S176" i="3"/>
  <c r="S168" i="3"/>
  <c r="R169" i="3"/>
  <c r="P156" i="3"/>
  <c r="O157" i="3"/>
  <c r="L145" i="3"/>
  <c r="M144" i="3"/>
  <c r="S136" i="3"/>
  <c r="R137" i="3"/>
  <c r="L125" i="3"/>
  <c r="M124" i="3"/>
  <c r="M112" i="3"/>
  <c r="L113" i="3"/>
  <c r="M104" i="3"/>
  <c r="L105" i="3"/>
  <c r="L93" i="3"/>
  <c r="M92" i="3"/>
  <c r="P80" i="3"/>
  <c r="O81" i="3"/>
  <c r="P178" i="3"/>
  <c r="O179" i="3"/>
  <c r="S134" i="3"/>
  <c r="R135" i="3"/>
  <c r="O103" i="3"/>
  <c r="P102" i="3"/>
  <c r="O211" i="3"/>
  <c r="P210" i="3"/>
  <c r="S146" i="3"/>
  <c r="R147" i="3"/>
  <c r="R115" i="3"/>
  <c r="S114" i="3"/>
  <c r="L212" i="3"/>
  <c r="M211" i="3"/>
  <c r="P199" i="3"/>
  <c r="O200" i="3"/>
  <c r="M191" i="3"/>
  <c r="L192" i="3"/>
  <c r="M179" i="3"/>
  <c r="L180" i="3"/>
  <c r="S167" i="3"/>
  <c r="R168" i="3"/>
  <c r="M159" i="3"/>
  <c r="L160" i="3"/>
  <c r="L148" i="3"/>
  <c r="M147" i="3"/>
  <c r="P135" i="3"/>
  <c r="O136" i="3"/>
  <c r="P127" i="3"/>
  <c r="O128" i="3"/>
  <c r="S115" i="3"/>
  <c r="R116" i="3"/>
  <c r="P103" i="3"/>
  <c r="O104" i="3"/>
  <c r="L96" i="3"/>
  <c r="M95" i="3"/>
  <c r="S83" i="3"/>
  <c r="R84" i="3"/>
  <c r="M190" i="3"/>
  <c r="L191" i="3"/>
  <c r="M142" i="3"/>
  <c r="L143" i="3"/>
  <c r="M90" i="3"/>
  <c r="L91" i="3"/>
  <c r="P214" i="3"/>
  <c r="O215" i="3"/>
  <c r="S170" i="3"/>
  <c r="R171" i="3"/>
  <c r="M126" i="3"/>
  <c r="L127" i="3"/>
  <c r="P98" i="3"/>
  <c r="O99" i="3"/>
  <c r="R86" i="3"/>
  <c r="S85" i="3"/>
  <c r="M209" i="3"/>
  <c r="L210" i="3"/>
  <c r="M201" i="3"/>
  <c r="L202" i="3"/>
  <c r="P189" i="3"/>
  <c r="O190" i="3"/>
  <c r="O178" i="3"/>
  <c r="P177" i="3"/>
  <c r="P169" i="3"/>
  <c r="O170" i="3"/>
  <c r="S157" i="3"/>
  <c r="R158" i="3"/>
  <c r="R146" i="3"/>
  <c r="S145" i="3"/>
  <c r="S137" i="3"/>
  <c r="R138" i="3"/>
  <c r="P125" i="3"/>
  <c r="O126" i="3"/>
  <c r="M113" i="3"/>
  <c r="L114" i="3"/>
  <c r="S105" i="3"/>
  <c r="R106" i="3"/>
  <c r="P89" i="3"/>
  <c r="O90" i="3"/>
  <c r="P164" i="3"/>
  <c r="O165" i="3"/>
  <c r="P112" i="3"/>
  <c r="O113" i="3"/>
  <c r="O87" i="3"/>
  <c r="P86" i="3"/>
  <c r="M199" i="3"/>
  <c r="L200" i="3"/>
  <c r="O168" i="3"/>
  <c r="P167" i="3"/>
  <c r="S147" i="3"/>
  <c r="R148" i="3"/>
  <c r="L136" i="3"/>
  <c r="M135" i="3"/>
  <c r="S123" i="3"/>
  <c r="R124" i="3"/>
  <c r="O116" i="3"/>
  <c r="P115" i="3"/>
  <c r="O84" i="3"/>
  <c r="P83" i="3"/>
  <c r="M174" i="3"/>
  <c r="L175" i="3"/>
  <c r="R143" i="3"/>
  <c r="S142" i="3"/>
  <c r="R91" i="3"/>
  <c r="S90" i="3"/>
  <c r="M198" i="3"/>
  <c r="L199" i="3"/>
  <c r="O171" i="3"/>
  <c r="P170" i="3"/>
  <c r="S126" i="3"/>
  <c r="R127" i="3"/>
  <c r="P82" i="3"/>
  <c r="O83" i="3"/>
  <c r="P85" i="3"/>
  <c r="O86" i="3"/>
  <c r="S209" i="3"/>
  <c r="R210" i="3"/>
  <c r="P197" i="3"/>
  <c r="O198" i="3"/>
  <c r="L190" i="3"/>
  <c r="M189" i="3"/>
  <c r="M177" i="3"/>
  <c r="L178" i="3"/>
  <c r="S165" i="3"/>
  <c r="R166" i="3"/>
  <c r="P157" i="3"/>
  <c r="O158" i="3"/>
  <c r="P145" i="3"/>
  <c r="O146" i="3"/>
  <c r="P133" i="3"/>
  <c r="O134" i="3"/>
  <c r="M125" i="3"/>
  <c r="L126" i="3"/>
  <c r="S113" i="3"/>
  <c r="R114" i="3"/>
  <c r="P101" i="3"/>
  <c r="O102" i="3"/>
  <c r="M89" i="3"/>
  <c r="L90" i="3"/>
  <c r="P176" i="3"/>
  <c r="O177" i="3"/>
  <c r="S124" i="3"/>
  <c r="R125" i="3"/>
  <c r="P206" i="3"/>
  <c r="O207" i="3"/>
  <c r="M94" i="3"/>
  <c r="L95" i="3"/>
  <c r="R180" i="3"/>
  <c r="S179" i="3"/>
  <c r="L156" i="3"/>
  <c r="M155" i="3"/>
  <c r="S103" i="3"/>
  <c r="R104" i="3"/>
  <c r="L209" i="3"/>
  <c r="M208" i="3"/>
  <c r="S196" i="3"/>
  <c r="R197" i="3"/>
  <c r="P184" i="3"/>
  <c r="O185" i="3"/>
  <c r="M176" i="3"/>
  <c r="L177" i="3"/>
  <c r="M164" i="3"/>
  <c r="L165" i="3"/>
  <c r="S152" i="3"/>
  <c r="R153" i="3"/>
  <c r="P144" i="3"/>
  <c r="O145" i="3"/>
  <c r="S132" i="3"/>
  <c r="R133" i="3"/>
  <c r="S120" i="3"/>
  <c r="R121" i="3"/>
  <c r="S112" i="3"/>
  <c r="R113" i="3"/>
  <c r="S100" i="3"/>
  <c r="R101" i="3"/>
  <c r="S88" i="3"/>
  <c r="R89" i="3"/>
  <c r="S80" i="3"/>
  <c r="R81" i="3"/>
  <c r="M206" i="3"/>
  <c r="L207" i="3"/>
  <c r="R167" i="3"/>
  <c r="S166" i="3"/>
  <c r="O135" i="3"/>
  <c r="P134" i="3"/>
  <c r="M86" i="3"/>
  <c r="L87" i="3"/>
  <c r="S182" i="3"/>
  <c r="R183" i="3"/>
  <c r="M146" i="3"/>
  <c r="L147" i="3"/>
  <c r="O95" i="3"/>
  <c r="P94" i="3"/>
  <c r="O208" i="3"/>
  <c r="P207" i="3"/>
  <c r="S199" i="3"/>
  <c r="R200" i="3"/>
  <c r="R188" i="3"/>
  <c r="S187" i="3"/>
  <c r="P175" i="3"/>
  <c r="O176" i="3"/>
  <c r="M167" i="3"/>
  <c r="L168" i="3"/>
  <c r="S155" i="3"/>
  <c r="R156" i="3"/>
  <c r="S143" i="3"/>
  <c r="R144" i="3"/>
  <c r="S135" i="3"/>
  <c r="R136" i="3"/>
  <c r="O124" i="3"/>
  <c r="P123" i="3"/>
  <c r="L112" i="3"/>
  <c r="M111" i="3"/>
  <c r="L104" i="3"/>
  <c r="M103" i="3"/>
  <c r="O92" i="3"/>
  <c r="P91" i="3"/>
  <c r="S174" i="3"/>
  <c r="R175" i="3"/>
  <c r="M122" i="3"/>
  <c r="L123" i="3"/>
  <c r="P90" i="3"/>
  <c r="O91" i="3"/>
  <c r="P198" i="3"/>
  <c r="O199" i="3"/>
  <c r="O155" i="3"/>
  <c r="P154" i="3"/>
  <c r="O127" i="3"/>
  <c r="P126" i="3"/>
  <c r="M82" i="3"/>
  <c r="L83" i="3"/>
  <c r="P209" i="3"/>
  <c r="O210" i="3"/>
  <c r="L198" i="3"/>
  <c r="M197" i="3"/>
  <c r="S185" i="3"/>
  <c r="R186" i="3"/>
  <c r="S177" i="3"/>
  <c r="R178" i="3"/>
  <c r="P165" i="3"/>
  <c r="O166" i="3"/>
  <c r="P153" i="3"/>
  <c r="O154" i="3"/>
  <c r="M145" i="3"/>
  <c r="L146" i="3"/>
  <c r="M133" i="3"/>
  <c r="L134" i="3"/>
  <c r="S121" i="3"/>
  <c r="R122" i="3"/>
  <c r="P113" i="3"/>
  <c r="O114" i="3"/>
  <c r="M101" i="3"/>
  <c r="L102" i="3"/>
  <c r="M81" i="3"/>
  <c r="L82" i="3"/>
  <c r="M196" i="3"/>
  <c r="L197" i="3"/>
  <c r="L133" i="3"/>
  <c r="M132" i="3"/>
  <c r="S92" i="3"/>
  <c r="R93" i="3"/>
  <c r="M134" i="3"/>
  <c r="L135" i="3"/>
  <c r="M187" i="3"/>
  <c r="L188" i="3"/>
  <c r="S91" i="3"/>
  <c r="R92" i="3"/>
  <c r="S204" i="3"/>
  <c r="R205" i="3"/>
  <c r="O197" i="3"/>
  <c r="P196" i="3"/>
  <c r="M184" i="3"/>
  <c r="L185" i="3"/>
  <c r="M172" i="3"/>
  <c r="L173" i="3"/>
  <c r="S164" i="3"/>
  <c r="R165" i="3"/>
  <c r="P152" i="3"/>
  <c r="O153" i="3"/>
  <c r="M140" i="3"/>
  <c r="L141" i="3"/>
  <c r="P132" i="3"/>
  <c r="O133" i="3"/>
  <c r="M120" i="3"/>
  <c r="L121" i="3"/>
  <c r="S108" i="3"/>
  <c r="R109" i="3"/>
  <c r="P100" i="3"/>
  <c r="O101" i="3"/>
  <c r="M88" i="3"/>
  <c r="L89" i="3"/>
  <c r="R207" i="3"/>
  <c r="S206" i="3"/>
  <c r="P166" i="3"/>
  <c r="O167" i="3"/>
  <c r="O119" i="3"/>
  <c r="P118" i="3"/>
  <c r="S86" i="3"/>
  <c r="R87" i="3"/>
  <c r="P182" i="3"/>
  <c r="O183" i="3"/>
  <c r="M130" i="3"/>
  <c r="L131" i="3"/>
  <c r="S94" i="3"/>
  <c r="R95" i="3"/>
  <c r="S207" i="3"/>
  <c r="R208" i="3"/>
  <c r="M195" i="3"/>
  <c r="L196" i="3"/>
  <c r="P187" i="3"/>
  <c r="O188" i="3"/>
  <c r="M175" i="3"/>
  <c r="L176" i="3"/>
  <c r="L164" i="3"/>
  <c r="M163" i="3"/>
  <c r="P155" i="3"/>
  <c r="O156" i="3"/>
  <c r="O144" i="3"/>
  <c r="P143" i="3"/>
  <c r="S131" i="3"/>
  <c r="R132" i="3"/>
  <c r="M123" i="3"/>
  <c r="L124" i="3"/>
  <c r="S111" i="3"/>
  <c r="R112" i="3"/>
  <c r="S99" i="3"/>
  <c r="R100" i="3"/>
  <c r="M91" i="3"/>
  <c r="L92" i="3"/>
  <c r="L203" i="3"/>
  <c r="M202" i="3"/>
  <c r="P174" i="3"/>
  <c r="O175" i="3"/>
  <c r="R123" i="3"/>
  <c r="S122" i="3"/>
  <c r="S198" i="3"/>
  <c r="R199" i="3"/>
  <c r="M154" i="3"/>
  <c r="L155" i="3"/>
  <c r="O111" i="3"/>
  <c r="P110" i="3"/>
  <c r="R83" i="3"/>
  <c r="S82" i="3"/>
  <c r="P205" i="3"/>
  <c r="O206" i="3"/>
  <c r="S197" i="3"/>
  <c r="R198" i="3"/>
  <c r="O186" i="3"/>
  <c r="P185" i="3"/>
  <c r="L174" i="3"/>
  <c r="M173" i="3"/>
  <c r="M165" i="3"/>
  <c r="L166" i="3"/>
  <c r="M153" i="3"/>
  <c r="L154" i="3"/>
  <c r="P141" i="3"/>
  <c r="O142" i="3"/>
  <c r="R134" i="3"/>
  <c r="S133" i="3"/>
  <c r="P121" i="3"/>
  <c r="O122" i="3"/>
  <c r="M109" i="3"/>
  <c r="L110" i="3"/>
  <c r="R102" i="3"/>
  <c r="S101" i="3"/>
  <c r="S81" i="3"/>
  <c r="R82" i="3"/>
  <c r="P208" i="3"/>
  <c r="O209" i="3"/>
  <c r="O147" i="3"/>
  <c r="P146" i="3"/>
  <c r="P204" i="3"/>
  <c r="O205" i="3"/>
  <c r="M192" i="3"/>
  <c r="L193" i="3"/>
  <c r="R185" i="3"/>
  <c r="S184" i="3"/>
  <c r="S172" i="3"/>
  <c r="R173" i="3"/>
  <c r="P160" i="3"/>
  <c r="O161" i="3"/>
  <c r="L153" i="3"/>
  <c r="M152" i="3"/>
  <c r="S140" i="3"/>
  <c r="R141" i="3"/>
  <c r="S128" i="3"/>
  <c r="R129" i="3"/>
  <c r="P120" i="3"/>
  <c r="O121" i="3"/>
  <c r="P108" i="3"/>
  <c r="O109" i="3"/>
  <c r="S96" i="3"/>
  <c r="R97" i="3"/>
  <c r="P88" i="3"/>
  <c r="O89" i="3"/>
  <c r="P194" i="3"/>
  <c r="O195" i="3"/>
  <c r="M166" i="3"/>
  <c r="L167" i="3"/>
  <c r="M118" i="3"/>
  <c r="L119" i="3"/>
  <c r="M182" i="3"/>
  <c r="L183" i="3"/>
  <c r="R131" i="3"/>
  <c r="S130" i="3"/>
  <c r="M207" i="3"/>
  <c r="L208" i="3"/>
  <c r="R196" i="3"/>
  <c r="S195" i="3"/>
  <c r="M183" i="3"/>
  <c r="L184" i="3"/>
  <c r="S175" i="3"/>
  <c r="R176" i="3"/>
  <c r="S163" i="3"/>
  <c r="R164" i="3"/>
  <c r="S151" i="3"/>
  <c r="R152" i="3"/>
  <c r="M143" i="3"/>
  <c r="L144" i="3"/>
  <c r="O132" i="3"/>
  <c r="P131" i="3"/>
  <c r="L120" i="3"/>
  <c r="M119" i="3"/>
  <c r="P111" i="3"/>
  <c r="O112" i="3"/>
  <c r="O100" i="3"/>
  <c r="P99" i="3"/>
  <c r="P87" i="3"/>
  <c r="O88" i="3"/>
  <c r="S202" i="3"/>
  <c r="R203" i="3"/>
  <c r="M158" i="3"/>
  <c r="L159" i="3"/>
  <c r="P122" i="3"/>
  <c r="O123" i="3"/>
  <c r="P186" i="3"/>
  <c r="O187" i="3"/>
  <c r="S154" i="3"/>
  <c r="R155" i="3"/>
  <c r="S110" i="3"/>
  <c r="R111" i="3"/>
  <c r="P97" i="3"/>
  <c r="O98" i="3"/>
  <c r="L206" i="3"/>
  <c r="M205" i="3"/>
  <c r="O194" i="3"/>
  <c r="P193" i="3"/>
  <c r="M185" i="3"/>
  <c r="L186" i="3"/>
  <c r="S173" i="3"/>
  <c r="R174" i="3"/>
  <c r="M161" i="3"/>
  <c r="L162" i="3"/>
  <c r="R154" i="3"/>
  <c r="S153" i="3"/>
  <c r="M141" i="3"/>
  <c r="L142" i="3"/>
  <c r="P129" i="3"/>
  <c r="O130" i="3"/>
  <c r="M121" i="3"/>
  <c r="L122" i="3"/>
  <c r="R110" i="3"/>
  <c r="S109" i="3"/>
  <c r="R94" i="3"/>
  <c r="S93" i="3"/>
  <c r="P81" i="3"/>
  <c r="O82" i="3"/>
  <c r="S144" i="3"/>
  <c r="R145" i="3"/>
  <c r="L179" i="3"/>
  <c r="M178" i="3"/>
  <c r="S212" i="3"/>
  <c r="R213" i="3"/>
  <c r="M204" i="3"/>
  <c r="L205" i="3"/>
  <c r="R193" i="3"/>
  <c r="S192" i="3"/>
  <c r="O181" i="3"/>
  <c r="P180" i="3"/>
  <c r="O173" i="3"/>
  <c r="P172" i="3"/>
  <c r="L161" i="3"/>
  <c r="M160" i="3"/>
  <c r="S148" i="3"/>
  <c r="R149" i="3"/>
  <c r="P140" i="3"/>
  <c r="O141" i="3"/>
  <c r="P128" i="3"/>
  <c r="O129" i="3"/>
  <c r="P116" i="3"/>
  <c r="O117" i="3"/>
  <c r="L109" i="3"/>
  <c r="M108" i="3"/>
  <c r="P96" i="3"/>
  <c r="O97" i="3"/>
  <c r="P84" i="3"/>
  <c r="O85" i="3"/>
  <c r="L195" i="3"/>
  <c r="M194" i="3"/>
  <c r="M150" i="3"/>
  <c r="L151" i="3"/>
  <c r="S118" i="3"/>
  <c r="R119" i="3"/>
  <c r="O163" i="3"/>
  <c r="P162" i="3"/>
  <c r="P130" i="3"/>
  <c r="O131" i="3"/>
  <c r="P203" i="3"/>
  <c r="O204" i="3"/>
  <c r="P195" i="3"/>
  <c r="O196" i="3"/>
  <c r="S183" i="3"/>
  <c r="R184" i="3"/>
  <c r="S171" i="3"/>
  <c r="R172" i="3"/>
  <c r="P163" i="3"/>
  <c r="O164" i="3"/>
  <c r="O152" i="3"/>
  <c r="P151" i="3"/>
  <c r="P139" i="3"/>
  <c r="O140" i="3"/>
  <c r="M131" i="3"/>
  <c r="L132" i="3"/>
  <c r="P119" i="3"/>
  <c r="O120" i="3"/>
  <c r="O108" i="3"/>
  <c r="P107" i="3"/>
  <c r="M99" i="3"/>
  <c r="L100" i="3"/>
  <c r="L88" i="3"/>
  <c r="M87" i="3"/>
  <c r="P202" i="3"/>
  <c r="O203" i="3"/>
  <c r="R159" i="3"/>
  <c r="S158" i="3"/>
  <c r="R107" i="3"/>
  <c r="S106" i="3"/>
  <c r="L187" i="3"/>
  <c r="M186" i="3"/>
  <c r="R139" i="3"/>
  <c r="S138" i="3"/>
  <c r="M110" i="3"/>
  <c r="L111" i="3"/>
  <c r="M97" i="3"/>
  <c r="L98" i="3"/>
  <c r="P213" i="3"/>
  <c r="O214" i="3"/>
  <c r="S205" i="3"/>
  <c r="R206" i="3"/>
  <c r="M193" i="3"/>
  <c r="L194" i="3"/>
  <c r="L182" i="3"/>
  <c r="M181" i="3"/>
  <c r="P173" i="3"/>
  <c r="O174" i="3"/>
  <c r="R162" i="3"/>
  <c r="S161" i="3"/>
  <c r="P149" i="3"/>
  <c r="O150" i="3"/>
  <c r="S141" i="3"/>
  <c r="R142" i="3"/>
  <c r="M129" i="3"/>
  <c r="L130" i="3"/>
  <c r="M117" i="3"/>
  <c r="L118" i="3"/>
  <c r="P109" i="3"/>
  <c r="O110" i="3"/>
  <c r="P93" i="3"/>
  <c r="O94" i="3"/>
  <c r="M210" i="3"/>
  <c r="L211" i="3"/>
  <c r="O213" i="3"/>
  <c r="P212" i="3"/>
  <c r="M200" i="3"/>
  <c r="L201" i="3"/>
  <c r="P192" i="3"/>
  <c r="O193" i="3"/>
  <c r="M180" i="3"/>
  <c r="L181" i="3"/>
  <c r="P168" i="3"/>
  <c r="O169" i="3"/>
  <c r="S160" i="3"/>
  <c r="R161" i="3"/>
  <c r="P148" i="3"/>
  <c r="O149" i="3"/>
  <c r="P136" i="3"/>
  <c r="O137" i="3"/>
  <c r="M128" i="3"/>
  <c r="L129" i="3"/>
  <c r="L117" i="3"/>
  <c r="M116" i="3"/>
  <c r="S104" i="3"/>
  <c r="R105" i="3"/>
  <c r="M96" i="3"/>
  <c r="L97" i="3"/>
  <c r="L85" i="3"/>
  <c r="M84" i="3"/>
  <c r="S194" i="3"/>
  <c r="R195" i="3"/>
  <c r="R151" i="3"/>
  <c r="S150" i="3"/>
  <c r="M102" i="3"/>
  <c r="L103" i="3"/>
  <c r="M162" i="3"/>
  <c r="L163" i="3"/>
  <c r="P114" i="3"/>
  <c r="O115" i="3"/>
  <c r="R204" i="3"/>
  <c r="S203" i="3"/>
  <c r="S191" i="3"/>
  <c r="R192" i="3"/>
  <c r="P183" i="3"/>
  <c r="O184" i="3"/>
  <c r="P171" i="3"/>
  <c r="O172" i="3"/>
  <c r="S159" i="3"/>
  <c r="R160" i="3"/>
  <c r="M151" i="3"/>
  <c r="L152" i="3"/>
  <c r="M139" i="3"/>
  <c r="L140" i="3"/>
  <c r="L128" i="3"/>
  <c r="M127" i="3"/>
  <c r="S119" i="3"/>
  <c r="R120" i="3"/>
  <c r="M107" i="3"/>
  <c r="L108" i="3"/>
  <c r="S95" i="3"/>
  <c r="R96" i="3"/>
  <c r="S87" i="3"/>
  <c r="R88" i="3"/>
  <c r="P190" i="3"/>
  <c r="O191" i="3"/>
  <c r="P158" i="3"/>
  <c r="O159" i="3"/>
  <c r="P106" i="3"/>
  <c r="O107" i="3"/>
  <c r="M214" i="3"/>
  <c r="L215" i="3"/>
  <c r="S186" i="3"/>
  <c r="R187" i="3"/>
  <c r="P138" i="3"/>
  <c r="O139" i="3"/>
  <c r="M98" i="3"/>
  <c r="L99" i="3"/>
  <c r="S97" i="3"/>
  <c r="R98" i="3"/>
  <c r="L214" i="3"/>
  <c r="M213" i="3"/>
  <c r="S201" i="3"/>
  <c r="R202" i="3"/>
  <c r="S193" i="3"/>
  <c r="R194" i="3"/>
  <c r="S181" i="3"/>
  <c r="R182" i="3"/>
  <c r="M169" i="3"/>
  <c r="L170" i="3"/>
  <c r="P161" i="3"/>
  <c r="O162" i="3"/>
  <c r="M149" i="3"/>
  <c r="L150" i="3"/>
  <c r="P137" i="3"/>
  <c r="O138" i="3"/>
  <c r="S129" i="3"/>
  <c r="R130" i="3"/>
  <c r="R118" i="3"/>
  <c r="S117" i="3"/>
  <c r="P105" i="3"/>
  <c r="O106" i="3"/>
  <c r="M93" i="3"/>
  <c r="L94" i="3"/>
  <c r="M156" i="3"/>
  <c r="L157" i="3"/>
  <c r="L101" i="3"/>
  <c r="M100" i="3"/>
  <c r="R212" i="3"/>
  <c r="S211" i="3"/>
  <c r="M212" i="3"/>
  <c r="L213" i="3"/>
  <c r="R201" i="3"/>
  <c r="S200" i="3"/>
  <c r="O189" i="3"/>
  <c r="P188" i="3"/>
  <c r="S180" i="3"/>
  <c r="R181" i="3"/>
  <c r="L169" i="3"/>
  <c r="M168" i="3"/>
  <c r="S156" i="3"/>
  <c r="R157" i="3"/>
  <c r="M148" i="3"/>
  <c r="L149" i="3"/>
  <c r="M136" i="3"/>
  <c r="L137" i="3"/>
  <c r="P124" i="3"/>
  <c r="O125" i="3"/>
  <c r="S116" i="3"/>
  <c r="R117" i="3"/>
  <c r="P104" i="3"/>
  <c r="O105" i="3"/>
  <c r="P92" i="3"/>
  <c r="O93" i="3"/>
  <c r="S84" i="3"/>
  <c r="R85" i="3"/>
  <c r="S178" i="3"/>
  <c r="R179" i="3"/>
  <c r="P150" i="3"/>
  <c r="O151" i="3"/>
  <c r="S102" i="3"/>
  <c r="R103" i="3"/>
  <c r="S210" i="3"/>
  <c r="R211" i="3"/>
  <c r="S162" i="3"/>
  <c r="R163" i="3"/>
  <c r="M114" i="3"/>
  <c r="L115" i="3"/>
  <c r="P211" i="3"/>
  <c r="O212" i="3"/>
  <c r="M203" i="3"/>
  <c r="L204" i="3"/>
  <c r="P191" i="3"/>
  <c r="O192" i="3"/>
  <c r="P179" i="3"/>
  <c r="O180" i="3"/>
  <c r="L172" i="3"/>
  <c r="M171" i="3"/>
  <c r="O160" i="3"/>
  <c r="P159" i="3"/>
  <c r="P147" i="3"/>
  <c r="O148" i="3"/>
  <c r="S139" i="3"/>
  <c r="R140" i="3"/>
  <c r="S127" i="3"/>
  <c r="R128" i="3"/>
  <c r="M115" i="3"/>
  <c r="L116" i="3"/>
  <c r="S107" i="3"/>
  <c r="R108" i="3"/>
  <c r="P95" i="3"/>
  <c r="O96" i="3"/>
  <c r="M83" i="3"/>
  <c r="L84" i="3"/>
  <c r="S190" i="3"/>
  <c r="R191" i="3"/>
  <c r="P142" i="3"/>
  <c r="O143" i="3"/>
  <c r="M106" i="3"/>
  <c r="L107" i="3"/>
  <c r="R215" i="3"/>
  <c r="S214" i="3"/>
  <c r="M170" i="3"/>
  <c r="L171" i="3"/>
  <c r="M138" i="3"/>
  <c r="L139" i="3"/>
  <c r="R99" i="3"/>
  <c r="S98" i="3"/>
  <c r="M85" i="3"/>
  <c r="L86" i="3"/>
  <c r="S213" i="3"/>
  <c r="R214" i="3"/>
  <c r="O202" i="3"/>
  <c r="P201" i="3"/>
  <c r="S189" i="3"/>
  <c r="R190" i="3"/>
  <c r="P181" i="3"/>
  <c r="O182" i="3"/>
  <c r="R170" i="3"/>
  <c r="S169" i="3"/>
  <c r="M157" i="3"/>
  <c r="L158" i="3"/>
  <c r="S149" i="3"/>
  <c r="R150" i="3"/>
  <c r="M137" i="3"/>
  <c r="L138" i="3"/>
  <c r="R126" i="3"/>
  <c r="S125" i="3"/>
  <c r="P117" i="3"/>
  <c r="O118" i="3"/>
  <c r="M105" i="3"/>
  <c r="L106" i="3"/>
  <c r="S89" i="3"/>
  <c r="R90" i="3"/>
  <c r="E27" i="3"/>
  <c r="E24" i="3"/>
  <c r="B22" i="3"/>
  <c r="B23" i="3"/>
  <c r="E23" i="3"/>
  <c r="B24" i="3"/>
  <c r="B26" i="3"/>
  <c r="H24" i="3"/>
  <c r="E26" i="3"/>
  <c r="H23" i="3"/>
  <c r="B13" i="4"/>
  <c r="E22" i="3"/>
  <c r="B25" i="3"/>
  <c r="H25" i="3"/>
  <c r="H22" i="3"/>
  <c r="U13" i="4"/>
  <c r="H27" i="3"/>
  <c r="X13" i="4"/>
  <c r="V13" i="4"/>
  <c r="L13" i="4"/>
  <c r="G9" i="4"/>
  <c r="F13" i="4"/>
  <c r="C16" i="3"/>
  <c r="L9" i="4"/>
  <c r="S9" i="4"/>
  <c r="H60" i="3"/>
  <c r="H50" i="3"/>
  <c r="H43" i="3"/>
  <c r="H37" i="3"/>
  <c r="H33" i="3"/>
  <c r="H69" i="3"/>
  <c r="H53" i="3"/>
  <c r="H34" i="3"/>
  <c r="H41" i="3"/>
  <c r="H46" i="3"/>
  <c r="H65" i="3"/>
  <c r="H57" i="3"/>
  <c r="H44" i="3"/>
  <c r="H35" i="3"/>
  <c r="H28" i="3"/>
  <c r="H58" i="3"/>
  <c r="H63" i="3"/>
  <c r="H56" i="3"/>
  <c r="H48" i="3"/>
  <c r="H40" i="3"/>
  <c r="H29" i="3"/>
  <c r="H64" i="3"/>
  <c r="H49" i="3"/>
  <c r="H62" i="3"/>
  <c r="H61" i="3"/>
  <c r="H55" i="3"/>
  <c r="H47" i="3"/>
  <c r="H36" i="3"/>
  <c r="H31" i="3"/>
  <c r="H67" i="3"/>
  <c r="H68" i="3"/>
  <c r="H59" i="3"/>
  <c r="H45" i="3"/>
  <c r="H51" i="3"/>
  <c r="H38" i="3"/>
  <c r="H39" i="3"/>
  <c r="H42" i="3"/>
  <c r="H66" i="3"/>
  <c r="H54" i="3"/>
  <c r="H52" i="3"/>
  <c r="H30" i="3"/>
  <c r="H32" i="3"/>
  <c r="G10" i="3"/>
  <c r="F11" i="3"/>
  <c r="H21" i="3"/>
  <c r="U9" i="4"/>
  <c r="I14" i="3"/>
  <c r="I10" i="3"/>
  <c r="I13" i="4"/>
  <c r="E13" i="4"/>
  <c r="C9" i="4"/>
  <c r="L11" i="3"/>
  <c r="Q13" i="4"/>
  <c r="K13" i="4"/>
  <c r="F10" i="3"/>
  <c r="G9" i="3"/>
  <c r="E9" i="4"/>
  <c r="O13" i="4"/>
  <c r="Y13" i="4"/>
  <c r="E67" i="3"/>
  <c r="E68" i="3"/>
  <c r="E56" i="3"/>
  <c r="E47" i="3"/>
  <c r="E48" i="3"/>
  <c r="E36" i="3"/>
  <c r="E28" i="3"/>
  <c r="E42" i="3"/>
  <c r="E41" i="3"/>
  <c r="E61" i="3"/>
  <c r="E66" i="3"/>
  <c r="E62" i="3"/>
  <c r="E57" i="3"/>
  <c r="E45" i="3"/>
  <c r="E52" i="3"/>
  <c r="E32" i="3"/>
  <c r="E33" i="3"/>
  <c r="E34" i="3"/>
  <c r="E55" i="3"/>
  <c r="E64" i="3"/>
  <c r="E58" i="3"/>
  <c r="E46" i="3"/>
  <c r="E39" i="3"/>
  <c r="E30" i="3"/>
  <c r="E69" i="3"/>
  <c r="E59" i="3"/>
  <c r="E44" i="3"/>
  <c r="E38" i="3"/>
  <c r="E35" i="3"/>
  <c r="E63" i="3"/>
  <c r="E50" i="3"/>
  <c r="E31" i="3"/>
  <c r="E60" i="3"/>
  <c r="E53" i="3"/>
  <c r="E40" i="3"/>
  <c r="E65" i="3"/>
  <c r="E54" i="3"/>
  <c r="E51" i="3"/>
  <c r="E43" i="3"/>
  <c r="E37" i="3"/>
  <c r="E49" i="3"/>
  <c r="E29" i="3"/>
  <c r="I19" i="3"/>
  <c r="L12" i="3"/>
  <c r="I18" i="3"/>
  <c r="S10" i="3"/>
  <c r="C14" i="3"/>
  <c r="C20" i="3"/>
  <c r="S6" i="3"/>
  <c r="R7" i="3"/>
  <c r="J13" i="4"/>
  <c r="O9" i="4"/>
  <c r="I2" i="17"/>
  <c r="I2" i="19"/>
  <c r="J4" i="13"/>
  <c r="K4" i="28" s="1"/>
  <c r="I2" i="16"/>
  <c r="C13" i="4"/>
  <c r="L13" i="3"/>
  <c r="F9" i="3"/>
  <c r="G8" i="3"/>
  <c r="F19" i="3"/>
  <c r="S9" i="3"/>
  <c r="R10" i="3"/>
  <c r="S13" i="3"/>
  <c r="I20" i="3"/>
  <c r="M13" i="4"/>
  <c r="J9" i="4"/>
  <c r="P13" i="4"/>
  <c r="J2" i="19"/>
  <c r="J2" i="16"/>
  <c r="J2" i="17"/>
  <c r="W13" i="4"/>
  <c r="R6" i="3"/>
  <c r="S5" i="3"/>
  <c r="C11" i="3"/>
  <c r="F8" i="3"/>
  <c r="G7" i="3"/>
  <c r="R13" i="4"/>
  <c r="X9" i="4"/>
  <c r="H9" i="4"/>
  <c r="D13" i="4"/>
  <c r="F4" i="20"/>
  <c r="N13" i="4"/>
  <c r="B67" i="3"/>
  <c r="B59" i="3"/>
  <c r="B50" i="3"/>
  <c r="B51" i="3"/>
  <c r="B36" i="3"/>
  <c r="B33" i="3"/>
  <c r="B64" i="3"/>
  <c r="B58" i="3"/>
  <c r="B52" i="3"/>
  <c r="B44" i="3"/>
  <c r="B31" i="3"/>
  <c r="B42" i="3"/>
  <c r="B63" i="3"/>
  <c r="B66" i="3"/>
  <c r="B49" i="3"/>
  <c r="B38" i="3"/>
  <c r="B34" i="3"/>
  <c r="B60" i="3"/>
  <c r="B69" i="3"/>
  <c r="B46" i="3"/>
  <c r="B37" i="3"/>
  <c r="B28" i="3"/>
  <c r="B40" i="3"/>
  <c r="B61" i="3"/>
  <c r="B56" i="3"/>
  <c r="B45" i="3"/>
  <c r="B35" i="3"/>
  <c r="B55" i="3"/>
  <c r="B47" i="3"/>
  <c r="B29" i="3"/>
  <c r="B65" i="3"/>
  <c r="B57" i="3"/>
  <c r="B48" i="3"/>
  <c r="B39" i="3"/>
  <c r="B62" i="3"/>
  <c r="B54" i="3"/>
  <c r="B53" i="3"/>
  <c r="B41" i="3"/>
  <c r="B30" i="3"/>
  <c r="B43" i="3"/>
  <c r="B32" i="3"/>
  <c r="B68" i="3"/>
  <c r="I9" i="3"/>
  <c r="R12" i="3"/>
  <c r="O11" i="3"/>
  <c r="E21" i="3"/>
  <c r="I16" i="3"/>
  <c r="C8" i="3"/>
  <c r="I17" i="3"/>
  <c r="S13" i="4"/>
  <c r="H13" i="4"/>
  <c r="F7" i="3"/>
  <c r="G6" i="3"/>
  <c r="I3" i="19"/>
  <c r="R13" i="3"/>
  <c r="S12" i="3"/>
  <c r="G13" i="4"/>
  <c r="B21" i="3"/>
  <c r="D16" i="28"/>
  <c r="D17" i="28"/>
  <c r="D15" i="19"/>
  <c r="D11" i="16"/>
  <c r="D10" i="16"/>
  <c r="D11" i="27"/>
  <c r="D12" i="17"/>
  <c r="D20" i="16"/>
  <c r="D15" i="21"/>
  <c r="D20" i="21"/>
  <c r="D30" i="16"/>
  <c r="D19" i="16"/>
  <c r="D21" i="28"/>
  <c r="D10" i="28"/>
  <c r="D13" i="28"/>
  <c r="D18" i="16"/>
  <c r="D16" i="17"/>
  <c r="D12" i="27"/>
  <c r="D20" i="19"/>
  <c r="D23" i="19"/>
  <c r="D9" i="16"/>
  <c r="D16" i="21"/>
  <c r="D10" i="21"/>
  <c r="D16" i="16"/>
  <c r="D22" i="28"/>
  <c r="D20" i="28"/>
  <c r="D25" i="16"/>
  <c r="D13" i="19"/>
  <c r="D16" i="19"/>
  <c r="D29" i="16"/>
  <c r="D24" i="16"/>
  <c r="D26" i="16"/>
  <c r="D12" i="21"/>
  <c r="D9" i="21"/>
  <c r="D24" i="19"/>
  <c r="D15" i="17"/>
  <c r="D19" i="28"/>
  <c r="D9" i="28"/>
  <c r="D34" i="16"/>
  <c r="D11" i="19"/>
  <c r="D19" i="19"/>
  <c r="D13" i="27"/>
  <c r="D21" i="19"/>
  <c r="D12" i="19"/>
  <c r="D17" i="17"/>
  <c r="D21" i="21"/>
  <c r="D19" i="21"/>
  <c r="D12" i="16"/>
  <c r="D24" i="28"/>
  <c r="D23" i="28"/>
  <c r="D35" i="16"/>
  <c r="D14" i="19"/>
  <c r="D14" i="16"/>
  <c r="D8" i="27"/>
  <c r="D19" i="17"/>
  <c r="D20" i="17"/>
  <c r="D21" i="16"/>
  <c r="D8" i="21"/>
  <c r="D11" i="17"/>
  <c r="D37" i="16"/>
  <c r="D12" i="28"/>
  <c r="D14" i="28"/>
  <c r="D9" i="17"/>
  <c r="D31" i="16"/>
  <c r="D18" i="19"/>
  <c r="D10" i="27"/>
  <c r="D27" i="16"/>
  <c r="D28" i="16"/>
  <c r="D22" i="21"/>
  <c r="D11" i="21"/>
  <c r="D18" i="17"/>
  <c r="D32" i="16"/>
  <c r="D8" i="28"/>
  <c r="D15" i="28"/>
  <c r="D25" i="28"/>
  <c r="D10" i="19"/>
  <c r="D8" i="17"/>
  <c r="B10" i="24"/>
  <c r="D14" i="17"/>
  <c r="D10" i="17"/>
  <c r="D13" i="16"/>
  <c r="D14" i="21"/>
  <c r="D18" i="21"/>
  <c r="D36" i="16"/>
  <c r="D11" i="28"/>
  <c r="D18" i="28"/>
  <c r="D15" i="16"/>
  <c r="D13" i="17"/>
  <c r="D22" i="16"/>
  <c r="D9" i="27"/>
  <c r="D17" i="16"/>
  <c r="D21" i="17"/>
  <c r="D33" i="16"/>
  <c r="D13" i="21"/>
  <c r="D17" i="21"/>
  <c r="D22" i="19"/>
  <c r="B27" i="3" l="1"/>
  <c r="D65" i="3" s="1"/>
  <c r="B73" i="3"/>
  <c r="B75" i="3"/>
  <c r="B78" i="3"/>
  <c r="B79" i="3"/>
  <c r="B77" i="3"/>
  <c r="J13" i="13" s="1"/>
  <c r="B74" i="3"/>
  <c r="B76" i="3"/>
  <c r="H26" i="3"/>
  <c r="I26" i="3" s="1"/>
  <c r="H78" i="3"/>
  <c r="H79" i="3"/>
  <c r="H77" i="3"/>
  <c r="H75" i="3"/>
  <c r="H74" i="3"/>
  <c r="H76" i="3"/>
  <c r="H73" i="3"/>
  <c r="E25" i="3"/>
  <c r="G65" i="3" s="1"/>
  <c r="E78" i="3"/>
  <c r="E76" i="3"/>
  <c r="E73" i="3"/>
  <c r="E75" i="3"/>
  <c r="E74" i="3"/>
  <c r="E79" i="3"/>
  <c r="E77" i="3"/>
  <c r="H70" i="3"/>
  <c r="I70" i="3" s="1"/>
  <c r="L6" i="3"/>
  <c r="B70" i="3"/>
  <c r="C70" i="3" s="1"/>
  <c r="G11" i="3"/>
  <c r="D8" i="3"/>
  <c r="P8" i="3"/>
  <c r="D7" i="3"/>
  <c r="O9" i="3"/>
  <c r="S11" i="3"/>
  <c r="N9" i="4"/>
  <c r="I3" i="16"/>
  <c r="Q9" i="4"/>
  <c r="B9" i="4"/>
  <c r="V9" i="4"/>
  <c r="G17" i="3"/>
  <c r="I9" i="4"/>
  <c r="P9" i="4"/>
  <c r="D9" i="4"/>
  <c r="R9" i="4"/>
  <c r="R11" i="3"/>
  <c r="I4" i="13"/>
  <c r="J4" i="28" s="1"/>
  <c r="I7" i="3"/>
  <c r="P7" i="3"/>
  <c r="W9" i="4"/>
  <c r="K9" i="4"/>
  <c r="I3" i="17"/>
  <c r="M9" i="4"/>
  <c r="T9" i="4"/>
  <c r="F9" i="4"/>
  <c r="P11" i="3"/>
  <c r="M11" i="3"/>
  <c r="P13" i="3"/>
  <c r="F14" i="3"/>
  <c r="G14" i="3"/>
  <c r="G15" i="3"/>
  <c r="P10" i="3"/>
  <c r="G18" i="3"/>
  <c r="E1" i="26"/>
  <c r="L8" i="3"/>
  <c r="D11" i="3"/>
  <c r="D17" i="3"/>
  <c r="J18" i="3"/>
  <c r="J20" i="3"/>
  <c r="X11" i="4"/>
  <c r="R11" i="4"/>
  <c r="C11" i="4"/>
  <c r="D15" i="3"/>
  <c r="W11" i="4"/>
  <c r="D12" i="3"/>
  <c r="J5" i="3"/>
  <c r="M13" i="3"/>
  <c r="T11" i="4"/>
  <c r="M6" i="3"/>
  <c r="J7" i="3"/>
  <c r="L11" i="4"/>
  <c r="H11" i="4"/>
  <c r="Y11" i="4"/>
  <c r="K11" i="4"/>
  <c r="U11" i="4"/>
  <c r="C12" i="3"/>
  <c r="L7" i="3"/>
  <c r="G11" i="4"/>
  <c r="B11" i="4"/>
  <c r="P12" i="3"/>
  <c r="N11" i="4"/>
  <c r="D13" i="3"/>
  <c r="C9" i="3"/>
  <c r="I6" i="3"/>
  <c r="D20" i="3"/>
  <c r="M9" i="3"/>
  <c r="O13" i="3"/>
  <c r="D10" i="3"/>
  <c r="M12" i="3"/>
  <c r="D14" i="3"/>
  <c r="E11" i="4"/>
  <c r="F11" i="4"/>
  <c r="J11" i="4"/>
  <c r="D16" i="3"/>
  <c r="J12" i="3"/>
  <c r="D9" i="3"/>
  <c r="M11" i="4"/>
  <c r="S11" i="4"/>
  <c r="J9" i="3"/>
  <c r="D11" i="4"/>
  <c r="J15" i="3"/>
  <c r="J8" i="3"/>
  <c r="P11" i="4"/>
  <c r="M10" i="3"/>
  <c r="V11" i="4"/>
  <c r="J10" i="3"/>
  <c r="J16" i="3"/>
  <c r="J19" i="3"/>
  <c r="Q11" i="4"/>
  <c r="O11" i="4"/>
  <c r="J13" i="3"/>
  <c r="D19" i="3"/>
  <c r="J17" i="3"/>
  <c r="G20" i="3"/>
  <c r="P9" i="3"/>
  <c r="G13" i="3"/>
  <c r="J14" i="3"/>
  <c r="G12" i="3"/>
  <c r="G19" i="3"/>
  <c r="S7" i="3"/>
  <c r="F13" i="3"/>
  <c r="G16" i="3"/>
  <c r="F20" i="3"/>
  <c r="B72" i="3"/>
  <c r="B71" i="3"/>
  <c r="C71" i="3" s="1"/>
  <c r="H72" i="3"/>
  <c r="H14" i="13" s="1"/>
  <c r="H71" i="3"/>
  <c r="E72" i="3"/>
  <c r="E71" i="3"/>
  <c r="F71" i="3" s="1"/>
  <c r="S8" i="3"/>
  <c r="P6" i="3"/>
  <c r="O10" i="3"/>
  <c r="I15" i="3"/>
  <c r="O7" i="3"/>
  <c r="D18" i="3"/>
  <c r="J11" i="3"/>
  <c r="M8" i="3"/>
  <c r="D5" i="20"/>
  <c r="G5" i="20" s="1"/>
  <c r="F12" i="3"/>
  <c r="C6" i="3"/>
  <c r="D6" i="3"/>
  <c r="AM13" i="4"/>
  <c r="F70" i="3"/>
  <c r="D70" i="3"/>
  <c r="F28" i="3"/>
  <c r="D23" i="3"/>
  <c r="C25" i="3"/>
  <c r="I24" i="3"/>
  <c r="C23" i="3"/>
  <c r="I23" i="3"/>
  <c r="F24" i="3"/>
  <c r="I25" i="3"/>
  <c r="C26" i="3"/>
  <c r="F23" i="3"/>
  <c r="C24" i="3"/>
  <c r="I28" i="3"/>
  <c r="F27" i="3"/>
  <c r="G23" i="3"/>
  <c r="J24" i="3"/>
  <c r="J23" i="3"/>
  <c r="I21" i="3"/>
  <c r="G22" i="3"/>
  <c r="J22" i="3"/>
  <c r="D26" i="3"/>
  <c r="D27" i="3"/>
  <c r="J25" i="3"/>
  <c r="D22" i="3"/>
  <c r="D24" i="3"/>
  <c r="Q17" i="3"/>
  <c r="C29" i="3"/>
  <c r="F56" i="3"/>
  <c r="Q14" i="3"/>
  <c r="C31" i="3"/>
  <c r="C66" i="3"/>
  <c r="C41" i="3"/>
  <c r="C50" i="3"/>
  <c r="C65" i="3"/>
  <c r="F66" i="3"/>
  <c r="F39" i="3"/>
  <c r="F65" i="3"/>
  <c r="F63" i="3"/>
  <c r="F48" i="3"/>
  <c r="I55" i="3"/>
  <c r="I69" i="3"/>
  <c r="I50" i="3"/>
  <c r="I29" i="3"/>
  <c r="I54" i="3"/>
  <c r="C30" i="3"/>
  <c r="I68" i="3"/>
  <c r="I36" i="3"/>
  <c r="C54" i="3"/>
  <c r="C48" i="3"/>
  <c r="C38" i="3"/>
  <c r="C64" i="3"/>
  <c r="C37" i="3"/>
  <c r="D25" i="3"/>
  <c r="G24" i="3"/>
  <c r="F30" i="3"/>
  <c r="F54" i="3"/>
  <c r="F60" i="3"/>
  <c r="F35" i="3"/>
  <c r="F62" i="3"/>
  <c r="F69" i="3"/>
  <c r="I43" i="3"/>
  <c r="I32" i="3"/>
  <c r="I30" i="3"/>
  <c r="I45" i="3"/>
  <c r="I34" i="3"/>
  <c r="C34" i="3"/>
  <c r="F45" i="3"/>
  <c r="G21" i="3"/>
  <c r="F22" i="3"/>
  <c r="C55" i="3"/>
  <c r="C56" i="3"/>
  <c r="C47" i="3"/>
  <c r="C43" i="3"/>
  <c r="C52" i="3"/>
  <c r="F50" i="3"/>
  <c r="F61" i="3"/>
  <c r="F34" i="3"/>
  <c r="F42" i="3"/>
  <c r="F68" i="3"/>
  <c r="Q16" i="3"/>
  <c r="I40" i="3"/>
  <c r="I37" i="3"/>
  <c r="I41" i="3"/>
  <c r="I58" i="3"/>
  <c r="I38" i="3"/>
  <c r="F41" i="3"/>
  <c r="J64" i="3"/>
  <c r="I65" i="3"/>
  <c r="C63" i="3"/>
  <c r="C36" i="3"/>
  <c r="C32" i="3"/>
  <c r="C51" i="3"/>
  <c r="Q15" i="3"/>
  <c r="F38" i="3"/>
  <c r="F32" i="3"/>
  <c r="F31" i="3"/>
  <c r="F33" i="3"/>
  <c r="F43" i="3"/>
  <c r="AO16" i="4"/>
  <c r="I39" i="3"/>
  <c r="I48" i="3"/>
  <c r="I49" i="3"/>
  <c r="J65" i="3"/>
  <c r="I66" i="3"/>
  <c r="I44" i="3"/>
  <c r="D68" i="3"/>
  <c r="C69" i="3"/>
  <c r="C40" i="3"/>
  <c r="C46" i="3"/>
  <c r="D45" i="3"/>
  <c r="C61" i="3"/>
  <c r="C45" i="3"/>
  <c r="C60" i="3"/>
  <c r="F44" i="3"/>
  <c r="F51" i="3"/>
  <c r="F40" i="3"/>
  <c r="F53" i="3"/>
  <c r="F29" i="3"/>
  <c r="I33" i="3"/>
  <c r="I52" i="3"/>
  <c r="I56" i="3"/>
  <c r="J55" i="3"/>
  <c r="I57" i="3"/>
  <c r="I47" i="3"/>
  <c r="J50" i="3"/>
  <c r="I51" i="3"/>
  <c r="C42" i="3"/>
  <c r="F67" i="3"/>
  <c r="G66" i="3"/>
  <c r="C21" i="3"/>
  <c r="D21" i="3"/>
  <c r="C22" i="3"/>
  <c r="C33" i="3"/>
  <c r="C49" i="3"/>
  <c r="C57" i="3"/>
  <c r="C35" i="3"/>
  <c r="C53" i="3"/>
  <c r="D67" i="3"/>
  <c r="C68" i="3"/>
  <c r="F52" i="3"/>
  <c r="F64" i="3"/>
  <c r="F47" i="3"/>
  <c r="F46" i="3"/>
  <c r="G36" i="3"/>
  <c r="F37" i="3"/>
  <c r="I22" i="3"/>
  <c r="J21" i="3"/>
  <c r="I31" i="3"/>
  <c r="J45" i="3"/>
  <c r="I46" i="3"/>
  <c r="I62" i="3"/>
  <c r="I64" i="3"/>
  <c r="I42" i="3"/>
  <c r="I61" i="3"/>
  <c r="C67" i="3"/>
  <c r="F57" i="3"/>
  <c r="I67" i="3"/>
  <c r="C44" i="3"/>
  <c r="C58" i="3"/>
  <c r="C62" i="3"/>
  <c r="C39" i="3"/>
  <c r="C59" i="3"/>
  <c r="F21" i="3"/>
  <c r="K4" i="19"/>
  <c r="J14" i="13"/>
  <c r="K4" i="16"/>
  <c r="K4" i="17"/>
  <c r="G54" i="3"/>
  <c r="F55" i="3"/>
  <c r="F36" i="3"/>
  <c r="F59" i="3"/>
  <c r="G57" i="3"/>
  <c r="F58" i="3"/>
  <c r="F49" i="3"/>
  <c r="G48" i="3"/>
  <c r="I53" i="3"/>
  <c r="I60" i="3"/>
  <c r="I63" i="3"/>
  <c r="I59" i="3"/>
  <c r="J58" i="3"/>
  <c r="I35" i="3"/>
  <c r="E11" i="20"/>
  <c r="G9" i="20"/>
  <c r="E8" i="20"/>
  <c r="G13" i="20"/>
  <c r="E12" i="20"/>
  <c r="B9" i="24"/>
  <c r="E13" i="20"/>
  <c r="G12" i="20"/>
  <c r="E9" i="20"/>
  <c r="G11" i="20"/>
  <c r="G14" i="20"/>
  <c r="E14" i="20"/>
  <c r="G8" i="20"/>
  <c r="E10" i="20"/>
  <c r="G10" i="20"/>
  <c r="J34" i="3" l="1"/>
  <c r="D61" i="3"/>
  <c r="J61" i="3"/>
  <c r="D42" i="3"/>
  <c r="G68" i="3"/>
  <c r="J49" i="3"/>
  <c r="G64" i="3"/>
  <c r="F26" i="3"/>
  <c r="D66" i="3"/>
  <c r="G45" i="3"/>
  <c r="D34" i="3"/>
  <c r="G52" i="3"/>
  <c r="G32" i="3"/>
  <c r="D31" i="3"/>
  <c r="G41" i="3"/>
  <c r="D33" i="3"/>
  <c r="G26" i="3"/>
  <c r="D53" i="3"/>
  <c r="D30" i="3"/>
  <c r="J60" i="3"/>
  <c r="G63" i="3"/>
  <c r="D35" i="3"/>
  <c r="J44" i="3"/>
  <c r="J67" i="3"/>
  <c r="J68" i="3"/>
  <c r="D64" i="3"/>
  <c r="G43" i="3"/>
  <c r="J48" i="3"/>
  <c r="G30" i="3"/>
  <c r="J40" i="3"/>
  <c r="G33" i="3"/>
  <c r="G34" i="3"/>
  <c r="D43" i="3"/>
  <c r="D56" i="3"/>
  <c r="D39" i="3"/>
  <c r="G35" i="3"/>
  <c r="J41" i="3"/>
  <c r="D41" i="3"/>
  <c r="D58" i="3"/>
  <c r="G56" i="3"/>
  <c r="G28" i="3"/>
  <c r="D59" i="3"/>
  <c r="D47" i="3"/>
  <c r="D49" i="3"/>
  <c r="H13" i="13"/>
  <c r="J52" i="3"/>
  <c r="D48" i="3"/>
  <c r="J56" i="3"/>
  <c r="J43" i="3"/>
  <c r="J38" i="3"/>
  <c r="J36" i="3"/>
  <c r="J42" i="3"/>
  <c r="G59" i="3"/>
  <c r="G62" i="3"/>
  <c r="J27" i="3"/>
  <c r="I27" i="3"/>
  <c r="G31" i="3"/>
  <c r="D69" i="3"/>
  <c r="G40" i="3"/>
  <c r="D51" i="3"/>
  <c r="D54" i="3"/>
  <c r="J33" i="3"/>
  <c r="D36" i="3"/>
  <c r="D29" i="3"/>
  <c r="G70" i="3"/>
  <c r="J62" i="3"/>
  <c r="D38" i="3"/>
  <c r="J66" i="3"/>
  <c r="J30" i="3"/>
  <c r="G46" i="3"/>
  <c r="D52" i="3"/>
  <c r="D32" i="3"/>
  <c r="J51" i="3"/>
  <c r="G39" i="3"/>
  <c r="D44" i="3"/>
  <c r="G42" i="3"/>
  <c r="G37" i="3"/>
  <c r="J37" i="3"/>
  <c r="J39" i="3"/>
  <c r="G69" i="3"/>
  <c r="G53" i="3"/>
  <c r="C28" i="3"/>
  <c r="J53" i="3"/>
  <c r="G55" i="3"/>
  <c r="J70" i="3"/>
  <c r="C27" i="3"/>
  <c r="D46" i="3"/>
  <c r="J29" i="3"/>
  <c r="D63" i="3"/>
  <c r="G38" i="3"/>
  <c r="D28" i="3"/>
  <c r="J59" i="3"/>
  <c r="J63" i="3"/>
  <c r="J46" i="3"/>
  <c r="J32" i="3"/>
  <c r="G50" i="3"/>
  <c r="G25" i="3"/>
  <c r="J47" i="3"/>
  <c r="D50" i="3"/>
  <c r="D62" i="3"/>
  <c r="J57" i="3"/>
  <c r="G67" i="3"/>
  <c r="G44" i="3"/>
  <c r="G61" i="3"/>
  <c r="D37" i="3"/>
  <c r="J28" i="3"/>
  <c r="G47" i="3"/>
  <c r="J26" i="3"/>
  <c r="F25" i="3"/>
  <c r="G60" i="3"/>
  <c r="G29" i="3"/>
  <c r="J69" i="3"/>
  <c r="J54" i="3"/>
  <c r="D40" i="3"/>
  <c r="G58" i="3"/>
  <c r="D57" i="3"/>
  <c r="G51" i="3"/>
  <c r="D60" i="3"/>
  <c r="G27" i="3"/>
  <c r="G49" i="3"/>
  <c r="D55" i="3"/>
  <c r="J31" i="3"/>
  <c r="J35" i="3"/>
  <c r="G77" i="3"/>
  <c r="F78" i="3"/>
  <c r="J73" i="3"/>
  <c r="I74" i="3"/>
  <c r="D76" i="3"/>
  <c r="C77" i="3"/>
  <c r="G79" i="3"/>
  <c r="F80" i="3"/>
  <c r="I77" i="3"/>
  <c r="J76" i="3"/>
  <c r="C75" i="3"/>
  <c r="D74" i="3"/>
  <c r="F75" i="3"/>
  <c r="G74" i="3"/>
  <c r="J74" i="3"/>
  <c r="I75" i="3"/>
  <c r="C78" i="3"/>
  <c r="D77" i="3"/>
  <c r="G75" i="3"/>
  <c r="F76" i="3"/>
  <c r="J75" i="3"/>
  <c r="I76" i="3"/>
  <c r="D79" i="3"/>
  <c r="C80" i="3"/>
  <c r="G73" i="3"/>
  <c r="F74" i="3"/>
  <c r="J77" i="3"/>
  <c r="I78" i="3"/>
  <c r="D78" i="3"/>
  <c r="C79" i="3"/>
  <c r="J79" i="3"/>
  <c r="I80" i="3"/>
  <c r="D75" i="3"/>
  <c r="C76" i="3"/>
  <c r="J12" i="13"/>
  <c r="F79" i="3"/>
  <c r="G78" i="3"/>
  <c r="D73" i="3"/>
  <c r="C74" i="3"/>
  <c r="H12" i="13"/>
  <c r="M12" i="13" s="1"/>
  <c r="D12" i="13" s="1"/>
  <c r="E5" i="19" s="1"/>
  <c r="G76" i="3"/>
  <c r="F77" i="3"/>
  <c r="J78" i="3"/>
  <c r="I79" i="3"/>
  <c r="J4" i="17"/>
  <c r="I71" i="3"/>
  <c r="H5" i="20"/>
  <c r="D6" i="20"/>
  <c r="F5" i="20"/>
  <c r="J4" i="19"/>
  <c r="J4" i="16"/>
  <c r="I13" i="13"/>
  <c r="K14" i="3"/>
  <c r="M14" i="3" s="1"/>
  <c r="I14" i="13"/>
  <c r="K14" i="13" s="1"/>
  <c r="B14" i="13" s="1"/>
  <c r="C7" i="19" s="1"/>
  <c r="AO14" i="4"/>
  <c r="K21" i="3" s="1"/>
  <c r="AM9" i="4"/>
  <c r="K17" i="3"/>
  <c r="I12" i="13"/>
  <c r="K15" i="3"/>
  <c r="K16" i="3"/>
  <c r="N15" i="3"/>
  <c r="N17" i="3"/>
  <c r="N16" i="3"/>
  <c r="N14" i="3"/>
  <c r="P14" i="3" s="1"/>
  <c r="AO15" i="4"/>
  <c r="N21" i="3" s="1"/>
  <c r="AM11" i="4"/>
  <c r="G71" i="3"/>
  <c r="F72" i="3"/>
  <c r="G72" i="3"/>
  <c r="F73" i="3"/>
  <c r="J71" i="3"/>
  <c r="I72" i="3"/>
  <c r="I73" i="3"/>
  <c r="J72" i="3"/>
  <c r="C72" i="3"/>
  <c r="D71" i="3"/>
  <c r="D72" i="3"/>
  <c r="C73" i="3"/>
  <c r="D4" i="20"/>
  <c r="Q24" i="3"/>
  <c r="AO22" i="4"/>
  <c r="Q18" i="3"/>
  <c r="Q23" i="3"/>
  <c r="Q19" i="3"/>
  <c r="Q21" i="3"/>
  <c r="Q20" i="3"/>
  <c r="Q22" i="3"/>
  <c r="M13" i="13"/>
  <c r="D13" i="13" s="1"/>
  <c r="E6" i="19" s="1"/>
  <c r="L13" i="13"/>
  <c r="C13" i="13" s="1"/>
  <c r="D6" i="19" s="1"/>
  <c r="R17" i="3"/>
  <c r="S16" i="3"/>
  <c r="S14" i="3"/>
  <c r="R15" i="3"/>
  <c r="R14" i="3"/>
  <c r="R16" i="3"/>
  <c r="S15" i="3"/>
  <c r="M14" i="13"/>
  <c r="D14" i="13" s="1"/>
  <c r="E7" i="19" s="1"/>
  <c r="L14" i="13"/>
  <c r="C14" i="13" s="1"/>
  <c r="D7" i="19" s="1"/>
  <c r="S17" i="3"/>
  <c r="H9" i="20"/>
  <c r="F12" i="20"/>
  <c r="H8" i="20"/>
  <c r="F13" i="20"/>
  <c r="H11" i="20"/>
  <c r="H13" i="20"/>
  <c r="F8" i="20"/>
  <c r="H10" i="20"/>
  <c r="F14" i="20"/>
  <c r="H12" i="20"/>
  <c r="F10" i="20"/>
  <c r="F11" i="20"/>
  <c r="H14" i="20"/>
  <c r="F9" i="20"/>
  <c r="K13" i="13" l="1"/>
  <c r="B13" i="13" s="1"/>
  <c r="C6" i="19" s="1"/>
  <c r="K12" i="13"/>
  <c r="B12" i="13" s="1"/>
  <c r="C5" i="19" s="1"/>
  <c r="L12" i="13"/>
  <c r="C12" i="13" s="1"/>
  <c r="D5" i="19" s="1"/>
  <c r="O17" i="3"/>
  <c r="M15" i="3"/>
  <c r="M17" i="3"/>
  <c r="K19" i="3"/>
  <c r="K20" i="3"/>
  <c r="L21" i="3" s="1"/>
  <c r="K23" i="3"/>
  <c r="AO20" i="4"/>
  <c r="K39" i="3" s="1"/>
  <c r="K22" i="3"/>
  <c r="L22" i="3" s="1"/>
  <c r="K18" i="3"/>
  <c r="L18" i="3" s="1"/>
  <c r="K24" i="3"/>
  <c r="O16" i="3"/>
  <c r="L14" i="3"/>
  <c r="L17" i="3"/>
  <c r="L16" i="3"/>
  <c r="L15" i="3"/>
  <c r="N23" i="3"/>
  <c r="N22" i="3"/>
  <c r="O22" i="3" s="1"/>
  <c r="AO21" i="4"/>
  <c r="N29" i="3" s="1"/>
  <c r="P17" i="3"/>
  <c r="N19" i="3"/>
  <c r="O15" i="3"/>
  <c r="N20" i="3"/>
  <c r="N18" i="3"/>
  <c r="N24" i="3"/>
  <c r="M16" i="3"/>
  <c r="P15" i="3"/>
  <c r="P16" i="3"/>
  <c r="O14" i="3"/>
  <c r="S24" i="3"/>
  <c r="S18" i="3"/>
  <c r="R19" i="3"/>
  <c r="R18" i="3"/>
  <c r="Q64" i="3"/>
  <c r="Q59" i="3"/>
  <c r="Q33" i="3"/>
  <c r="Q46" i="3"/>
  <c r="Q52" i="3"/>
  <c r="Q57" i="3"/>
  <c r="Q54" i="3"/>
  <c r="Q55" i="3"/>
  <c r="Q41" i="3"/>
  <c r="Q51" i="3"/>
  <c r="Q28" i="3"/>
  <c r="Q45" i="3"/>
  <c r="Q42" i="3"/>
  <c r="Q60" i="3"/>
  <c r="Q36" i="3"/>
  <c r="Q39" i="3"/>
  <c r="Q53" i="3"/>
  <c r="Q30" i="3"/>
  <c r="Q49" i="3"/>
  <c r="Q43" i="3"/>
  <c r="Q38" i="3"/>
  <c r="Q61" i="3"/>
  <c r="Q63" i="3"/>
  <c r="Q56" i="3"/>
  <c r="Q40" i="3"/>
  <c r="Q37" i="3"/>
  <c r="Q48" i="3"/>
  <c r="Q34" i="3"/>
  <c r="Q31" i="3"/>
  <c r="Q29" i="3"/>
  <c r="Q58" i="3"/>
  <c r="Q50" i="3"/>
  <c r="Q47" i="3"/>
  <c r="Q35" i="3"/>
  <c r="Q32" i="3"/>
  <c r="Q62" i="3"/>
  <c r="Q44" i="3"/>
  <c r="AO25" i="4"/>
  <c r="Q25" i="3"/>
  <c r="R25" i="3" s="1"/>
  <c r="Q27" i="3"/>
  <c r="Q26" i="3"/>
  <c r="R23" i="3"/>
  <c r="S22" i="3"/>
  <c r="S20" i="3"/>
  <c r="R21" i="3"/>
  <c r="R22" i="3"/>
  <c r="S21" i="3"/>
  <c r="R24" i="3"/>
  <c r="S23" i="3"/>
  <c r="S19" i="3"/>
  <c r="R20" i="3"/>
  <c r="Q73" i="3" l="1"/>
  <c r="Q79" i="3"/>
  <c r="Q78" i="3"/>
  <c r="Q76" i="3"/>
  <c r="Q77" i="3"/>
  <c r="Q74" i="3"/>
  <c r="Q75" i="3"/>
  <c r="M21" i="3"/>
  <c r="L20" i="3"/>
  <c r="M20" i="3"/>
  <c r="P21" i="3"/>
  <c r="L23" i="3"/>
  <c r="K48" i="3"/>
  <c r="M23" i="3"/>
  <c r="K53" i="3"/>
  <c r="O23" i="3"/>
  <c r="M18" i="3"/>
  <c r="K60" i="3"/>
  <c r="M19" i="3"/>
  <c r="M22" i="3"/>
  <c r="M24" i="3"/>
  <c r="O24" i="3"/>
  <c r="N37" i="3"/>
  <c r="K37" i="3"/>
  <c r="L19" i="3"/>
  <c r="N60" i="3"/>
  <c r="L24" i="3"/>
  <c r="K58" i="3"/>
  <c r="K47" i="3"/>
  <c r="L48" i="3" s="1"/>
  <c r="K44" i="3"/>
  <c r="AO23" i="4"/>
  <c r="N54" i="3"/>
  <c r="K41" i="3"/>
  <c r="K64" i="3"/>
  <c r="K30" i="3"/>
  <c r="K61" i="3"/>
  <c r="K26" i="3"/>
  <c r="K55" i="3"/>
  <c r="K52" i="3"/>
  <c r="K38" i="3"/>
  <c r="L39" i="3" s="1"/>
  <c r="K59" i="3"/>
  <c r="K36" i="3"/>
  <c r="K43" i="3"/>
  <c r="K63" i="3"/>
  <c r="K42" i="3"/>
  <c r="L43" i="3" s="1"/>
  <c r="K27" i="3"/>
  <c r="K32" i="3"/>
  <c r="K45" i="3"/>
  <c r="K54" i="3"/>
  <c r="K62" i="3"/>
  <c r="K57" i="3"/>
  <c r="K29" i="3"/>
  <c r="K33" i="3"/>
  <c r="K56" i="3"/>
  <c r="K46" i="3"/>
  <c r="N33" i="3"/>
  <c r="K49" i="3"/>
  <c r="K34" i="3"/>
  <c r="K25" i="3"/>
  <c r="K31" i="3"/>
  <c r="K35" i="3"/>
  <c r="N35" i="3"/>
  <c r="K40" i="3"/>
  <c r="L40" i="3" s="1"/>
  <c r="K51" i="3"/>
  <c r="K28" i="3"/>
  <c r="K50" i="3"/>
  <c r="N32" i="3"/>
  <c r="N51" i="3"/>
  <c r="N27" i="3"/>
  <c r="N40" i="3"/>
  <c r="N63" i="3"/>
  <c r="N31" i="3"/>
  <c r="N38" i="3"/>
  <c r="N53" i="3"/>
  <c r="N50" i="3"/>
  <c r="N43" i="3"/>
  <c r="N28" i="3"/>
  <c r="O29" i="3" s="1"/>
  <c r="N34" i="3"/>
  <c r="O35" i="3" s="1"/>
  <c r="N61" i="3"/>
  <c r="N41" i="3"/>
  <c r="N26" i="3"/>
  <c r="N44" i="3"/>
  <c r="N52" i="3"/>
  <c r="N62" i="3"/>
  <c r="N45" i="3"/>
  <c r="N58" i="3"/>
  <c r="N25" i="3"/>
  <c r="O25" i="3" s="1"/>
  <c r="N42" i="3"/>
  <c r="N55" i="3"/>
  <c r="N36" i="3"/>
  <c r="N39" i="3"/>
  <c r="N49" i="3"/>
  <c r="N46" i="3"/>
  <c r="N57" i="3"/>
  <c r="O58" i="3" s="1"/>
  <c r="AO24" i="4"/>
  <c r="N48" i="3"/>
  <c r="N59" i="3"/>
  <c r="N47" i="3"/>
  <c r="N56" i="3"/>
  <c r="N64" i="3"/>
  <c r="N30" i="3"/>
  <c r="O30" i="3" s="1"/>
  <c r="O19" i="3"/>
  <c r="O20" i="3"/>
  <c r="P19" i="3"/>
  <c r="P24" i="3"/>
  <c r="P20" i="3"/>
  <c r="P23" i="3"/>
  <c r="P18" i="3"/>
  <c r="O18" i="3"/>
  <c r="P22" i="3"/>
  <c r="O21" i="3"/>
  <c r="Q71" i="3"/>
  <c r="Q72" i="3"/>
  <c r="Q70" i="3"/>
  <c r="M25" i="3"/>
  <c r="L25" i="3"/>
  <c r="S57" i="3"/>
  <c r="R58" i="3"/>
  <c r="F2" i="26"/>
  <c r="R44" i="3"/>
  <c r="R45" i="3"/>
  <c r="S44" i="3"/>
  <c r="S31" i="3"/>
  <c r="R32" i="3"/>
  <c r="S38" i="3"/>
  <c r="R39" i="3"/>
  <c r="R43" i="3"/>
  <c r="S42" i="3"/>
  <c r="S52" i="3"/>
  <c r="R53" i="3"/>
  <c r="S60" i="3"/>
  <c r="R61" i="3"/>
  <c r="R63" i="3"/>
  <c r="S62" i="3"/>
  <c r="S34" i="3"/>
  <c r="R35" i="3"/>
  <c r="S43" i="3"/>
  <c r="R46" i="3"/>
  <c r="S45" i="3"/>
  <c r="R47" i="3"/>
  <c r="S46" i="3"/>
  <c r="R62" i="3"/>
  <c r="S61" i="3"/>
  <c r="S32" i="3"/>
  <c r="R33" i="3"/>
  <c r="S48" i="3"/>
  <c r="R49" i="3"/>
  <c r="R50" i="3"/>
  <c r="S49" i="3"/>
  <c r="R29" i="3"/>
  <c r="S28" i="3"/>
  <c r="R34" i="3"/>
  <c r="S33" i="3"/>
  <c r="O28" i="3"/>
  <c r="S35" i="3"/>
  <c r="R36" i="3"/>
  <c r="R38" i="3"/>
  <c r="S37" i="3"/>
  <c r="R31" i="3"/>
  <c r="S30" i="3"/>
  <c r="R52" i="3"/>
  <c r="S51" i="3"/>
  <c r="R60" i="3"/>
  <c r="S59" i="3"/>
  <c r="Q65" i="3"/>
  <c r="Q66" i="3"/>
  <c r="Q69" i="3"/>
  <c r="Q67" i="3"/>
  <c r="Q68" i="3"/>
  <c r="S26" i="3"/>
  <c r="R27" i="3"/>
  <c r="S47" i="3"/>
  <c r="R48" i="3"/>
  <c r="S40" i="3"/>
  <c r="R41" i="3"/>
  <c r="S53" i="3"/>
  <c r="R54" i="3"/>
  <c r="R42" i="3"/>
  <c r="S41" i="3"/>
  <c r="S64" i="3"/>
  <c r="S29" i="3"/>
  <c r="R30" i="3"/>
  <c r="R28" i="3"/>
  <c r="S27" i="3"/>
  <c r="R51" i="3"/>
  <c r="S50" i="3"/>
  <c r="S56" i="3"/>
  <c r="R57" i="3"/>
  <c r="R40" i="3"/>
  <c r="S39" i="3"/>
  <c r="S55" i="3"/>
  <c r="R56" i="3"/>
  <c r="S25" i="3"/>
  <c r="R26" i="3"/>
  <c r="S58" i="3"/>
  <c r="R59" i="3"/>
  <c r="S63" i="3"/>
  <c r="R64" i="3"/>
  <c r="S36" i="3"/>
  <c r="R37" i="3"/>
  <c r="S54" i="3"/>
  <c r="R55" i="3"/>
  <c r="L26" i="3" l="1"/>
  <c r="L47" i="3"/>
  <c r="L49" i="3"/>
  <c r="O32" i="3"/>
  <c r="L53" i="3"/>
  <c r="M26" i="3"/>
  <c r="L59" i="3"/>
  <c r="K72" i="3"/>
  <c r="K73" i="3"/>
  <c r="K79" i="3"/>
  <c r="K76" i="3"/>
  <c r="K74" i="3"/>
  <c r="K77" i="3"/>
  <c r="K75" i="3"/>
  <c r="K78" i="3"/>
  <c r="S75" i="3"/>
  <c r="R76" i="3"/>
  <c r="N71" i="3"/>
  <c r="N73" i="3"/>
  <c r="N79" i="3"/>
  <c r="N76" i="3"/>
  <c r="N77" i="3"/>
  <c r="N74" i="3"/>
  <c r="N75" i="3"/>
  <c r="N78" i="3"/>
  <c r="I5" i="13" s="1"/>
  <c r="O41" i="3"/>
  <c r="L57" i="3"/>
  <c r="L27" i="3"/>
  <c r="R75" i="3"/>
  <c r="S74" i="3"/>
  <c r="R78" i="3"/>
  <c r="S77" i="3"/>
  <c r="S76" i="3"/>
  <c r="R77" i="3"/>
  <c r="S78" i="3"/>
  <c r="R79" i="3"/>
  <c r="R80" i="3"/>
  <c r="S79" i="3"/>
  <c r="R74" i="3"/>
  <c r="S73" i="3"/>
  <c r="M27" i="3"/>
  <c r="O40" i="3"/>
  <c r="L28" i="3"/>
  <c r="L55" i="3"/>
  <c r="O46" i="3"/>
  <c r="L56" i="3"/>
  <c r="L44" i="3"/>
  <c r="L45" i="3"/>
  <c r="O34" i="3"/>
  <c r="O47" i="3"/>
  <c r="L34" i="3"/>
  <c r="L42" i="3"/>
  <c r="O42" i="3"/>
  <c r="O31" i="3"/>
  <c r="L38" i="3"/>
  <c r="L37" i="3"/>
  <c r="L54" i="3"/>
  <c r="L50" i="3"/>
  <c r="M29" i="3"/>
  <c r="O57" i="3"/>
  <c r="O33" i="3"/>
  <c r="M28" i="3"/>
  <c r="L31" i="3"/>
  <c r="L30" i="3"/>
  <c r="O49" i="3"/>
  <c r="O43" i="3"/>
  <c r="O52" i="3"/>
  <c r="L58" i="3"/>
  <c r="O50" i="3"/>
  <c r="O51" i="3"/>
  <c r="M37" i="3"/>
  <c r="M30" i="3"/>
  <c r="L29" i="3"/>
  <c r="L63" i="3"/>
  <c r="M31" i="3"/>
  <c r="O62" i="3"/>
  <c r="M51" i="3"/>
  <c r="M50" i="3"/>
  <c r="M52" i="3"/>
  <c r="M57" i="3"/>
  <c r="K68" i="3"/>
  <c r="M38" i="3"/>
  <c r="M32" i="3"/>
  <c r="N68" i="3"/>
  <c r="L46" i="3"/>
  <c r="O37" i="3"/>
  <c r="N72" i="3"/>
  <c r="O64" i="3"/>
  <c r="M48" i="3"/>
  <c r="L52" i="3"/>
  <c r="L36" i="3"/>
  <c r="L64" i="3"/>
  <c r="O61" i="3"/>
  <c r="L60" i="3"/>
  <c r="M64" i="3"/>
  <c r="M47" i="3"/>
  <c r="M54" i="3"/>
  <c r="M46" i="3"/>
  <c r="M40" i="3"/>
  <c r="M33" i="3"/>
  <c r="L33" i="3"/>
  <c r="N70" i="3"/>
  <c r="P54" i="3"/>
  <c r="M43" i="3"/>
  <c r="M49" i="3"/>
  <c r="M61" i="3"/>
  <c r="M34" i="3"/>
  <c r="L62" i="3"/>
  <c r="O63" i="3"/>
  <c r="M41" i="3"/>
  <c r="L41" i="3"/>
  <c r="M56" i="3"/>
  <c r="L61" i="3"/>
  <c r="L51" i="3"/>
  <c r="K66" i="3"/>
  <c r="M63" i="3"/>
  <c r="M35" i="3"/>
  <c r="N66" i="3"/>
  <c r="M53" i="3"/>
  <c r="M60" i="3"/>
  <c r="M42" i="3"/>
  <c r="M39" i="3"/>
  <c r="K65" i="3"/>
  <c r="M65" i="3" s="1"/>
  <c r="K67" i="3"/>
  <c r="K71" i="3"/>
  <c r="M62" i="3"/>
  <c r="M36" i="3"/>
  <c r="L35" i="3"/>
  <c r="N67" i="3"/>
  <c r="N69" i="3"/>
  <c r="N65" i="3"/>
  <c r="O65" i="3" s="1"/>
  <c r="M45" i="3"/>
  <c r="M58" i="3"/>
  <c r="L32" i="3"/>
  <c r="K69" i="3"/>
  <c r="K70" i="3"/>
  <c r="J6" i="13" s="1"/>
  <c r="P25" i="3"/>
  <c r="M44" i="3"/>
  <c r="M59" i="3"/>
  <c r="M55" i="3"/>
  <c r="O38" i="3"/>
  <c r="O45" i="3"/>
  <c r="O53" i="3"/>
  <c r="P59" i="3"/>
  <c r="P55" i="3"/>
  <c r="O36" i="3"/>
  <c r="O44" i="3"/>
  <c r="O54" i="3"/>
  <c r="G1" i="26"/>
  <c r="P47" i="3"/>
  <c r="O48" i="3"/>
  <c r="P43" i="3"/>
  <c r="O39" i="3"/>
  <c r="P45" i="3"/>
  <c r="P48" i="3"/>
  <c r="P50" i="3"/>
  <c r="P40" i="3"/>
  <c r="P38" i="3"/>
  <c r="P56" i="3"/>
  <c r="O56" i="3"/>
  <c r="P39" i="3"/>
  <c r="P41" i="3"/>
  <c r="O55" i="3"/>
  <c r="P49" i="3"/>
  <c r="P35" i="3"/>
  <c r="P60" i="3"/>
  <c r="P31" i="3"/>
  <c r="P36" i="3"/>
  <c r="P34" i="3"/>
  <c r="P29" i="3"/>
  <c r="P46" i="3"/>
  <c r="P51" i="3"/>
  <c r="O59" i="3"/>
  <c r="P37" i="3"/>
  <c r="P63" i="3"/>
  <c r="P30" i="3"/>
  <c r="O60" i="3"/>
  <c r="P42" i="3"/>
  <c r="O26" i="3"/>
  <c r="P62" i="3"/>
  <c r="P58" i="3"/>
  <c r="P28" i="3"/>
  <c r="P53" i="3"/>
  <c r="P64" i="3"/>
  <c r="P33" i="3"/>
  <c r="P52" i="3"/>
  <c r="P32" i="3"/>
  <c r="O27" i="3"/>
  <c r="P57" i="3"/>
  <c r="P27" i="3"/>
  <c r="P44" i="3"/>
  <c r="P26" i="3"/>
  <c r="P61" i="3"/>
  <c r="S72" i="3"/>
  <c r="R73" i="3"/>
  <c r="S71" i="3"/>
  <c r="R72" i="3"/>
  <c r="R71" i="3"/>
  <c r="R70" i="3"/>
  <c r="S70" i="3"/>
  <c r="H6" i="13"/>
  <c r="M6" i="13" s="1"/>
  <c r="D6" i="13" s="1"/>
  <c r="E6" i="16" s="1"/>
  <c r="S66" i="3"/>
  <c r="R67" i="3"/>
  <c r="S65" i="3"/>
  <c r="R66" i="3"/>
  <c r="J10" i="13"/>
  <c r="F38" i="26"/>
  <c r="F8" i="26"/>
  <c r="F53" i="26"/>
  <c r="F23" i="26"/>
  <c r="R65" i="3"/>
  <c r="S69" i="3"/>
  <c r="H10" i="13"/>
  <c r="S68" i="3"/>
  <c r="R69" i="3"/>
  <c r="I10" i="13"/>
  <c r="R68" i="3"/>
  <c r="S67" i="3"/>
  <c r="L72" i="3" l="1"/>
  <c r="L73" i="3"/>
  <c r="O72" i="3"/>
  <c r="O75" i="3"/>
  <c r="P74" i="3"/>
  <c r="M78" i="3"/>
  <c r="L79" i="3"/>
  <c r="P77" i="3"/>
  <c r="O78" i="3"/>
  <c r="M75" i="3"/>
  <c r="L76" i="3"/>
  <c r="P76" i="3"/>
  <c r="O77" i="3"/>
  <c r="M77" i="3"/>
  <c r="L78" i="3"/>
  <c r="P79" i="3"/>
  <c r="O80" i="3"/>
  <c r="L75" i="3"/>
  <c r="M74" i="3"/>
  <c r="P73" i="3"/>
  <c r="O74" i="3"/>
  <c r="L77" i="3"/>
  <c r="M76" i="3"/>
  <c r="E2" i="20"/>
  <c r="J5" i="13"/>
  <c r="L80" i="3"/>
  <c r="M79" i="3"/>
  <c r="O79" i="3"/>
  <c r="P78" i="3"/>
  <c r="M73" i="3"/>
  <c r="L74" i="3"/>
  <c r="H5" i="13"/>
  <c r="M5" i="13" s="1"/>
  <c r="D5" i="13" s="1"/>
  <c r="E5" i="16" s="1"/>
  <c r="C5" i="21"/>
  <c r="C4" i="21"/>
  <c r="E4" i="20"/>
  <c r="P75" i="3"/>
  <c r="O76" i="3"/>
  <c r="O73" i="3"/>
  <c r="M66" i="3"/>
  <c r="L65" i="3"/>
  <c r="L69" i="3"/>
  <c r="G2" i="26"/>
  <c r="G23" i="26" s="1"/>
  <c r="E2" i="26"/>
  <c r="E8" i="26" s="1"/>
  <c r="L66" i="3"/>
  <c r="P66" i="3"/>
  <c r="E3" i="20"/>
  <c r="C3" i="21"/>
  <c r="E5" i="20"/>
  <c r="O66" i="3"/>
  <c r="O67" i="3"/>
  <c r="O71" i="3"/>
  <c r="O70" i="3"/>
  <c r="L70" i="3"/>
  <c r="L67" i="3"/>
  <c r="L71" i="3"/>
  <c r="O69" i="3"/>
  <c r="P65" i="3"/>
  <c r="P69" i="3"/>
  <c r="M67" i="3"/>
  <c r="P71" i="3"/>
  <c r="P68" i="3"/>
  <c r="M70" i="3"/>
  <c r="O68" i="3"/>
  <c r="M68" i="3"/>
  <c r="P67" i="3"/>
  <c r="L68" i="3"/>
  <c r="M71" i="3"/>
  <c r="M69" i="3"/>
  <c r="P72" i="3"/>
  <c r="M72" i="3"/>
  <c r="P70" i="3"/>
  <c r="I6" i="13"/>
  <c r="K6" i="13" s="1"/>
  <c r="B6" i="13" s="1"/>
  <c r="C6" i="16" s="1"/>
  <c r="L6" i="13"/>
  <c r="C6" i="13" s="1"/>
  <c r="D6" i="16" s="1"/>
  <c r="E7" i="21"/>
  <c r="M10" i="13"/>
  <c r="D10" i="13" s="1"/>
  <c r="L10" i="13"/>
  <c r="C10" i="13" s="1"/>
  <c r="K10" i="13"/>
  <c r="B10" i="13" s="1"/>
  <c r="L5" i="13" l="1"/>
  <c r="C5" i="13" s="1"/>
  <c r="D5" i="16" s="1"/>
  <c r="K5" i="13"/>
  <c r="B5" i="13" s="1"/>
  <c r="C5" i="16" s="1"/>
  <c r="C7" i="21"/>
  <c r="D7" i="21"/>
  <c r="F7" i="20"/>
  <c r="G53" i="26"/>
  <c r="G38" i="26"/>
  <c r="E53" i="26"/>
  <c r="E38" i="26"/>
  <c r="E23" i="26"/>
  <c r="G8" i="26"/>
  <c r="G7" i="20"/>
  <c r="E7" i="20"/>
  <c r="H7" i="20"/>
  <c r="F7" i="21"/>
  <c r="H8" i="26" s="1"/>
  <c r="C5" i="17"/>
  <c r="D5" i="17"/>
  <c r="E5" i="17"/>
  <c r="AL3" i="25"/>
  <c r="AK3" i="25"/>
  <c r="AJ3" i="25"/>
  <c r="AI3" i="25"/>
  <c r="AH3" i="25"/>
  <c r="AG3" i="25"/>
  <c r="AF3" i="25"/>
  <c r="AE3" i="25"/>
  <c r="AD3" i="25"/>
  <c r="AC3" i="25"/>
  <c r="AB3" i="25"/>
  <c r="AL214" i="2"/>
  <c r="AK214" i="2"/>
  <c r="AJ214" i="2"/>
  <c r="AI214" i="2"/>
  <c r="AH214" i="2"/>
  <c r="AG214" i="2"/>
  <c r="AF214" i="2"/>
  <c r="AE214" i="2"/>
  <c r="AD214" i="2"/>
  <c r="AC214" i="2"/>
  <c r="AB214" i="2"/>
  <c r="AL213" i="2"/>
  <c r="AK213" i="2"/>
  <c r="AJ213" i="2"/>
  <c r="AI213" i="2"/>
  <c r="AH213" i="2"/>
  <c r="AG213" i="2"/>
  <c r="AF213" i="2"/>
  <c r="AE213" i="2"/>
  <c r="AD213" i="2"/>
  <c r="AC213" i="2"/>
  <c r="AB213" i="2"/>
  <c r="AL212" i="2"/>
  <c r="AK212" i="2"/>
  <c r="AJ212" i="2"/>
  <c r="AI212" i="2"/>
  <c r="AH212" i="2"/>
  <c r="AG212" i="2"/>
  <c r="AF212" i="2"/>
  <c r="AE212" i="2"/>
  <c r="AD212" i="2"/>
  <c r="AC212" i="2"/>
  <c r="AB212" i="2"/>
  <c r="AL211" i="2"/>
  <c r="AK211" i="2"/>
  <c r="AJ211" i="2"/>
  <c r="AI211" i="2"/>
  <c r="AH211" i="2"/>
  <c r="AG211" i="2"/>
  <c r="AF211" i="2"/>
  <c r="AE211" i="2"/>
  <c r="AD211" i="2"/>
  <c r="AC211" i="2"/>
  <c r="AB211" i="2"/>
  <c r="AL210" i="2"/>
  <c r="AK210" i="2"/>
  <c r="AJ210" i="2"/>
  <c r="AI210" i="2"/>
  <c r="AH210" i="2"/>
  <c r="AG210" i="2"/>
  <c r="AF210" i="2"/>
  <c r="AE210" i="2"/>
  <c r="AD210" i="2"/>
  <c r="AC210" i="2"/>
  <c r="AB210" i="2"/>
  <c r="AL209" i="2"/>
  <c r="AK209" i="2"/>
  <c r="AJ209" i="2"/>
  <c r="AI209" i="2"/>
  <c r="AH209" i="2"/>
  <c r="AG209" i="2"/>
  <c r="AF209" i="2"/>
  <c r="AE209" i="2"/>
  <c r="AD209" i="2"/>
  <c r="AC209" i="2"/>
  <c r="AB209" i="2"/>
  <c r="AL208" i="2"/>
  <c r="AK208" i="2"/>
  <c r="AJ208" i="2"/>
  <c r="AI208" i="2"/>
  <c r="AH208" i="2"/>
  <c r="AG208" i="2"/>
  <c r="AF208" i="2"/>
  <c r="AE208" i="2"/>
  <c r="AD208" i="2"/>
  <c r="AC208" i="2"/>
  <c r="AB208" i="2"/>
  <c r="AL207" i="2"/>
  <c r="AK207" i="2"/>
  <c r="AJ207" i="2"/>
  <c r="AI207" i="2"/>
  <c r="AH207" i="2"/>
  <c r="AG207" i="2"/>
  <c r="AF207" i="2"/>
  <c r="AE207" i="2"/>
  <c r="AD207" i="2"/>
  <c r="AC207" i="2"/>
  <c r="AB207" i="2"/>
  <c r="AL206" i="2"/>
  <c r="AK206" i="2"/>
  <c r="AJ206" i="2"/>
  <c r="AI206" i="2"/>
  <c r="AH206" i="2"/>
  <c r="AG206" i="2"/>
  <c r="AF206" i="2"/>
  <c r="AE206" i="2"/>
  <c r="AD206" i="2"/>
  <c r="AC206" i="2"/>
  <c r="AB206" i="2"/>
  <c r="AL205" i="2"/>
  <c r="AK205" i="2"/>
  <c r="AJ205" i="2"/>
  <c r="AI205" i="2"/>
  <c r="AH205" i="2"/>
  <c r="AG205" i="2"/>
  <c r="AF205" i="2"/>
  <c r="AE205" i="2"/>
  <c r="AD205" i="2"/>
  <c r="AC205" i="2"/>
  <c r="AB205" i="2"/>
  <c r="AL204" i="2"/>
  <c r="AK204" i="2"/>
  <c r="AJ204" i="2"/>
  <c r="AI204" i="2"/>
  <c r="AH204" i="2"/>
  <c r="AG204" i="2"/>
  <c r="AF204" i="2"/>
  <c r="AE204" i="2"/>
  <c r="AD204" i="2"/>
  <c r="AC204" i="2"/>
  <c r="AB204" i="2"/>
  <c r="AL203" i="2"/>
  <c r="AK203" i="2"/>
  <c r="AJ203" i="2"/>
  <c r="AI203" i="2"/>
  <c r="AH203" i="2"/>
  <c r="AG203" i="2"/>
  <c r="AF203" i="2"/>
  <c r="AE203" i="2"/>
  <c r="AD203" i="2"/>
  <c r="AC203" i="2"/>
  <c r="AB203" i="2"/>
  <c r="AL202" i="2"/>
  <c r="AK202" i="2"/>
  <c r="AJ202" i="2"/>
  <c r="AI202" i="2"/>
  <c r="AH202" i="2"/>
  <c r="AG202" i="2"/>
  <c r="AF202" i="2"/>
  <c r="AE202" i="2"/>
  <c r="AD202" i="2"/>
  <c r="AC202" i="2"/>
  <c r="AB202" i="2"/>
  <c r="AL201" i="2"/>
  <c r="AK201" i="2"/>
  <c r="AJ201" i="2"/>
  <c r="AI201" i="2"/>
  <c r="AH201" i="2"/>
  <c r="AG201" i="2"/>
  <c r="AF201" i="2"/>
  <c r="AE201" i="2"/>
  <c r="AD201" i="2"/>
  <c r="AC201" i="2"/>
  <c r="AB201" i="2"/>
  <c r="AL200" i="2"/>
  <c r="AK200" i="2"/>
  <c r="AJ200" i="2"/>
  <c r="AI200" i="2"/>
  <c r="AH200" i="2"/>
  <c r="AG200" i="2"/>
  <c r="AF200" i="2"/>
  <c r="AE200" i="2"/>
  <c r="AD200" i="2"/>
  <c r="AC200" i="2"/>
  <c r="AB200" i="2"/>
  <c r="AL199" i="2"/>
  <c r="AK199" i="2"/>
  <c r="AJ199" i="2"/>
  <c r="AI199" i="2"/>
  <c r="AH199" i="2"/>
  <c r="AG199" i="2"/>
  <c r="AF199" i="2"/>
  <c r="AE199" i="2"/>
  <c r="AD199" i="2"/>
  <c r="AC199" i="2"/>
  <c r="AB199" i="2"/>
  <c r="AL198" i="2"/>
  <c r="AK198" i="2"/>
  <c r="AJ198" i="2"/>
  <c r="AI198" i="2"/>
  <c r="AH198" i="2"/>
  <c r="AG198" i="2"/>
  <c r="AF198" i="2"/>
  <c r="AE198" i="2"/>
  <c r="AD198" i="2"/>
  <c r="AC198" i="2"/>
  <c r="AB198" i="2"/>
  <c r="AL197" i="2"/>
  <c r="AK197" i="2"/>
  <c r="AJ197" i="2"/>
  <c r="AI197" i="2"/>
  <c r="AH197" i="2"/>
  <c r="AG197" i="2"/>
  <c r="AF197" i="2"/>
  <c r="AE197" i="2"/>
  <c r="AD197" i="2"/>
  <c r="AC197" i="2"/>
  <c r="AB197" i="2"/>
  <c r="AL196" i="2"/>
  <c r="AK196" i="2"/>
  <c r="AJ196" i="2"/>
  <c r="AI196" i="2"/>
  <c r="AH196" i="2"/>
  <c r="AG196" i="2"/>
  <c r="AF196" i="2"/>
  <c r="AE196" i="2"/>
  <c r="AD196" i="2"/>
  <c r="AC196" i="2"/>
  <c r="AB196" i="2"/>
  <c r="AL195" i="2"/>
  <c r="AK195" i="2"/>
  <c r="AJ195" i="2"/>
  <c r="AI195" i="2"/>
  <c r="AH195" i="2"/>
  <c r="AG195" i="2"/>
  <c r="AF195" i="2"/>
  <c r="AE195" i="2"/>
  <c r="AD195" i="2"/>
  <c r="AC195" i="2"/>
  <c r="AB195" i="2"/>
  <c r="AL194" i="2"/>
  <c r="AK194" i="2"/>
  <c r="AJ194" i="2"/>
  <c r="AI194" i="2"/>
  <c r="AH194" i="2"/>
  <c r="AG194" i="2"/>
  <c r="AF194" i="2"/>
  <c r="AE194" i="2"/>
  <c r="AD194" i="2"/>
  <c r="AC194" i="2"/>
  <c r="AB194" i="2"/>
  <c r="AL193" i="2"/>
  <c r="AK193" i="2"/>
  <c r="AJ193" i="2"/>
  <c r="AI193" i="2"/>
  <c r="AH193" i="2"/>
  <c r="AG193" i="2"/>
  <c r="AF193" i="2"/>
  <c r="AE193" i="2"/>
  <c r="AD193" i="2"/>
  <c r="AC193" i="2"/>
  <c r="AB193" i="2"/>
  <c r="AL192" i="2"/>
  <c r="AK192" i="2"/>
  <c r="AJ192" i="2"/>
  <c r="AI192" i="2"/>
  <c r="AH192" i="2"/>
  <c r="AG192" i="2"/>
  <c r="AF192" i="2"/>
  <c r="AE192" i="2"/>
  <c r="AD192" i="2"/>
  <c r="AC192" i="2"/>
  <c r="AB192" i="2"/>
  <c r="AL191" i="2"/>
  <c r="AK191" i="2"/>
  <c r="AJ191" i="2"/>
  <c r="AI191" i="2"/>
  <c r="AH191" i="2"/>
  <c r="AG191" i="2"/>
  <c r="AF191" i="2"/>
  <c r="AE191" i="2"/>
  <c r="AD191" i="2"/>
  <c r="AC191" i="2"/>
  <c r="AB191" i="2"/>
  <c r="AL190" i="2"/>
  <c r="AK190" i="2"/>
  <c r="AJ190" i="2"/>
  <c r="AI190" i="2"/>
  <c r="AH190" i="2"/>
  <c r="AG190" i="2"/>
  <c r="AF190" i="2"/>
  <c r="AE190" i="2"/>
  <c r="AD190" i="2"/>
  <c r="AC190" i="2"/>
  <c r="AB190" i="2"/>
  <c r="AL189" i="2"/>
  <c r="AK189" i="2"/>
  <c r="AJ189" i="2"/>
  <c r="AI189" i="2"/>
  <c r="AH189" i="2"/>
  <c r="AG189" i="2"/>
  <c r="AF189" i="2"/>
  <c r="AE189" i="2"/>
  <c r="AD189" i="2"/>
  <c r="AC189" i="2"/>
  <c r="AB189" i="2"/>
  <c r="AL188" i="2"/>
  <c r="AK188" i="2"/>
  <c r="AJ188" i="2"/>
  <c r="AI188" i="2"/>
  <c r="AH188" i="2"/>
  <c r="AG188" i="2"/>
  <c r="AF188" i="2"/>
  <c r="AE188" i="2"/>
  <c r="AD188" i="2"/>
  <c r="AC188" i="2"/>
  <c r="AB188" i="2"/>
  <c r="AL187" i="2"/>
  <c r="AK187" i="2"/>
  <c r="AJ187" i="2"/>
  <c r="AI187" i="2"/>
  <c r="AH187" i="2"/>
  <c r="AG187" i="2"/>
  <c r="AF187" i="2"/>
  <c r="AE187" i="2"/>
  <c r="AD187" i="2"/>
  <c r="AC187" i="2"/>
  <c r="AB187" i="2"/>
  <c r="AL186" i="2"/>
  <c r="AK186" i="2"/>
  <c r="AJ186" i="2"/>
  <c r="AI186" i="2"/>
  <c r="AH186" i="2"/>
  <c r="AG186" i="2"/>
  <c r="AF186" i="2"/>
  <c r="AE186" i="2"/>
  <c r="AD186" i="2"/>
  <c r="AC186" i="2"/>
  <c r="AB186" i="2"/>
  <c r="AL185" i="2"/>
  <c r="AK185" i="2"/>
  <c r="AJ185" i="2"/>
  <c r="AI185" i="2"/>
  <c r="AH185" i="2"/>
  <c r="AG185" i="2"/>
  <c r="AF185" i="2"/>
  <c r="AE185" i="2"/>
  <c r="AD185" i="2"/>
  <c r="AC185" i="2"/>
  <c r="AB185" i="2"/>
  <c r="AL184" i="2"/>
  <c r="AK184" i="2"/>
  <c r="AJ184" i="2"/>
  <c r="AI184" i="2"/>
  <c r="AH184" i="2"/>
  <c r="AG184" i="2"/>
  <c r="AF184" i="2"/>
  <c r="AE184" i="2"/>
  <c r="AD184" i="2"/>
  <c r="AC184" i="2"/>
  <c r="AB184" i="2"/>
  <c r="AL183" i="2"/>
  <c r="AK183" i="2"/>
  <c r="AJ183" i="2"/>
  <c r="AI183" i="2"/>
  <c r="AH183" i="2"/>
  <c r="AG183" i="2"/>
  <c r="AF183" i="2"/>
  <c r="AE183" i="2"/>
  <c r="AD183" i="2"/>
  <c r="AC183" i="2"/>
  <c r="AB183" i="2"/>
  <c r="AL182" i="2"/>
  <c r="AK182" i="2"/>
  <c r="AJ182" i="2"/>
  <c r="AI182" i="2"/>
  <c r="AH182" i="2"/>
  <c r="AG182" i="2"/>
  <c r="AF182" i="2"/>
  <c r="AE182" i="2"/>
  <c r="AD182" i="2"/>
  <c r="AC182" i="2"/>
  <c r="AB182" i="2"/>
  <c r="AL181" i="2"/>
  <c r="AK181" i="2"/>
  <c r="AJ181" i="2"/>
  <c r="AI181" i="2"/>
  <c r="AH181" i="2"/>
  <c r="AG181" i="2"/>
  <c r="AF181" i="2"/>
  <c r="AE181" i="2"/>
  <c r="AD181" i="2"/>
  <c r="AC181" i="2"/>
  <c r="AB181" i="2"/>
  <c r="AL180" i="2"/>
  <c r="AK180" i="2"/>
  <c r="AJ180" i="2"/>
  <c r="AI180" i="2"/>
  <c r="AH180" i="2"/>
  <c r="AG180" i="2"/>
  <c r="AF180" i="2"/>
  <c r="AE180" i="2"/>
  <c r="AD180" i="2"/>
  <c r="AC180" i="2"/>
  <c r="AB180" i="2"/>
  <c r="AL179" i="2"/>
  <c r="AK179" i="2"/>
  <c r="AJ179" i="2"/>
  <c r="AI179" i="2"/>
  <c r="AH179" i="2"/>
  <c r="AG179" i="2"/>
  <c r="AF179" i="2"/>
  <c r="AE179" i="2"/>
  <c r="AD179" i="2"/>
  <c r="AC179" i="2"/>
  <c r="AB179" i="2"/>
  <c r="AL178" i="2"/>
  <c r="AK178" i="2"/>
  <c r="AJ178" i="2"/>
  <c r="AI178" i="2"/>
  <c r="AH178" i="2"/>
  <c r="AG178" i="2"/>
  <c r="AF178" i="2"/>
  <c r="AE178" i="2"/>
  <c r="AD178" i="2"/>
  <c r="AC178" i="2"/>
  <c r="AB178" i="2"/>
  <c r="AL177" i="2"/>
  <c r="AK177" i="2"/>
  <c r="AJ177" i="2"/>
  <c r="AI177" i="2"/>
  <c r="AH177" i="2"/>
  <c r="AG177" i="2"/>
  <c r="AF177" i="2"/>
  <c r="AE177" i="2"/>
  <c r="AD177" i="2"/>
  <c r="AC177" i="2"/>
  <c r="AB177" i="2"/>
  <c r="AL176" i="2"/>
  <c r="AK176" i="2"/>
  <c r="AJ176" i="2"/>
  <c r="AI176" i="2"/>
  <c r="AH176" i="2"/>
  <c r="AG176" i="2"/>
  <c r="AF176" i="2"/>
  <c r="AE176" i="2"/>
  <c r="AD176" i="2"/>
  <c r="AC176" i="2"/>
  <c r="AB176" i="2"/>
  <c r="AL175" i="2"/>
  <c r="AK175" i="2"/>
  <c r="AJ175" i="2"/>
  <c r="AI175" i="2"/>
  <c r="AH175" i="2"/>
  <c r="AG175" i="2"/>
  <c r="AF175" i="2"/>
  <c r="AE175" i="2"/>
  <c r="AD175" i="2"/>
  <c r="AC175" i="2"/>
  <c r="AB175" i="2"/>
  <c r="AL174" i="2"/>
  <c r="AK174" i="2"/>
  <c r="AJ174" i="2"/>
  <c r="AI174" i="2"/>
  <c r="AH174" i="2"/>
  <c r="AG174" i="2"/>
  <c r="AF174" i="2"/>
  <c r="AE174" i="2"/>
  <c r="AD174" i="2"/>
  <c r="AC174" i="2"/>
  <c r="AB174" i="2"/>
  <c r="AL173" i="2"/>
  <c r="AK173" i="2"/>
  <c r="AJ173" i="2"/>
  <c r="AI173" i="2"/>
  <c r="AH173" i="2"/>
  <c r="AG173" i="2"/>
  <c r="AF173" i="2"/>
  <c r="AE173" i="2"/>
  <c r="AD173" i="2"/>
  <c r="AC173" i="2"/>
  <c r="AB173" i="2"/>
  <c r="AL172" i="2"/>
  <c r="AK172" i="2"/>
  <c r="AJ172" i="2"/>
  <c r="AI172" i="2"/>
  <c r="AH172" i="2"/>
  <c r="AG172" i="2"/>
  <c r="AF172" i="2"/>
  <c r="AE172" i="2"/>
  <c r="AD172" i="2"/>
  <c r="AC172" i="2"/>
  <c r="AB172" i="2"/>
  <c r="AL171" i="2"/>
  <c r="AK171" i="2"/>
  <c r="AJ171" i="2"/>
  <c r="AI171" i="2"/>
  <c r="AH171" i="2"/>
  <c r="AG171" i="2"/>
  <c r="AF171" i="2"/>
  <c r="AE171" i="2"/>
  <c r="AD171" i="2"/>
  <c r="AC171" i="2"/>
  <c r="AB171" i="2"/>
  <c r="AL170" i="2"/>
  <c r="AK170" i="2"/>
  <c r="AJ170" i="2"/>
  <c r="AI170" i="2"/>
  <c r="AH170" i="2"/>
  <c r="AG170" i="2"/>
  <c r="AF170" i="2"/>
  <c r="AE170" i="2"/>
  <c r="AD170" i="2"/>
  <c r="AC170" i="2"/>
  <c r="AB170" i="2"/>
  <c r="AL169" i="2"/>
  <c r="AK169" i="2"/>
  <c r="AJ169" i="2"/>
  <c r="AI169" i="2"/>
  <c r="AH169" i="2"/>
  <c r="AG169" i="2"/>
  <c r="AF169" i="2"/>
  <c r="AE169" i="2"/>
  <c r="AD169" i="2"/>
  <c r="AC169" i="2"/>
  <c r="AB169" i="2"/>
  <c r="AL168" i="2"/>
  <c r="AK168" i="2"/>
  <c r="AJ168" i="2"/>
  <c r="AI168" i="2"/>
  <c r="AH168" i="2"/>
  <c r="AG168" i="2"/>
  <c r="AF168" i="2"/>
  <c r="AE168" i="2"/>
  <c r="AD168" i="2"/>
  <c r="AC168" i="2"/>
  <c r="AB168" i="2"/>
  <c r="AL167" i="2"/>
  <c r="AK167" i="2"/>
  <c r="AJ167" i="2"/>
  <c r="AI167" i="2"/>
  <c r="AH167" i="2"/>
  <c r="AG167" i="2"/>
  <c r="AF167" i="2"/>
  <c r="AE167" i="2"/>
  <c r="AD167" i="2"/>
  <c r="AC167" i="2"/>
  <c r="AB167" i="2"/>
  <c r="AL166" i="2"/>
  <c r="AK166" i="2"/>
  <c r="AJ166" i="2"/>
  <c r="AI166" i="2"/>
  <c r="AH166" i="2"/>
  <c r="AG166" i="2"/>
  <c r="AF166" i="2"/>
  <c r="AE166" i="2"/>
  <c r="AD166" i="2"/>
  <c r="AC166" i="2"/>
  <c r="AB166" i="2"/>
  <c r="AL165" i="2"/>
  <c r="AK165" i="2"/>
  <c r="AJ165" i="2"/>
  <c r="AI165" i="2"/>
  <c r="AH165" i="2"/>
  <c r="AG165" i="2"/>
  <c r="AF165" i="2"/>
  <c r="AE165" i="2"/>
  <c r="AD165" i="2"/>
  <c r="AC165" i="2"/>
  <c r="AB165" i="2"/>
  <c r="AL164" i="2"/>
  <c r="AK164" i="2"/>
  <c r="AJ164" i="2"/>
  <c r="AI164" i="2"/>
  <c r="AH164" i="2"/>
  <c r="AG164" i="2"/>
  <c r="AF164" i="2"/>
  <c r="AE164" i="2"/>
  <c r="AD164" i="2"/>
  <c r="AC164" i="2"/>
  <c r="AB164" i="2"/>
  <c r="AL163" i="2"/>
  <c r="AK163" i="2"/>
  <c r="AJ163" i="2"/>
  <c r="AI163" i="2"/>
  <c r="AH163" i="2"/>
  <c r="AG163" i="2"/>
  <c r="AF163" i="2"/>
  <c r="AE163" i="2"/>
  <c r="AD163" i="2"/>
  <c r="AC163" i="2"/>
  <c r="AB163" i="2"/>
  <c r="AL162" i="2"/>
  <c r="AK162" i="2"/>
  <c r="AJ162" i="2"/>
  <c r="AI162" i="2"/>
  <c r="AH162" i="2"/>
  <c r="AG162" i="2"/>
  <c r="AF162" i="2"/>
  <c r="AE162" i="2"/>
  <c r="AD162" i="2"/>
  <c r="AC162" i="2"/>
  <c r="AB162" i="2"/>
  <c r="AL161" i="2"/>
  <c r="AK161" i="2"/>
  <c r="AJ161" i="2"/>
  <c r="AI161" i="2"/>
  <c r="AH161" i="2"/>
  <c r="AG161" i="2"/>
  <c r="AF161" i="2"/>
  <c r="AE161" i="2"/>
  <c r="AD161" i="2"/>
  <c r="AC161" i="2"/>
  <c r="AB161" i="2"/>
  <c r="AL160" i="2"/>
  <c r="AK160" i="2"/>
  <c r="AJ160" i="2"/>
  <c r="AI160" i="2"/>
  <c r="AH160" i="2"/>
  <c r="AG160" i="2"/>
  <c r="AF160" i="2"/>
  <c r="AE160" i="2"/>
  <c r="AD160" i="2"/>
  <c r="AC160" i="2"/>
  <c r="AB160" i="2"/>
  <c r="AL159" i="2"/>
  <c r="AK159" i="2"/>
  <c r="AJ159" i="2"/>
  <c r="AI159" i="2"/>
  <c r="AH159" i="2"/>
  <c r="AG159" i="2"/>
  <c r="AF159" i="2"/>
  <c r="AE159" i="2"/>
  <c r="AD159" i="2"/>
  <c r="AC159" i="2"/>
  <c r="AB159" i="2"/>
  <c r="AL158" i="2"/>
  <c r="AK158" i="2"/>
  <c r="AJ158" i="2"/>
  <c r="AI158" i="2"/>
  <c r="AH158" i="2"/>
  <c r="AG158" i="2"/>
  <c r="AF158" i="2"/>
  <c r="AE158" i="2"/>
  <c r="AD158" i="2"/>
  <c r="AC158" i="2"/>
  <c r="AB158" i="2"/>
  <c r="AL157" i="2"/>
  <c r="AK157" i="2"/>
  <c r="AJ157" i="2"/>
  <c r="AI157" i="2"/>
  <c r="AH157" i="2"/>
  <c r="AG157" i="2"/>
  <c r="AF157" i="2"/>
  <c r="AE157" i="2"/>
  <c r="AD157" i="2"/>
  <c r="AC157" i="2"/>
  <c r="AB157" i="2"/>
  <c r="AL156" i="2"/>
  <c r="AK156" i="2"/>
  <c r="AJ156" i="2"/>
  <c r="AI156" i="2"/>
  <c r="AH156" i="2"/>
  <c r="AG156" i="2"/>
  <c r="AF156" i="2"/>
  <c r="AE156" i="2"/>
  <c r="AD156" i="2"/>
  <c r="AC156" i="2"/>
  <c r="AB156" i="2"/>
  <c r="AL155" i="2"/>
  <c r="AK155" i="2"/>
  <c r="AJ155" i="2"/>
  <c r="AI155" i="2"/>
  <c r="AH155" i="2"/>
  <c r="AG155" i="2"/>
  <c r="AF155" i="2"/>
  <c r="AE155" i="2"/>
  <c r="AD155" i="2"/>
  <c r="AC155" i="2"/>
  <c r="AB155" i="2"/>
  <c r="AL154" i="2"/>
  <c r="AK154" i="2"/>
  <c r="AJ154" i="2"/>
  <c r="AI154" i="2"/>
  <c r="AH154" i="2"/>
  <c r="AG154" i="2"/>
  <c r="AF154" i="2"/>
  <c r="AE154" i="2"/>
  <c r="AD154" i="2"/>
  <c r="AC154" i="2"/>
  <c r="AB154" i="2"/>
  <c r="AL153" i="2"/>
  <c r="AK153" i="2"/>
  <c r="AJ153" i="2"/>
  <c r="AI153" i="2"/>
  <c r="AH153" i="2"/>
  <c r="AG153" i="2"/>
  <c r="AF153" i="2"/>
  <c r="AE153" i="2"/>
  <c r="AD153" i="2"/>
  <c r="AC153" i="2"/>
  <c r="AB153" i="2"/>
  <c r="AL152" i="2"/>
  <c r="AK152" i="2"/>
  <c r="AJ152" i="2"/>
  <c r="AI152" i="2"/>
  <c r="AH152" i="2"/>
  <c r="AG152" i="2"/>
  <c r="AF152" i="2"/>
  <c r="AE152" i="2"/>
  <c r="AD152" i="2"/>
  <c r="AC152" i="2"/>
  <c r="AB152" i="2"/>
  <c r="AL151" i="2"/>
  <c r="AK151" i="2"/>
  <c r="AJ151" i="2"/>
  <c r="AI151" i="2"/>
  <c r="AH151" i="2"/>
  <c r="AG151" i="2"/>
  <c r="AF151" i="2"/>
  <c r="AE151" i="2"/>
  <c r="AD151" i="2"/>
  <c r="AC151" i="2"/>
  <c r="AB151" i="2"/>
  <c r="AL150" i="2"/>
  <c r="AK150" i="2"/>
  <c r="AJ150" i="2"/>
  <c r="AI150" i="2"/>
  <c r="AH150" i="2"/>
  <c r="AG150" i="2"/>
  <c r="AF150" i="2"/>
  <c r="AE150" i="2"/>
  <c r="AD150" i="2"/>
  <c r="AC150" i="2"/>
  <c r="AB150" i="2"/>
  <c r="AL149" i="2"/>
  <c r="AK149" i="2"/>
  <c r="AJ149" i="2"/>
  <c r="AI149" i="2"/>
  <c r="AH149" i="2"/>
  <c r="AG149" i="2"/>
  <c r="AF149" i="2"/>
  <c r="AE149" i="2"/>
  <c r="AD149" i="2"/>
  <c r="AC149" i="2"/>
  <c r="AB149" i="2"/>
  <c r="AL148" i="2"/>
  <c r="AK148" i="2"/>
  <c r="AJ148" i="2"/>
  <c r="AI148" i="2"/>
  <c r="AH148" i="2"/>
  <c r="AG148" i="2"/>
  <c r="AF148" i="2"/>
  <c r="AE148" i="2"/>
  <c r="AD148" i="2"/>
  <c r="AC148" i="2"/>
  <c r="AB148" i="2"/>
  <c r="AL147" i="2"/>
  <c r="AK147" i="2"/>
  <c r="AJ147" i="2"/>
  <c r="AI147" i="2"/>
  <c r="AH147" i="2"/>
  <c r="AG147" i="2"/>
  <c r="AF147" i="2"/>
  <c r="AE147" i="2"/>
  <c r="AD147" i="2"/>
  <c r="AC147" i="2"/>
  <c r="AB147" i="2"/>
  <c r="AL146" i="2"/>
  <c r="AK146" i="2"/>
  <c r="AJ146" i="2"/>
  <c r="AI146" i="2"/>
  <c r="AH146" i="2"/>
  <c r="AG146" i="2"/>
  <c r="AF146" i="2"/>
  <c r="AE146" i="2"/>
  <c r="AD146" i="2"/>
  <c r="AC146" i="2"/>
  <c r="AB146" i="2"/>
  <c r="AL145" i="2"/>
  <c r="AK145" i="2"/>
  <c r="AJ145" i="2"/>
  <c r="AI145" i="2"/>
  <c r="AH145" i="2"/>
  <c r="AG145" i="2"/>
  <c r="AF145" i="2"/>
  <c r="AE145" i="2"/>
  <c r="AD145" i="2"/>
  <c r="AC145" i="2"/>
  <c r="AB145" i="2"/>
  <c r="AL144" i="2"/>
  <c r="AK144" i="2"/>
  <c r="AJ144" i="2"/>
  <c r="AI144" i="2"/>
  <c r="AH144" i="2"/>
  <c r="AG144" i="2"/>
  <c r="AF144" i="2"/>
  <c r="AE144" i="2"/>
  <c r="AD144" i="2"/>
  <c r="AC144" i="2"/>
  <c r="AB144" i="2"/>
  <c r="AL143" i="2"/>
  <c r="AK143" i="2"/>
  <c r="AJ143" i="2"/>
  <c r="AI143" i="2"/>
  <c r="AH143" i="2"/>
  <c r="AG143" i="2"/>
  <c r="AF143" i="2"/>
  <c r="AE143" i="2"/>
  <c r="AD143" i="2"/>
  <c r="AC143" i="2"/>
  <c r="AB143" i="2"/>
  <c r="AL142" i="2"/>
  <c r="AK142" i="2"/>
  <c r="AJ142" i="2"/>
  <c r="AI142" i="2"/>
  <c r="AH142" i="2"/>
  <c r="AG142" i="2"/>
  <c r="AF142" i="2"/>
  <c r="AE142" i="2"/>
  <c r="AD142" i="2"/>
  <c r="AC142" i="2"/>
  <c r="AB142" i="2"/>
  <c r="AL141" i="2"/>
  <c r="AK141" i="2"/>
  <c r="AJ141" i="2"/>
  <c r="AI141" i="2"/>
  <c r="AH141" i="2"/>
  <c r="AG141" i="2"/>
  <c r="AF141" i="2"/>
  <c r="AE141" i="2"/>
  <c r="AD141" i="2"/>
  <c r="AC141" i="2"/>
  <c r="AB141" i="2"/>
  <c r="AL140" i="2"/>
  <c r="AK140" i="2"/>
  <c r="AJ140" i="2"/>
  <c r="AI140" i="2"/>
  <c r="AH140" i="2"/>
  <c r="AG140" i="2"/>
  <c r="AF140" i="2"/>
  <c r="AE140" i="2"/>
  <c r="AD140" i="2"/>
  <c r="AC140" i="2"/>
  <c r="AB140" i="2"/>
  <c r="AL139" i="2"/>
  <c r="AK139" i="2"/>
  <c r="AJ139" i="2"/>
  <c r="AI139" i="2"/>
  <c r="AH139" i="2"/>
  <c r="AG139" i="2"/>
  <c r="AF139" i="2"/>
  <c r="AE139" i="2"/>
  <c r="AD139" i="2"/>
  <c r="AC139" i="2"/>
  <c r="AB139" i="2"/>
  <c r="AL138" i="2"/>
  <c r="AK138" i="2"/>
  <c r="AJ138" i="2"/>
  <c r="AI138" i="2"/>
  <c r="AH138" i="2"/>
  <c r="AG138" i="2"/>
  <c r="AF138" i="2"/>
  <c r="AE138" i="2"/>
  <c r="AD138" i="2"/>
  <c r="AC138" i="2"/>
  <c r="AB138" i="2"/>
  <c r="AL137" i="2"/>
  <c r="AK137" i="2"/>
  <c r="AJ137" i="2"/>
  <c r="AI137" i="2"/>
  <c r="AH137" i="2"/>
  <c r="AG137" i="2"/>
  <c r="AF137" i="2"/>
  <c r="AE137" i="2"/>
  <c r="AD137" i="2"/>
  <c r="AC137" i="2"/>
  <c r="AB137" i="2"/>
  <c r="AL136" i="2"/>
  <c r="AK136" i="2"/>
  <c r="AJ136" i="2"/>
  <c r="AI136" i="2"/>
  <c r="AH136" i="2"/>
  <c r="AG136" i="2"/>
  <c r="AF136" i="2"/>
  <c r="AE136" i="2"/>
  <c r="AD136" i="2"/>
  <c r="AC136" i="2"/>
  <c r="AB136" i="2"/>
  <c r="AL135" i="2"/>
  <c r="AK135" i="2"/>
  <c r="AJ135" i="2"/>
  <c r="AI135" i="2"/>
  <c r="AH135" i="2"/>
  <c r="AG135" i="2"/>
  <c r="AF135" i="2"/>
  <c r="AE135" i="2"/>
  <c r="AD135" i="2"/>
  <c r="AC135" i="2"/>
  <c r="AB135" i="2"/>
  <c r="AL134" i="2"/>
  <c r="AK134" i="2"/>
  <c r="AJ134" i="2"/>
  <c r="AI134" i="2"/>
  <c r="AH134" i="2"/>
  <c r="AG134" i="2"/>
  <c r="AF134" i="2"/>
  <c r="AE134" i="2"/>
  <c r="AD134" i="2"/>
  <c r="AC134" i="2"/>
  <c r="AB134" i="2"/>
  <c r="AL133" i="2"/>
  <c r="AK133" i="2"/>
  <c r="AJ133" i="2"/>
  <c r="AI133" i="2"/>
  <c r="AH133" i="2"/>
  <c r="AG133" i="2"/>
  <c r="AF133" i="2"/>
  <c r="AE133" i="2"/>
  <c r="AD133" i="2"/>
  <c r="AC133" i="2"/>
  <c r="AB133" i="2"/>
  <c r="AL132" i="2"/>
  <c r="AK132" i="2"/>
  <c r="AJ132" i="2"/>
  <c r="AI132" i="2"/>
  <c r="AH132" i="2"/>
  <c r="AG132" i="2"/>
  <c r="AF132" i="2"/>
  <c r="AE132" i="2"/>
  <c r="AD132" i="2"/>
  <c r="AC132" i="2"/>
  <c r="AB132" i="2"/>
  <c r="AL131" i="2"/>
  <c r="AK131" i="2"/>
  <c r="AJ131" i="2"/>
  <c r="AI131" i="2"/>
  <c r="AH131" i="2"/>
  <c r="AG131" i="2"/>
  <c r="AF131" i="2"/>
  <c r="AE131" i="2"/>
  <c r="AD131" i="2"/>
  <c r="AC131" i="2"/>
  <c r="AB131" i="2"/>
  <c r="AL130" i="2"/>
  <c r="AK130" i="2"/>
  <c r="AJ130" i="2"/>
  <c r="AI130" i="2"/>
  <c r="AH130" i="2"/>
  <c r="AG130" i="2"/>
  <c r="AF130" i="2"/>
  <c r="AE130" i="2"/>
  <c r="AD130" i="2"/>
  <c r="AC130" i="2"/>
  <c r="AB130" i="2"/>
  <c r="AL129" i="2"/>
  <c r="AK129" i="2"/>
  <c r="AJ129" i="2"/>
  <c r="AI129" i="2"/>
  <c r="AH129" i="2"/>
  <c r="AG129" i="2"/>
  <c r="AF129" i="2"/>
  <c r="AE129" i="2"/>
  <c r="AD129" i="2"/>
  <c r="AC129" i="2"/>
  <c r="AB129" i="2"/>
  <c r="AL128" i="2"/>
  <c r="AK128" i="2"/>
  <c r="AJ128" i="2"/>
  <c r="AI128" i="2"/>
  <c r="AH128" i="2"/>
  <c r="AG128" i="2"/>
  <c r="AF128" i="2"/>
  <c r="AE128" i="2"/>
  <c r="AD128" i="2"/>
  <c r="AC128" i="2"/>
  <c r="AB128" i="2"/>
  <c r="AL127" i="2"/>
  <c r="AK127" i="2"/>
  <c r="AJ127" i="2"/>
  <c r="AI127" i="2"/>
  <c r="AH127" i="2"/>
  <c r="AG127" i="2"/>
  <c r="AF127" i="2"/>
  <c r="AE127" i="2"/>
  <c r="AD127" i="2"/>
  <c r="AC127" i="2"/>
  <c r="AB127" i="2"/>
  <c r="AL126" i="2"/>
  <c r="AK126" i="2"/>
  <c r="AJ126" i="2"/>
  <c r="AI126" i="2"/>
  <c r="AH126" i="2"/>
  <c r="AG126" i="2"/>
  <c r="AF126" i="2"/>
  <c r="AE126" i="2"/>
  <c r="AD126" i="2"/>
  <c r="AC126" i="2"/>
  <c r="AB126" i="2"/>
  <c r="AL125" i="2"/>
  <c r="AK125" i="2"/>
  <c r="AJ125" i="2"/>
  <c r="AI125" i="2"/>
  <c r="AH125" i="2"/>
  <c r="AG125" i="2"/>
  <c r="AF125" i="2"/>
  <c r="AE125" i="2"/>
  <c r="AD125" i="2"/>
  <c r="AC125" i="2"/>
  <c r="AB125" i="2"/>
  <c r="AL124" i="2"/>
  <c r="AK124" i="2"/>
  <c r="AJ124" i="2"/>
  <c r="AI124" i="2"/>
  <c r="AH124" i="2"/>
  <c r="AG124" i="2"/>
  <c r="AF124" i="2"/>
  <c r="AE124" i="2"/>
  <c r="AD124" i="2"/>
  <c r="AC124" i="2"/>
  <c r="AB124" i="2"/>
  <c r="AL123" i="2"/>
  <c r="AK123" i="2"/>
  <c r="AJ123" i="2"/>
  <c r="AI123" i="2"/>
  <c r="AH123" i="2"/>
  <c r="AG123" i="2"/>
  <c r="AF123" i="2"/>
  <c r="AE123" i="2"/>
  <c r="AD123" i="2"/>
  <c r="AC123" i="2"/>
  <c r="AB123" i="2"/>
  <c r="AL122" i="2"/>
  <c r="AK122" i="2"/>
  <c r="AJ122" i="2"/>
  <c r="AI122" i="2"/>
  <c r="AH122" i="2"/>
  <c r="AG122" i="2"/>
  <c r="AF122" i="2"/>
  <c r="AE122" i="2"/>
  <c r="AD122" i="2"/>
  <c r="AC122" i="2"/>
  <c r="AB122" i="2"/>
  <c r="AL121" i="2"/>
  <c r="AK121" i="2"/>
  <c r="AJ121" i="2"/>
  <c r="AI121" i="2"/>
  <c r="AH121" i="2"/>
  <c r="AG121" i="2"/>
  <c r="AF121" i="2"/>
  <c r="AE121" i="2"/>
  <c r="AD121" i="2"/>
  <c r="AC121" i="2"/>
  <c r="AB121" i="2"/>
  <c r="AL120" i="2"/>
  <c r="AK120" i="2"/>
  <c r="AJ120" i="2"/>
  <c r="AI120" i="2"/>
  <c r="AH120" i="2"/>
  <c r="AG120" i="2"/>
  <c r="AF120" i="2"/>
  <c r="AE120" i="2"/>
  <c r="AD120" i="2"/>
  <c r="AC120" i="2"/>
  <c r="AB120" i="2"/>
  <c r="AL119" i="2"/>
  <c r="AK119" i="2"/>
  <c r="AJ119" i="2"/>
  <c r="AI119" i="2"/>
  <c r="AH119" i="2"/>
  <c r="AG119" i="2"/>
  <c r="AF119" i="2"/>
  <c r="AE119" i="2"/>
  <c r="AD119" i="2"/>
  <c r="AC119" i="2"/>
  <c r="AB119" i="2"/>
  <c r="AL118" i="2"/>
  <c r="AK118" i="2"/>
  <c r="AJ118" i="2"/>
  <c r="AI118" i="2"/>
  <c r="AH118" i="2"/>
  <c r="AG118" i="2"/>
  <c r="AF118" i="2"/>
  <c r="AE118" i="2"/>
  <c r="AD118" i="2"/>
  <c r="AC118" i="2"/>
  <c r="AB118" i="2"/>
  <c r="AL117" i="2"/>
  <c r="AK117" i="2"/>
  <c r="AJ117" i="2"/>
  <c r="AI117" i="2"/>
  <c r="AH117" i="2"/>
  <c r="AG117" i="2"/>
  <c r="AF117" i="2"/>
  <c r="AE117" i="2"/>
  <c r="AD117" i="2"/>
  <c r="AC117" i="2"/>
  <c r="AB117" i="2"/>
  <c r="AL116" i="2"/>
  <c r="AK116" i="2"/>
  <c r="AJ116" i="2"/>
  <c r="AI116" i="2"/>
  <c r="AH116" i="2"/>
  <c r="AG116" i="2"/>
  <c r="AF116" i="2"/>
  <c r="AE116" i="2"/>
  <c r="AD116" i="2"/>
  <c r="AC116" i="2"/>
  <c r="AB116" i="2"/>
  <c r="AL115" i="2"/>
  <c r="AK115" i="2"/>
  <c r="AJ115" i="2"/>
  <c r="AI115" i="2"/>
  <c r="AH115" i="2"/>
  <c r="AG115" i="2"/>
  <c r="AF115" i="2"/>
  <c r="AE115" i="2"/>
  <c r="AD115" i="2"/>
  <c r="AC115" i="2"/>
  <c r="AB115" i="2"/>
  <c r="AL114" i="2"/>
  <c r="AK114" i="2"/>
  <c r="AJ114" i="2"/>
  <c r="AI114" i="2"/>
  <c r="AH114" i="2"/>
  <c r="AG114" i="2"/>
  <c r="AF114" i="2"/>
  <c r="AE114" i="2"/>
  <c r="AD114" i="2"/>
  <c r="AC114" i="2"/>
  <c r="AB114" i="2"/>
  <c r="AL113" i="2"/>
  <c r="AK113" i="2"/>
  <c r="AJ113" i="2"/>
  <c r="AI113" i="2"/>
  <c r="AH113" i="2"/>
  <c r="AG113" i="2"/>
  <c r="AF113" i="2"/>
  <c r="AE113" i="2"/>
  <c r="AD113" i="2"/>
  <c r="AC113" i="2"/>
  <c r="AB113" i="2"/>
  <c r="AL112" i="2"/>
  <c r="AK112" i="2"/>
  <c r="AJ112" i="2"/>
  <c r="AI112" i="2"/>
  <c r="AH112" i="2"/>
  <c r="AG112" i="2"/>
  <c r="AF112" i="2"/>
  <c r="AE112" i="2"/>
  <c r="AD112" i="2"/>
  <c r="AC112" i="2"/>
  <c r="AB112" i="2"/>
  <c r="AL111" i="2"/>
  <c r="AK111" i="2"/>
  <c r="AJ111" i="2"/>
  <c r="AI111" i="2"/>
  <c r="AH111" i="2"/>
  <c r="AG111" i="2"/>
  <c r="AF111" i="2"/>
  <c r="AE111" i="2"/>
  <c r="AD111" i="2"/>
  <c r="AC111" i="2"/>
  <c r="AB111" i="2"/>
  <c r="AL110" i="2"/>
  <c r="AK110" i="2"/>
  <c r="AJ110" i="2"/>
  <c r="AI110" i="2"/>
  <c r="AH110" i="2"/>
  <c r="AG110" i="2"/>
  <c r="AF110" i="2"/>
  <c r="AE110" i="2"/>
  <c r="AD110" i="2"/>
  <c r="AC110" i="2"/>
  <c r="AB110" i="2"/>
  <c r="AL109" i="2"/>
  <c r="AK109" i="2"/>
  <c r="AJ109" i="2"/>
  <c r="AI109" i="2"/>
  <c r="AH109" i="2"/>
  <c r="AG109" i="2"/>
  <c r="AF109" i="2"/>
  <c r="AE109" i="2"/>
  <c r="AD109" i="2"/>
  <c r="AC109" i="2"/>
  <c r="AB109" i="2"/>
  <c r="AL108" i="2"/>
  <c r="AK108" i="2"/>
  <c r="AJ108" i="2"/>
  <c r="AI108" i="2"/>
  <c r="AH108" i="2"/>
  <c r="AG108" i="2"/>
  <c r="AF108" i="2"/>
  <c r="AE108" i="2"/>
  <c r="AD108" i="2"/>
  <c r="AC108" i="2"/>
  <c r="AB108" i="2"/>
  <c r="AL107" i="2"/>
  <c r="AK107" i="2"/>
  <c r="AJ107" i="2"/>
  <c r="AI107" i="2"/>
  <c r="AH107" i="2"/>
  <c r="AG107" i="2"/>
  <c r="AF107" i="2"/>
  <c r="AE107" i="2"/>
  <c r="AD107" i="2"/>
  <c r="AC107" i="2"/>
  <c r="AB107" i="2"/>
  <c r="AL106" i="2"/>
  <c r="AK106" i="2"/>
  <c r="AJ106" i="2"/>
  <c r="AI106" i="2"/>
  <c r="AH106" i="2"/>
  <c r="AG106" i="2"/>
  <c r="AF106" i="2"/>
  <c r="AE106" i="2"/>
  <c r="AD106" i="2"/>
  <c r="AC106" i="2"/>
  <c r="AB106" i="2"/>
  <c r="AL105" i="2"/>
  <c r="AK105" i="2"/>
  <c r="AJ105" i="2"/>
  <c r="AI105" i="2"/>
  <c r="AH105" i="2"/>
  <c r="AG105" i="2"/>
  <c r="AF105" i="2"/>
  <c r="AE105" i="2"/>
  <c r="AD105" i="2"/>
  <c r="AC105" i="2"/>
  <c r="AB105" i="2"/>
  <c r="AL104" i="2"/>
  <c r="AK104" i="2"/>
  <c r="AJ104" i="2"/>
  <c r="AI104" i="2"/>
  <c r="AH104" i="2"/>
  <c r="AG104" i="2"/>
  <c r="AF104" i="2"/>
  <c r="AE104" i="2"/>
  <c r="AD104" i="2"/>
  <c r="AC104" i="2"/>
  <c r="AB104" i="2"/>
  <c r="AL103" i="2"/>
  <c r="AK103" i="2"/>
  <c r="AJ103" i="2"/>
  <c r="AI103" i="2"/>
  <c r="AH103" i="2"/>
  <c r="AG103" i="2"/>
  <c r="AF103" i="2"/>
  <c r="AE103" i="2"/>
  <c r="AD103" i="2"/>
  <c r="AC103" i="2"/>
  <c r="AB103" i="2"/>
  <c r="AL102" i="2"/>
  <c r="AK102" i="2"/>
  <c r="AJ102" i="2"/>
  <c r="AI102" i="2"/>
  <c r="AH102" i="2"/>
  <c r="AG102" i="2"/>
  <c r="AF102" i="2"/>
  <c r="AE102" i="2"/>
  <c r="AD102" i="2"/>
  <c r="AC102" i="2"/>
  <c r="AB102" i="2"/>
  <c r="AL101" i="2"/>
  <c r="AK101" i="2"/>
  <c r="AJ101" i="2"/>
  <c r="AI101" i="2"/>
  <c r="AH101" i="2"/>
  <c r="AG101" i="2"/>
  <c r="AF101" i="2"/>
  <c r="AE101" i="2"/>
  <c r="AD101" i="2"/>
  <c r="AC101" i="2"/>
  <c r="AB101" i="2"/>
  <c r="AL100" i="2"/>
  <c r="AK100" i="2"/>
  <c r="AJ100" i="2"/>
  <c r="AI100" i="2"/>
  <c r="AH100" i="2"/>
  <c r="AG100" i="2"/>
  <c r="AF100" i="2"/>
  <c r="AE100" i="2"/>
  <c r="AD100" i="2"/>
  <c r="AC100" i="2"/>
  <c r="AB100" i="2"/>
  <c r="AL99" i="2"/>
  <c r="AK99" i="2"/>
  <c r="AJ99" i="2"/>
  <c r="AI99" i="2"/>
  <c r="AH99" i="2"/>
  <c r="AG99" i="2"/>
  <c r="AF99" i="2"/>
  <c r="AE99" i="2"/>
  <c r="AD99" i="2"/>
  <c r="AC99" i="2"/>
  <c r="AB99" i="2"/>
  <c r="AL98" i="2"/>
  <c r="AK98" i="2"/>
  <c r="AJ98" i="2"/>
  <c r="AI98" i="2"/>
  <c r="AH98" i="2"/>
  <c r="AG98" i="2"/>
  <c r="AF98" i="2"/>
  <c r="AE98" i="2"/>
  <c r="AD98" i="2"/>
  <c r="AC98" i="2"/>
  <c r="AB98" i="2"/>
  <c r="AL97" i="2"/>
  <c r="AK97" i="2"/>
  <c r="AJ97" i="2"/>
  <c r="AI97" i="2"/>
  <c r="AH97" i="2"/>
  <c r="AG97" i="2"/>
  <c r="AF97" i="2"/>
  <c r="AE97" i="2"/>
  <c r="AD97" i="2"/>
  <c r="AC97" i="2"/>
  <c r="AB97" i="2"/>
  <c r="AL96" i="2"/>
  <c r="AK96" i="2"/>
  <c r="AJ96" i="2"/>
  <c r="AI96" i="2"/>
  <c r="AH96" i="2"/>
  <c r="AG96" i="2"/>
  <c r="AF96" i="2"/>
  <c r="AE96" i="2"/>
  <c r="AD96" i="2"/>
  <c r="AC96" i="2"/>
  <c r="AB96" i="2"/>
  <c r="AL95" i="2"/>
  <c r="AK95" i="2"/>
  <c r="AJ95" i="2"/>
  <c r="AI95" i="2"/>
  <c r="AH95" i="2"/>
  <c r="AG95" i="2"/>
  <c r="AF95" i="2"/>
  <c r="AE95" i="2"/>
  <c r="AD95" i="2"/>
  <c r="AC95" i="2"/>
  <c r="AB95" i="2"/>
  <c r="AL94" i="2"/>
  <c r="AK94" i="2"/>
  <c r="AJ94" i="2"/>
  <c r="AI94" i="2"/>
  <c r="AH94" i="2"/>
  <c r="AG94" i="2"/>
  <c r="AF94" i="2"/>
  <c r="AE94" i="2"/>
  <c r="AD94" i="2"/>
  <c r="AC94" i="2"/>
  <c r="AB94" i="2"/>
  <c r="AL93" i="2"/>
  <c r="AK93" i="2"/>
  <c r="AJ93" i="2"/>
  <c r="AI93" i="2"/>
  <c r="AH93" i="2"/>
  <c r="AG93" i="2"/>
  <c r="AF93" i="2"/>
  <c r="AE93" i="2"/>
  <c r="AD93" i="2"/>
  <c r="AC93" i="2"/>
  <c r="AB93" i="2"/>
  <c r="AL92" i="2"/>
  <c r="AK92" i="2"/>
  <c r="AJ92" i="2"/>
  <c r="AI92" i="2"/>
  <c r="AH92" i="2"/>
  <c r="AG92" i="2"/>
  <c r="AF92" i="2"/>
  <c r="AE92" i="2"/>
  <c r="AD92" i="2"/>
  <c r="AC92" i="2"/>
  <c r="AB92" i="2"/>
  <c r="AL91" i="2"/>
  <c r="AK91" i="2"/>
  <c r="AJ91" i="2"/>
  <c r="AI91" i="2"/>
  <c r="AH91" i="2"/>
  <c r="AG91" i="2"/>
  <c r="AF91" i="2"/>
  <c r="AE91" i="2"/>
  <c r="AD91" i="2"/>
  <c r="AC91" i="2"/>
  <c r="AB91" i="2"/>
  <c r="AL90" i="2"/>
  <c r="AK90" i="2"/>
  <c r="AJ90" i="2"/>
  <c r="AI90" i="2"/>
  <c r="AH90" i="2"/>
  <c r="AG90" i="2"/>
  <c r="AF90" i="2"/>
  <c r="AE90" i="2"/>
  <c r="AD90" i="2"/>
  <c r="AC90" i="2"/>
  <c r="AB90" i="2"/>
  <c r="AL89" i="2"/>
  <c r="AK89" i="2"/>
  <c r="AJ89" i="2"/>
  <c r="AI89" i="2"/>
  <c r="AH89" i="2"/>
  <c r="AG89" i="2"/>
  <c r="AF89" i="2"/>
  <c r="AE89" i="2"/>
  <c r="AD89" i="2"/>
  <c r="AC89" i="2"/>
  <c r="AB89" i="2"/>
  <c r="AL88" i="2"/>
  <c r="AK88" i="2"/>
  <c r="AJ88" i="2"/>
  <c r="AI88" i="2"/>
  <c r="AH88" i="2"/>
  <c r="AG88" i="2"/>
  <c r="AF88" i="2"/>
  <c r="AE88" i="2"/>
  <c r="AD88" i="2"/>
  <c r="AC88" i="2"/>
  <c r="AB88" i="2"/>
  <c r="AL87" i="2"/>
  <c r="AK87" i="2"/>
  <c r="AJ87" i="2"/>
  <c r="AI87" i="2"/>
  <c r="AH87" i="2"/>
  <c r="AG87" i="2"/>
  <c r="AF87" i="2"/>
  <c r="AE87" i="2"/>
  <c r="AD87" i="2"/>
  <c r="AC87" i="2"/>
  <c r="AB87" i="2"/>
  <c r="AL86" i="2"/>
  <c r="AK86" i="2"/>
  <c r="AJ86" i="2"/>
  <c r="AI86" i="2"/>
  <c r="AH86" i="2"/>
  <c r="AG86" i="2"/>
  <c r="AF86" i="2"/>
  <c r="AE86" i="2"/>
  <c r="AD86" i="2"/>
  <c r="AC86" i="2"/>
  <c r="AB86" i="2"/>
  <c r="AL85" i="2"/>
  <c r="AK85" i="2"/>
  <c r="AJ85" i="2"/>
  <c r="AI85" i="2"/>
  <c r="AH85" i="2"/>
  <c r="AG85" i="2"/>
  <c r="AF85" i="2"/>
  <c r="AE85" i="2"/>
  <c r="AD85" i="2"/>
  <c r="AC85" i="2"/>
  <c r="AB85" i="2"/>
  <c r="AL84" i="2"/>
  <c r="AK84" i="2"/>
  <c r="AJ84" i="2"/>
  <c r="AI84" i="2"/>
  <c r="AH84" i="2"/>
  <c r="AG84" i="2"/>
  <c r="AF84" i="2"/>
  <c r="AE84" i="2"/>
  <c r="AD84" i="2"/>
  <c r="AC84" i="2"/>
  <c r="AB84" i="2"/>
  <c r="AL83" i="2"/>
  <c r="AK83" i="2"/>
  <c r="AJ83" i="2"/>
  <c r="AI83" i="2"/>
  <c r="AH83" i="2"/>
  <c r="AG83" i="2"/>
  <c r="AF83" i="2"/>
  <c r="AE83" i="2"/>
  <c r="AD83" i="2"/>
  <c r="AC83" i="2"/>
  <c r="AB83" i="2"/>
  <c r="AL82" i="2"/>
  <c r="AK82" i="2"/>
  <c r="AJ82" i="2"/>
  <c r="AI82" i="2"/>
  <c r="AH82" i="2"/>
  <c r="AG82" i="2"/>
  <c r="AF82" i="2"/>
  <c r="AE82" i="2"/>
  <c r="AD82" i="2"/>
  <c r="AC82" i="2"/>
  <c r="AB82" i="2"/>
  <c r="AL81" i="2"/>
  <c r="AK81" i="2"/>
  <c r="AJ81" i="2"/>
  <c r="AI81" i="2"/>
  <c r="AH81" i="2"/>
  <c r="AG81" i="2"/>
  <c r="AF81" i="2"/>
  <c r="AE81" i="2"/>
  <c r="AD81" i="2"/>
  <c r="AC81" i="2"/>
  <c r="AB81" i="2"/>
  <c r="AL80" i="2"/>
  <c r="AK80" i="2"/>
  <c r="AJ80" i="2"/>
  <c r="AI80" i="2"/>
  <c r="AH80" i="2"/>
  <c r="AG80" i="2"/>
  <c r="AF80" i="2"/>
  <c r="AE80" i="2"/>
  <c r="AD80" i="2"/>
  <c r="AC80" i="2"/>
  <c r="AB80" i="2"/>
  <c r="AL3" i="2"/>
  <c r="AK3" i="2"/>
  <c r="AJ3" i="2"/>
  <c r="AI3" i="2"/>
  <c r="AH3" i="2"/>
  <c r="AG3" i="2"/>
  <c r="AF3" i="2"/>
  <c r="AE3" i="2"/>
  <c r="AD3" i="2"/>
  <c r="AC3" i="2"/>
  <c r="AB3" i="2"/>
  <c r="V69" i="3"/>
  <c r="U69" i="3"/>
  <c r="AJ79" i="2"/>
  <c r="AB79" i="2"/>
  <c r="AE78" i="2"/>
  <c r="AH77" i="2"/>
  <c r="AK76" i="2"/>
  <c r="AC76" i="2"/>
  <c r="AF75" i="2"/>
  <c r="AI74" i="2"/>
  <c r="AL73" i="2"/>
  <c r="AD73" i="2"/>
  <c r="AJ76" i="2"/>
  <c r="AE75" i="2"/>
  <c r="AK73" i="2"/>
  <c r="AG75" i="2"/>
  <c r="AI79" i="2"/>
  <c r="AL78" i="2"/>
  <c r="AD78" i="2"/>
  <c r="AG77" i="2"/>
  <c r="AB76" i="2"/>
  <c r="AH74" i="2"/>
  <c r="AC73" i="2"/>
  <c r="AC79" i="2"/>
  <c r="AB74" i="2"/>
  <c r="AH79" i="2"/>
  <c r="AK78" i="2"/>
  <c r="AC78" i="2"/>
  <c r="AF77" i="2"/>
  <c r="AI76" i="2"/>
  <c r="AL75" i="2"/>
  <c r="AD75" i="2"/>
  <c r="AG74" i="2"/>
  <c r="AJ73" i="2"/>
  <c r="AB73" i="2"/>
  <c r="AD76" i="2"/>
  <c r="AG79" i="2"/>
  <c r="AJ78" i="2"/>
  <c r="AB78" i="2"/>
  <c r="AE77" i="2"/>
  <c r="AH76" i="2"/>
  <c r="AK75" i="2"/>
  <c r="AC75" i="2"/>
  <c r="AF74" i="2"/>
  <c r="AI73" i="2"/>
  <c r="AJ74" i="2"/>
  <c r="AF79" i="2"/>
  <c r="AI78" i="2"/>
  <c r="AL77" i="2"/>
  <c r="AD77" i="2"/>
  <c r="AG76" i="2"/>
  <c r="AJ75" i="2"/>
  <c r="AB75" i="2"/>
  <c r="AE74" i="2"/>
  <c r="AH73" i="2"/>
  <c r="AI77" i="2"/>
  <c r="AE79" i="2"/>
  <c r="AH78" i="2"/>
  <c r="AK77" i="2"/>
  <c r="AC77" i="2"/>
  <c r="AF76" i="2"/>
  <c r="AI75" i="2"/>
  <c r="AL74" i="2"/>
  <c r="AD74" i="2"/>
  <c r="AG73" i="2"/>
  <c r="AF78" i="2"/>
  <c r="AL79" i="2"/>
  <c r="AD79" i="2"/>
  <c r="AG78" i="2"/>
  <c r="AJ77" i="2"/>
  <c r="AB77" i="2"/>
  <c r="AE76" i="2"/>
  <c r="AH75" i="2"/>
  <c r="AK74" i="2"/>
  <c r="AC74" i="2"/>
  <c r="AF73" i="2"/>
  <c r="AK79" i="2"/>
  <c r="AL76" i="2"/>
  <c r="AE73" i="2"/>
  <c r="AK71" i="2"/>
  <c r="AI71" i="2"/>
  <c r="AD71" i="2"/>
  <c r="AG31" i="2"/>
  <c r="AG23" i="2"/>
  <c r="AL20" i="2"/>
  <c r="AF53" i="2"/>
  <c r="AC50" i="2"/>
  <c r="AC14" i="2"/>
  <c r="AJ31" i="2"/>
  <c r="AI64" i="2"/>
  <c r="AG45" i="2"/>
  <c r="AE12" i="2"/>
  <c r="AF66" i="2"/>
  <c r="AE20" i="2"/>
  <c r="AC55" i="2"/>
  <c r="AH11" i="2"/>
  <c r="AK22" i="2"/>
  <c r="AB62" i="2"/>
  <c r="AI6" i="2"/>
  <c r="AB59" i="2"/>
  <c r="AE26" i="2"/>
  <c r="AH16" i="2"/>
  <c r="AC61" i="2"/>
  <c r="AH29" i="2"/>
  <c r="AL66" i="2"/>
  <c r="AG8" i="2"/>
  <c r="AF36" i="2"/>
  <c r="AK42" i="2"/>
  <c r="AI61" i="2"/>
  <c r="AF43" i="2"/>
  <c r="AB61" i="2"/>
  <c r="AG16" i="2"/>
  <c r="AI29" i="2"/>
  <c r="AL40" i="2"/>
  <c r="AK37" i="2"/>
  <c r="AC37" i="2"/>
  <c r="AF5" i="2"/>
  <c r="AJ12" i="2"/>
  <c r="AC19" i="2"/>
  <c r="AC48" i="2"/>
  <c r="AG52" i="2"/>
  <c r="AL22" i="2"/>
  <c r="AC30" i="2"/>
  <c r="AF47" i="2"/>
  <c r="AD40" i="2"/>
  <c r="AF21" i="2"/>
  <c r="AF19" i="2"/>
  <c r="AJ47" i="2"/>
  <c r="AC33" i="2"/>
  <c r="AK32" i="2"/>
  <c r="AB70" i="2"/>
  <c r="AG54" i="2"/>
  <c r="AF30" i="2"/>
  <c r="AB68" i="2"/>
  <c r="AG13" i="2"/>
  <c r="AL50" i="2"/>
  <c r="AG44" i="2"/>
  <c r="AJ32" i="2"/>
  <c r="AB64" i="2"/>
  <c r="AB26" i="2"/>
  <c r="AL42" i="2"/>
  <c r="AD5" i="2"/>
  <c r="AD28" i="2"/>
  <c r="AC52" i="2"/>
  <c r="AL36" i="2"/>
  <c r="AL11" i="2"/>
  <c r="AD58" i="2"/>
  <c r="AI25" i="2"/>
  <c r="AE70" i="2"/>
  <c r="AH14" i="2"/>
  <c r="AE46" i="2"/>
  <c r="AL8" i="2"/>
  <c r="AB19" i="2"/>
  <c r="AD10" i="2"/>
  <c r="AJ52" i="2"/>
  <c r="AH9" i="2"/>
  <c r="AL31" i="2"/>
  <c r="AE43" i="2"/>
  <c r="AD24" i="2"/>
  <c r="AG37" i="2"/>
  <c r="AG39" i="2"/>
  <c r="AH20" i="2"/>
  <c r="AD17" i="2"/>
  <c r="AB60" i="2"/>
  <c r="AG58" i="2"/>
  <c r="AJ53" i="2"/>
  <c r="AD65" i="2"/>
  <c r="AG63" i="2"/>
  <c r="AB50" i="2"/>
  <c r="AE49" i="2"/>
  <c r="AJ18" i="2"/>
  <c r="AH53" i="2"/>
  <c r="AL48" i="2"/>
  <c r="AB71" i="2"/>
  <c r="AE72" i="2"/>
  <c r="AB72" i="2"/>
  <c r="AH43" i="2"/>
  <c r="AD26" i="2"/>
  <c r="AJ51" i="2"/>
  <c r="AI17" i="2"/>
  <c r="AG69" i="2"/>
  <c r="AH21" i="2"/>
  <c r="AB51" i="2"/>
  <c r="AJ23" i="2"/>
  <c r="AE5" i="2"/>
  <c r="AE16" i="2"/>
  <c r="AE55" i="2"/>
  <c r="AE19" i="2"/>
  <c r="AJ58" i="2"/>
  <c r="AC23" i="2"/>
  <c r="AD57" i="2"/>
  <c r="AE18" i="2"/>
  <c r="AD27" i="2"/>
  <c r="AE69" i="2"/>
  <c r="AE52" i="2"/>
  <c r="AH15" i="2"/>
  <c r="AB66" i="2"/>
  <c r="AE29" i="2"/>
  <c r="AI66" i="2"/>
  <c r="AJ27" i="2"/>
  <c r="AB30" i="2"/>
  <c r="AE10" i="2"/>
  <c r="AB35" i="2"/>
  <c r="AI8" i="2"/>
  <c r="AJ41" i="2"/>
  <c r="AE62" i="2"/>
  <c r="AG66" i="2"/>
  <c r="AG53" i="2"/>
  <c r="AH64" i="2"/>
  <c r="AD38" i="2"/>
  <c r="AL10" i="2"/>
  <c r="AJ11" i="2"/>
  <c r="AF25" i="2"/>
  <c r="AH44" i="2"/>
  <c r="AK23" i="2"/>
  <c r="AL14" i="2"/>
  <c r="AG42" i="2"/>
  <c r="AB47" i="2"/>
  <c r="AK64" i="2"/>
  <c r="AF69" i="2"/>
  <c r="AL24" i="2"/>
  <c r="AK51" i="2"/>
  <c r="AI38" i="2"/>
  <c r="AB53" i="2"/>
  <c r="AL5" i="2"/>
  <c r="AC27" i="2"/>
  <c r="AD55" i="2"/>
  <c r="AJ13" i="2"/>
  <c r="AI32" i="2"/>
  <c r="AJ55" i="2"/>
  <c r="AJ50" i="2"/>
  <c r="AG22" i="2"/>
  <c r="AJ63" i="2"/>
  <c r="AH17" i="2"/>
  <c r="AD62" i="2"/>
  <c r="AB27" i="2"/>
  <c r="AC13" i="2"/>
  <c r="AD53" i="2"/>
  <c r="AI5" i="2"/>
  <c r="AE23" i="2"/>
  <c r="AF64" i="2"/>
  <c r="AJ37" i="2"/>
  <c r="AK17" i="2"/>
  <c r="AI16" i="2"/>
  <c r="AE14" i="2"/>
  <c r="AH39" i="2"/>
  <c r="AD64" i="2"/>
  <c r="AK67" i="2"/>
  <c r="AD47" i="2"/>
  <c r="AK61" i="2"/>
  <c r="AF50" i="2"/>
  <c r="AE28" i="2"/>
  <c r="AL17" i="2"/>
  <c r="AB45" i="2"/>
  <c r="AL67" i="2"/>
  <c r="AE48" i="2"/>
  <c r="AL52" i="2"/>
  <c r="AB42" i="2"/>
  <c r="AK9" i="2"/>
  <c r="AK63" i="2"/>
  <c r="AD41" i="2"/>
  <c r="AH65" i="2"/>
  <c r="AK68" i="2"/>
  <c r="AC25" i="2"/>
  <c r="AG67" i="2"/>
  <c r="AK20" i="2"/>
  <c r="AK69" i="2"/>
  <c r="AF56" i="2"/>
  <c r="AI7" i="2"/>
  <c r="AD44" i="2"/>
  <c r="AD13" i="2"/>
  <c r="AJ40" i="2"/>
  <c r="AE35" i="2"/>
  <c r="AJ44" i="2"/>
  <c r="AJ5" i="2"/>
  <c r="AC35" i="2"/>
  <c r="AG19" i="2"/>
  <c r="AK48" i="2"/>
  <c r="AC20" i="2"/>
  <c r="AH70" i="2"/>
  <c r="AF38" i="2"/>
  <c r="AG34" i="2"/>
  <c r="AG55" i="2"/>
  <c r="AI33" i="2"/>
  <c r="AL54" i="2"/>
  <c r="AF54" i="2"/>
  <c r="AI68" i="2"/>
  <c r="AI40" i="2"/>
  <c r="AH47" i="2"/>
  <c r="AG48" i="2"/>
  <c r="AF17" i="2"/>
  <c r="AI47" i="2"/>
  <c r="AB20" i="2"/>
  <c r="AC44" i="2"/>
  <c r="AC8" i="2"/>
  <c r="AK57" i="2"/>
  <c r="AG33" i="2"/>
  <c r="AD59" i="2"/>
  <c r="AE44" i="2"/>
  <c r="AE33" i="2"/>
  <c r="AH71" i="2"/>
  <c r="AK72" i="2"/>
  <c r="AE71" i="2"/>
  <c r="AB67" i="2"/>
  <c r="AL25" i="2"/>
  <c r="AE67" i="2"/>
  <c r="AL49" i="2"/>
  <c r="AK49" i="2"/>
  <c r="AE8" i="2"/>
  <c r="AF32" i="2"/>
  <c r="AI27" i="2"/>
  <c r="AC46" i="2"/>
  <c r="AE59" i="2"/>
  <c r="AF13" i="2"/>
  <c r="AL63" i="2"/>
  <c r="AH63" i="2"/>
  <c r="AG10" i="2"/>
  <c r="AI60" i="2"/>
  <c r="AC58" i="2"/>
  <c r="AH35" i="2"/>
  <c r="AK56" i="2"/>
  <c r="AI9" i="2"/>
  <c r="AF51" i="2"/>
  <c r="AF23" i="2"/>
  <c r="AC65" i="2"/>
  <c r="AG62" i="2"/>
  <c r="AC9" i="2"/>
  <c r="AC42" i="2"/>
  <c r="AF22" i="2"/>
  <c r="AF6" i="2"/>
  <c r="AL71" i="2"/>
  <c r="AL12" i="2"/>
  <c r="AD45" i="2"/>
  <c r="AK65" i="2"/>
  <c r="AH58" i="2"/>
  <c r="AH27" i="2"/>
  <c r="AG46" i="2"/>
  <c r="AL29" i="2"/>
  <c r="AI55" i="2"/>
  <c r="AH24" i="2"/>
  <c r="AF28" i="2"/>
  <c r="AE21" i="2"/>
  <c r="AI70" i="2"/>
  <c r="AL51" i="2"/>
  <c r="AC60" i="2"/>
  <c r="AB25" i="2"/>
  <c r="AK38" i="2"/>
  <c r="AD9" i="2"/>
  <c r="AE45" i="2"/>
  <c r="AG9" i="2"/>
  <c r="AB40" i="2"/>
  <c r="AD6" i="2"/>
  <c r="AD29" i="2"/>
  <c r="AK35" i="2"/>
  <c r="AI50" i="2"/>
  <c r="AB28" i="2"/>
  <c r="AC70" i="2"/>
  <c r="AD14" i="2"/>
  <c r="AL45" i="2"/>
  <c r="AI54" i="2"/>
  <c r="AD15" i="2"/>
  <c r="AG35" i="2"/>
  <c r="AB54" i="2"/>
  <c r="AK40" i="2"/>
  <c r="AF61" i="2"/>
  <c r="AF8" i="2"/>
  <c r="AI52" i="2"/>
  <c r="AE54" i="2"/>
  <c r="AF31" i="2"/>
  <c r="AJ6" i="2"/>
  <c r="AH52" i="2"/>
  <c r="AF59" i="2"/>
  <c r="AK60" i="2"/>
  <c r="AH38" i="2"/>
  <c r="AF71" i="2"/>
  <c r="AE7" i="2"/>
  <c r="AE57" i="2"/>
  <c r="AK29" i="2"/>
  <c r="AH50" i="2"/>
  <c r="AC63" i="2"/>
  <c r="AL69" i="2"/>
  <c r="AG5" i="2"/>
  <c r="AJ43" i="2"/>
  <c r="AE37" i="2"/>
  <c r="AJ45" i="2"/>
  <c r="AL13" i="2"/>
  <c r="AD50" i="2"/>
  <c r="AG57" i="2"/>
  <c r="AG41" i="2"/>
  <c r="AK19" i="2"/>
  <c r="AH61" i="2"/>
  <c r="AI56" i="2"/>
  <c r="AI62" i="2"/>
  <c r="AE9" i="2"/>
  <c r="AG26" i="2"/>
  <c r="AL21" i="2"/>
  <c r="AK70" i="2"/>
  <c r="AK34" i="2"/>
  <c r="AK59" i="2"/>
  <c r="AI28" i="2"/>
  <c r="AJ59" i="2"/>
  <c r="AB58" i="2"/>
  <c r="AD11" i="2"/>
  <c r="AF24" i="2"/>
  <c r="AL44" i="2"/>
  <c r="AE42" i="2"/>
  <c r="AE60" i="2"/>
  <c r="AG7" i="2"/>
  <c r="AC68" i="2"/>
  <c r="AL43" i="2"/>
  <c r="AJ34" i="2"/>
  <c r="AI35" i="2"/>
  <c r="AG21" i="2"/>
  <c r="AF57" i="2"/>
  <c r="AC21" i="2"/>
  <c r="AG47" i="2"/>
  <c r="AK30" i="2"/>
  <c r="AJ62" i="2"/>
  <c r="AG28" i="2"/>
  <c r="AI44" i="2"/>
  <c r="AH72" i="2"/>
  <c r="AL72" i="2"/>
  <c r="AK12" i="2"/>
  <c r="AE56" i="2"/>
  <c r="AG24" i="2"/>
  <c r="AF62" i="2"/>
  <c r="AG20" i="2"/>
  <c r="AE41" i="2"/>
  <c r="AK47" i="2"/>
  <c r="AF26" i="2"/>
  <c r="AF49" i="2"/>
  <c r="AH23" i="2"/>
  <c r="AB36" i="2"/>
  <c r="AD33" i="2"/>
  <c r="AC18" i="2"/>
  <c r="AI65" i="2"/>
  <c r="AK8" i="2"/>
  <c r="AL41" i="2"/>
  <c r="AG61" i="2"/>
  <c r="AH10" i="2"/>
  <c r="AK54" i="2"/>
  <c r="AF16" i="2"/>
  <c r="AK14" i="2"/>
  <c r="AL65" i="2"/>
  <c r="AF60" i="2"/>
  <c r="AC66" i="2"/>
  <c r="AI58" i="2"/>
  <c r="AJ60" i="2"/>
  <c r="AK36" i="2"/>
  <c r="AC45" i="2"/>
  <c r="AG56" i="2"/>
  <c r="AL16" i="2"/>
  <c r="AH48" i="2"/>
  <c r="AE22" i="2"/>
  <c r="AC51" i="2"/>
  <c r="AF7" i="2"/>
  <c r="AL9" i="2"/>
  <c r="AC22" i="2"/>
  <c r="AK24" i="2"/>
  <c r="AL6" i="2"/>
  <c r="AB41" i="2"/>
  <c r="AG65" i="2"/>
  <c r="AB23" i="2"/>
  <c r="AC7" i="2"/>
  <c r="AL47" i="2"/>
  <c r="AD35" i="2"/>
  <c r="AI67" i="2"/>
  <c r="AG64" i="2"/>
  <c r="AB17" i="2"/>
  <c r="AL46" i="2"/>
  <c r="AD19" i="2"/>
  <c r="AJ48" i="2"/>
  <c r="AE64" i="2"/>
  <c r="AB6" i="2"/>
  <c r="AD39" i="2"/>
  <c r="AH25" i="2"/>
  <c r="AG27" i="2"/>
  <c r="AJ57" i="2"/>
  <c r="AH34" i="2"/>
  <c r="AG43" i="2"/>
  <c r="AG29" i="2"/>
  <c r="AH40" i="2"/>
  <c r="AF18" i="2"/>
  <c r="AC71" i="2"/>
  <c r="AD72" i="2"/>
  <c r="AH42" i="2"/>
  <c r="AD16" i="2"/>
  <c r="AG25" i="2"/>
  <c r="AB12" i="2"/>
  <c r="AC62" i="2"/>
  <c r="AJ10" i="2"/>
  <c r="AD42" i="2"/>
  <c r="AI69" i="2"/>
  <c r="AE34" i="2"/>
  <c r="AL34" i="2"/>
  <c r="AD54" i="2"/>
  <c r="AE15" i="2"/>
  <c r="AH41" i="2"/>
  <c r="AC5" i="2"/>
  <c r="AJ8" i="2"/>
  <c r="AB39" i="2"/>
  <c r="AH49" i="2"/>
  <c r="AK18" i="2"/>
  <c r="AE53" i="2"/>
  <c r="AJ46" i="2"/>
  <c r="AC31" i="2"/>
  <c r="AE47" i="2"/>
  <c r="AG18" i="2"/>
  <c r="AF20" i="2"/>
  <c r="AD34" i="2"/>
  <c r="AB63" i="2"/>
  <c r="AI22" i="2"/>
  <c r="AE25" i="2"/>
  <c r="AK45" i="2"/>
  <c r="AC38" i="2"/>
  <c r="AI42" i="2"/>
  <c r="AJ25" i="2"/>
  <c r="AD49" i="2"/>
  <c r="AK26" i="2"/>
  <c r="AE40" i="2"/>
  <c r="AI57" i="2"/>
  <c r="AF67" i="2"/>
  <c r="AK27" i="2"/>
  <c r="AF52" i="2"/>
  <c r="AC59" i="2"/>
  <c r="AH59" i="2"/>
  <c r="AE68" i="2"/>
  <c r="AG32" i="2"/>
  <c r="AE17" i="2"/>
  <c r="AD23" i="2"/>
  <c r="AL26" i="2"/>
  <c r="AH22" i="2"/>
  <c r="AH56" i="2"/>
  <c r="AJ21" i="2"/>
  <c r="AD36" i="2"/>
  <c r="AK6" i="2"/>
  <c r="AJ56" i="2"/>
  <c r="AF33" i="2"/>
  <c r="AD63" i="2"/>
  <c r="AB5" i="2"/>
  <c r="AE61" i="2"/>
  <c r="AL39" i="2"/>
  <c r="AG12" i="2"/>
  <c r="AB48" i="2"/>
  <c r="AC39" i="2"/>
  <c r="AH66" i="2"/>
  <c r="AC72" i="2"/>
  <c r="AG71" i="2"/>
  <c r="AB13" i="2"/>
  <c r="AB52" i="2"/>
  <c r="AI30" i="2"/>
  <c r="AF45" i="2"/>
  <c r="AH32" i="2"/>
  <c r="AI51" i="2"/>
  <c r="AJ20" i="2"/>
  <c r="AB57" i="2"/>
  <c r="AK21" i="2"/>
  <c r="AI34" i="2"/>
  <c r="AC29" i="2"/>
  <c r="AI24" i="2"/>
  <c r="AK62" i="2"/>
  <c r="AK31" i="2"/>
  <c r="AL32" i="2"/>
  <c r="AG15" i="2"/>
  <c r="AJ15" i="2"/>
  <c r="AI49" i="2"/>
  <c r="AJ68" i="2"/>
  <c r="AI10" i="2"/>
  <c r="AH37" i="2"/>
  <c r="AF35" i="2"/>
  <c r="AH13" i="2"/>
  <c r="AL15" i="2"/>
  <c r="AF58" i="2"/>
  <c r="AH51" i="2"/>
  <c r="AB10" i="2"/>
  <c r="AD66" i="2"/>
  <c r="AB69" i="2"/>
  <c r="AD70" i="2"/>
  <c r="AB24" i="2"/>
  <c r="AC43" i="2"/>
  <c r="AG68" i="2"/>
  <c r="AI19" i="2"/>
  <c r="AH19" i="2"/>
  <c r="AI23" i="2"/>
  <c r="AC67" i="2"/>
  <c r="AL62" i="2"/>
  <c r="AJ49" i="2"/>
  <c r="A4" i="25"/>
  <c r="AC11" i="2"/>
  <c r="AB7" i="2"/>
  <c r="AB8" i="2"/>
  <c r="AH46" i="2"/>
  <c r="AD52" i="2"/>
  <c r="AJ42" i="2"/>
  <c r="AB34" i="2"/>
  <c r="AK28" i="2"/>
  <c r="AH26" i="2"/>
  <c r="AH30" i="2"/>
  <c r="AJ29" i="2"/>
  <c r="AL27" i="2"/>
  <c r="AH31" i="2"/>
  <c r="AH69" i="2"/>
  <c r="AG30" i="2"/>
  <c r="AC32" i="2"/>
  <c r="AI53" i="2"/>
  <c r="AK25" i="2"/>
  <c r="AD43" i="2"/>
  <c r="AB43" i="2"/>
  <c r="AI36" i="2"/>
  <c r="AK55" i="2"/>
  <c r="AG72" i="2"/>
  <c r="AJ72" i="2"/>
  <c r="AF44" i="2"/>
  <c r="AL59" i="2"/>
  <c r="AG49" i="2"/>
  <c r="AL33" i="2"/>
  <c r="AB22" i="2"/>
  <c r="AJ9" i="2"/>
  <c r="AB55" i="2"/>
  <c r="AF68" i="2"/>
  <c r="AF14" i="2"/>
  <c r="AG60" i="2"/>
  <c r="AF41" i="2"/>
  <c r="AE51" i="2"/>
  <c r="AJ39" i="2"/>
  <c r="AF9" i="2"/>
  <c r="AF70" i="2"/>
  <c r="AB31" i="2"/>
  <c r="AL61" i="2"/>
  <c r="AJ14" i="2"/>
  <c r="AL53" i="2"/>
  <c r="AJ65" i="2"/>
  <c r="AC15" i="2"/>
  <c r="AL70" i="2"/>
  <c r="AJ61" i="2"/>
  <c r="AF39" i="2"/>
  <c r="AC10" i="2"/>
  <c r="AF29" i="2"/>
  <c r="AJ19" i="2"/>
  <c r="AE24" i="2"/>
  <c r="AE38" i="2"/>
  <c r="AL57" i="2"/>
  <c r="AD48" i="2"/>
  <c r="AD69" i="2"/>
  <c r="AG14" i="2"/>
  <c r="AK43" i="2"/>
  <c r="AK7" i="2"/>
  <c r="AI11" i="2"/>
  <c r="AJ67" i="2"/>
  <c r="AC16" i="2"/>
  <c r="AD22" i="2"/>
  <c r="AC17" i="2"/>
  <c r="AB49" i="2"/>
  <c r="AD61" i="2"/>
  <c r="AD32" i="2"/>
  <c r="AJ70" i="2"/>
  <c r="AI46" i="2"/>
  <c r="AB11" i="2"/>
  <c r="AJ16" i="2"/>
  <c r="AJ17" i="2"/>
  <c r="AI14" i="2"/>
  <c r="AC36" i="2"/>
  <c r="AL37" i="2"/>
  <c r="AI26" i="2"/>
  <c r="AJ66" i="2"/>
  <c r="AH54" i="2"/>
  <c r="AI63" i="2"/>
  <c r="AE6" i="2"/>
  <c r="AJ7" i="2"/>
  <c r="AJ22" i="2"/>
  <c r="AL55" i="2"/>
  <c r="AH62" i="2"/>
  <c r="AC12" i="2"/>
  <c r="AC34" i="2"/>
  <c r="AI31" i="2"/>
  <c r="AB15" i="2"/>
  <c r="AG59" i="2"/>
  <c r="AJ36" i="2"/>
  <c r="AE27" i="2"/>
  <c r="AD25" i="2"/>
  <c r="AG11" i="2"/>
  <c r="AD67" i="2"/>
  <c r="AJ26" i="2"/>
  <c r="AC40" i="2"/>
  <c r="AI41" i="2"/>
  <c r="AK5" i="2"/>
  <c r="AE39" i="2"/>
  <c r="AD21" i="2"/>
  <c r="AE50" i="2"/>
  <c r="AF12" i="2"/>
  <c r="AF37" i="2"/>
  <c r="AD56" i="2"/>
  <c r="AJ71" i="2"/>
  <c r="AI72" i="2"/>
  <c r="AH68" i="2"/>
  <c r="AJ54" i="2"/>
  <c r="AD37" i="2"/>
  <c r="AB32" i="2"/>
  <c r="AF10" i="2"/>
  <c r="AH45" i="2"/>
  <c r="AK50" i="2"/>
  <c r="AC54" i="2"/>
  <c r="AH7" i="2"/>
  <c r="AE65" i="2"/>
  <c r="AF65" i="2"/>
  <c r="AC47" i="2"/>
  <c r="AE58" i="2"/>
  <c r="AF55" i="2"/>
  <c r="AK39" i="2"/>
  <c r="AH36" i="2"/>
  <c r="AD68" i="2"/>
  <c r="AF27" i="2"/>
  <c r="AK15" i="2"/>
  <c r="AJ28" i="2"/>
  <c r="AF42" i="2"/>
  <c r="AI37" i="2"/>
  <c r="AC49" i="2"/>
  <c r="AF11" i="2"/>
  <c r="AC41" i="2"/>
  <c r="AG40" i="2"/>
  <c r="AB33" i="2"/>
  <c r="AH67" i="2"/>
  <c r="AK13" i="2"/>
  <c r="AC64" i="2"/>
  <c r="AF46" i="2"/>
  <c r="AH28" i="2"/>
  <c r="AL38" i="2"/>
  <c r="AG50" i="2"/>
  <c r="AJ64" i="2"/>
  <c r="AL30" i="2"/>
  <c r="AB16" i="2"/>
  <c r="AD20" i="2"/>
  <c r="AE36" i="2"/>
  <c r="AI15" i="2"/>
  <c r="AD51" i="2"/>
  <c r="AC6" i="2"/>
  <c r="AF72" i="2"/>
  <c r="AK66" i="2"/>
  <c r="AJ38" i="2"/>
  <c r="AI21" i="2"/>
  <c r="AH6" i="2"/>
  <c r="AD18" i="2"/>
  <c r="AH57" i="2"/>
  <c r="AL28" i="2"/>
  <c r="AH8" i="2"/>
  <c r="AK58" i="2"/>
  <c r="AF48" i="2"/>
  <c r="AE66" i="2"/>
  <c r="AB9" i="2"/>
  <c r="AD30" i="2"/>
  <c r="AE13" i="2"/>
  <c r="AC53" i="2"/>
  <c r="AB14" i="2"/>
  <c r="AB21" i="2"/>
  <c r="AG17" i="2"/>
  <c r="AF15" i="2"/>
  <c r="AL60" i="2"/>
  <c r="AD31" i="2"/>
  <c r="AD60" i="2"/>
  <c r="AF40" i="2"/>
  <c r="AD12" i="2"/>
  <c r="AL56" i="2"/>
  <c r="AI13" i="2"/>
  <c r="AB56" i="2"/>
  <c r="AE63" i="2"/>
  <c r="AC26" i="2"/>
  <c r="AK41" i="2"/>
  <c r="AC28" i="2"/>
  <c r="AJ69" i="2"/>
  <c r="AI43" i="2"/>
  <c r="AB65" i="2"/>
  <c r="AK10" i="2"/>
  <c r="AB38" i="2"/>
  <c r="AL7" i="2"/>
  <c r="AH33" i="2"/>
  <c r="AL68" i="2"/>
  <c r="AK46" i="2"/>
  <c r="AH60" i="2"/>
  <c r="AE11" i="2"/>
  <c r="AG38" i="2"/>
  <c r="AL23" i="2"/>
  <c r="AB46" i="2"/>
  <c r="AB44" i="2"/>
  <c r="AK33" i="2"/>
  <c r="AC56" i="2"/>
  <c r="AL64" i="2"/>
  <c r="AJ35" i="2"/>
  <c r="AE32" i="2"/>
  <c r="AK16" i="2"/>
  <c r="AI39" i="2"/>
  <c r="AI18" i="2"/>
  <c r="AI45" i="2"/>
  <c r="AI20" i="2"/>
  <c r="AG70" i="2"/>
  <c r="AF34" i="2"/>
  <c r="AI12" i="2"/>
  <c r="AL35" i="2"/>
  <c r="AG6" i="2"/>
  <c r="AB18" i="2"/>
  <c r="AD7" i="2"/>
  <c r="AK44" i="2"/>
  <c r="AD8" i="2"/>
  <c r="AG36" i="2"/>
  <c r="AH18" i="2"/>
  <c r="AK11" i="2"/>
  <c r="AK52" i="2"/>
  <c r="AJ30" i="2"/>
  <c r="AI48" i="2"/>
  <c r="AL18" i="2"/>
  <c r="AH5" i="2"/>
  <c r="AD46" i="2"/>
  <c r="AG51" i="2"/>
  <c r="AH55" i="2"/>
  <c r="AC24" i="2"/>
  <c r="AC69" i="2"/>
  <c r="AC57" i="2"/>
  <c r="AB29" i="2"/>
  <c r="AJ33" i="2"/>
  <c r="AK53" i="2"/>
  <c r="AB37" i="2"/>
  <c r="AE30" i="2"/>
  <c r="AH12" i="2"/>
  <c r="AI59" i="2"/>
  <c r="AF63" i="2"/>
  <c r="AE31" i="2"/>
  <c r="AJ24" i="2"/>
  <c r="AL58" i="2"/>
  <c r="AL19" i="2"/>
  <c r="H53" i="26" l="1"/>
  <c r="H38" i="26"/>
  <c r="H23" i="26"/>
  <c r="T207" i="3"/>
  <c r="T204" i="3"/>
  <c r="T212" i="3"/>
  <c r="V212" i="3" s="1"/>
  <c r="T209" i="3"/>
  <c r="V209" i="3" s="1"/>
  <c r="T154" i="3"/>
  <c r="V154" i="3" s="1"/>
  <c r="T162" i="3"/>
  <c r="T170" i="3"/>
  <c r="V170" i="3" s="1"/>
  <c r="T186" i="3"/>
  <c r="V186" i="3" s="1"/>
  <c r="T194" i="3"/>
  <c r="V194" i="3" s="1"/>
  <c r="T202" i="3"/>
  <c r="V202" i="3" s="1"/>
  <c r="T214" i="3"/>
  <c r="U215" i="3" s="1"/>
  <c r="T175" i="3"/>
  <c r="V175" i="3" s="1"/>
  <c r="T183" i="3"/>
  <c r="V183" i="3" s="1"/>
  <c r="T191" i="3"/>
  <c r="V191" i="3" s="1"/>
  <c r="T199" i="3"/>
  <c r="V199" i="3" s="1"/>
  <c r="T134" i="3"/>
  <c r="V134" i="3" s="1"/>
  <c r="T142" i="3"/>
  <c r="V142" i="3" s="1"/>
  <c r="T150" i="3"/>
  <c r="V150" i="3" s="1"/>
  <c r="T178" i="3"/>
  <c r="V178" i="3" s="1"/>
  <c r="T89" i="3"/>
  <c r="V89" i="3" s="1"/>
  <c r="T97" i="3"/>
  <c r="V97" i="3" s="1"/>
  <c r="T105" i="3"/>
  <c r="V105" i="3" s="1"/>
  <c r="T201" i="3"/>
  <c r="V201" i="3" s="1"/>
  <c r="T158" i="3"/>
  <c r="V158" i="3" s="1"/>
  <c r="T166" i="3"/>
  <c r="V166" i="3" s="1"/>
  <c r="T174" i="3"/>
  <c r="V174" i="3" s="1"/>
  <c r="T182" i="3"/>
  <c r="V182" i="3" s="1"/>
  <c r="T210" i="3"/>
  <c r="V210" i="3" s="1"/>
  <c r="T86" i="3"/>
  <c r="V86" i="3" s="1"/>
  <c r="T94" i="3"/>
  <c r="T102" i="3"/>
  <c r="V102" i="3" s="1"/>
  <c r="T110" i="3"/>
  <c r="V110" i="3" s="1"/>
  <c r="T118" i="3"/>
  <c r="V118" i="3" s="1"/>
  <c r="T126" i="3"/>
  <c r="V126" i="3" s="1"/>
  <c r="T190" i="3"/>
  <c r="T113" i="3"/>
  <c r="V113" i="3" s="1"/>
  <c r="T121" i="3"/>
  <c r="V121" i="3" s="1"/>
  <c r="T129" i="3"/>
  <c r="V129" i="3" s="1"/>
  <c r="T137" i="3"/>
  <c r="V137" i="3" s="1"/>
  <c r="T145" i="3"/>
  <c r="V145" i="3" s="1"/>
  <c r="T153" i="3"/>
  <c r="V153" i="3" s="1"/>
  <c r="T161" i="3"/>
  <c r="V161" i="3" s="1"/>
  <c r="T169" i="3"/>
  <c r="T193" i="3"/>
  <c r="V193" i="3" s="1"/>
  <c r="T73" i="3"/>
  <c r="T81" i="3"/>
  <c r="V81" i="3" s="1"/>
  <c r="T177" i="3"/>
  <c r="V177" i="3" s="1"/>
  <c r="T185" i="3"/>
  <c r="V185" i="3" s="1"/>
  <c r="T76" i="3"/>
  <c r="T84" i="3"/>
  <c r="V84" i="3" s="1"/>
  <c r="T198" i="3"/>
  <c r="T206" i="3"/>
  <c r="V206" i="3" s="1"/>
  <c r="T92" i="3"/>
  <c r="V92" i="3" s="1"/>
  <c r="T100" i="3"/>
  <c r="V100" i="3" s="1"/>
  <c r="T108" i="3"/>
  <c r="V108" i="3" s="1"/>
  <c r="T116" i="3"/>
  <c r="V116" i="3" s="1"/>
  <c r="T124" i="3"/>
  <c r="T132" i="3"/>
  <c r="V132" i="3" s="1"/>
  <c r="T196" i="3"/>
  <c r="V196" i="3" s="1"/>
  <c r="T140" i="3"/>
  <c r="V140" i="3" s="1"/>
  <c r="T148" i="3"/>
  <c r="T156" i="3"/>
  <c r="V156" i="3" s="1"/>
  <c r="T164" i="3"/>
  <c r="V164" i="3" s="1"/>
  <c r="T172" i="3"/>
  <c r="V172" i="3" s="1"/>
  <c r="T180" i="3"/>
  <c r="V180" i="3" s="1"/>
  <c r="T188" i="3"/>
  <c r="V188" i="3" s="1"/>
  <c r="T151" i="3"/>
  <c r="V151" i="3" s="1"/>
  <c r="T159" i="3"/>
  <c r="V159" i="3" s="1"/>
  <c r="T167" i="3"/>
  <c r="V167" i="3" s="1"/>
  <c r="T77" i="3"/>
  <c r="T85" i="3"/>
  <c r="V85" i="3" s="1"/>
  <c r="T93" i="3"/>
  <c r="V93" i="3" s="1"/>
  <c r="T101" i="3"/>
  <c r="V101" i="3" s="1"/>
  <c r="T109" i="3"/>
  <c r="T117" i="3"/>
  <c r="T125" i="3"/>
  <c r="V125" i="3" s="1"/>
  <c r="T133" i="3"/>
  <c r="V133" i="3" s="1"/>
  <c r="T141" i="3"/>
  <c r="T149" i="3"/>
  <c r="V149" i="3" s="1"/>
  <c r="T72" i="3"/>
  <c r="T80" i="3"/>
  <c r="V80" i="3" s="1"/>
  <c r="T88" i="3"/>
  <c r="V88" i="3" s="1"/>
  <c r="T96" i="3"/>
  <c r="T104" i="3"/>
  <c r="V104" i="3" s="1"/>
  <c r="T112" i="3"/>
  <c r="V112" i="3" s="1"/>
  <c r="T70" i="3"/>
  <c r="T75" i="3"/>
  <c r="T83" i="3"/>
  <c r="T91" i="3"/>
  <c r="T99" i="3"/>
  <c r="T107" i="3"/>
  <c r="T115" i="3"/>
  <c r="T123" i="3"/>
  <c r="T131" i="3"/>
  <c r="T139" i="3"/>
  <c r="T147" i="3"/>
  <c r="T155" i="3"/>
  <c r="T163" i="3"/>
  <c r="T171" i="3"/>
  <c r="T179" i="3"/>
  <c r="T187" i="3"/>
  <c r="T195" i="3"/>
  <c r="T203" i="3"/>
  <c r="T211" i="3"/>
  <c r="T78" i="3"/>
  <c r="V204" i="3"/>
  <c r="T71" i="3"/>
  <c r="T79" i="3"/>
  <c r="T87" i="3"/>
  <c r="T95" i="3"/>
  <c r="T103" i="3"/>
  <c r="T111" i="3"/>
  <c r="T119" i="3"/>
  <c r="T127" i="3"/>
  <c r="T135" i="3"/>
  <c r="T143" i="3"/>
  <c r="V207" i="3"/>
  <c r="T74" i="3"/>
  <c r="T82" i="3"/>
  <c r="T90" i="3"/>
  <c r="T98" i="3"/>
  <c r="V98" i="3" s="1"/>
  <c r="T106" i="3"/>
  <c r="V106" i="3" s="1"/>
  <c r="T114" i="3"/>
  <c r="V114" i="3" s="1"/>
  <c r="T122" i="3"/>
  <c r="T130" i="3"/>
  <c r="T138" i="3"/>
  <c r="V138" i="3" s="1"/>
  <c r="T146" i="3"/>
  <c r="V162" i="3"/>
  <c r="T157" i="3"/>
  <c r="T165" i="3"/>
  <c r="T173" i="3"/>
  <c r="T181" i="3"/>
  <c r="T189" i="3"/>
  <c r="T197" i="3"/>
  <c r="T205" i="3"/>
  <c r="T213" i="3"/>
  <c r="T120" i="3"/>
  <c r="T128" i="3"/>
  <c r="T136" i="3"/>
  <c r="T144" i="3"/>
  <c r="T152" i="3"/>
  <c r="T160" i="3"/>
  <c r="T168" i="3"/>
  <c r="T176" i="3"/>
  <c r="T184" i="3"/>
  <c r="T192" i="3"/>
  <c r="T200" i="3"/>
  <c r="T208" i="3"/>
  <c r="U208" i="3" s="1"/>
  <c r="V73" i="3" l="1"/>
  <c r="V77" i="3"/>
  <c r="U213" i="3"/>
  <c r="U184" i="3"/>
  <c r="U210" i="3"/>
  <c r="U160" i="3"/>
  <c r="U163" i="3"/>
  <c r="C4" i="27"/>
  <c r="I8" i="13"/>
  <c r="C3" i="27"/>
  <c r="J8" i="13"/>
  <c r="U155" i="3"/>
  <c r="U171" i="3"/>
  <c r="U165" i="3"/>
  <c r="U191" i="3"/>
  <c r="U199" i="3"/>
  <c r="U170" i="3"/>
  <c r="U183" i="3"/>
  <c r="U73" i="3"/>
  <c r="V169" i="3"/>
  <c r="V214" i="3"/>
  <c r="U202" i="3"/>
  <c r="V198" i="3"/>
  <c r="U173" i="3"/>
  <c r="V190" i="3"/>
  <c r="U186" i="3"/>
  <c r="U187" i="3"/>
  <c r="V72" i="3"/>
  <c r="U179" i="3"/>
  <c r="U119" i="3"/>
  <c r="U154" i="3"/>
  <c r="U207" i="3"/>
  <c r="U118" i="3"/>
  <c r="U142" i="3"/>
  <c r="U134" i="3"/>
  <c r="U97" i="3"/>
  <c r="U194" i="3"/>
  <c r="U90" i="3"/>
  <c r="U93" i="3"/>
  <c r="U159" i="3"/>
  <c r="U87" i="3"/>
  <c r="U86" i="3"/>
  <c r="U105" i="3"/>
  <c r="U141" i="3"/>
  <c r="U95" i="3"/>
  <c r="U178" i="3"/>
  <c r="U175" i="3"/>
  <c r="U162" i="3"/>
  <c r="U127" i="3"/>
  <c r="U126" i="3"/>
  <c r="U151" i="3"/>
  <c r="U167" i="3"/>
  <c r="U94" i="3"/>
  <c r="V141" i="3"/>
  <c r="U130" i="3"/>
  <c r="V94" i="3"/>
  <c r="U157" i="3"/>
  <c r="U78" i="3"/>
  <c r="U149" i="3"/>
  <c r="V148" i="3"/>
  <c r="U150" i="3"/>
  <c r="U109" i="3"/>
  <c r="U113" i="3"/>
  <c r="H8" i="13"/>
  <c r="M8" i="13" s="1"/>
  <c r="D8" i="13" s="1"/>
  <c r="E5" i="28" s="1"/>
  <c r="C5" i="27"/>
  <c r="U101" i="3"/>
  <c r="U110" i="3"/>
  <c r="V109" i="3"/>
  <c r="U133" i="3"/>
  <c r="U85" i="3"/>
  <c r="U89" i="3"/>
  <c r="U77" i="3"/>
  <c r="V76" i="3"/>
  <c r="U117" i="3"/>
  <c r="U125" i="3"/>
  <c r="U102" i="3"/>
  <c r="U81" i="3"/>
  <c r="V124" i="3"/>
  <c r="U181" i="3"/>
  <c r="V117" i="3"/>
  <c r="V96" i="3"/>
  <c r="U197" i="3"/>
  <c r="U152" i="3"/>
  <c r="U145" i="3"/>
  <c r="V144" i="3"/>
  <c r="U196" i="3"/>
  <c r="V195" i="3"/>
  <c r="U132" i="3"/>
  <c r="V131" i="3"/>
  <c r="V200" i="3"/>
  <c r="U201" i="3"/>
  <c r="U137" i="3"/>
  <c r="V136" i="3"/>
  <c r="V205" i="3"/>
  <c r="U206" i="3"/>
  <c r="U75" i="3"/>
  <c r="V74" i="3"/>
  <c r="V111" i="3"/>
  <c r="U112" i="3"/>
  <c r="U98" i="3"/>
  <c r="V187" i="3"/>
  <c r="U188" i="3"/>
  <c r="V123" i="3"/>
  <c r="U124" i="3"/>
  <c r="V146" i="3"/>
  <c r="U147" i="3"/>
  <c r="U121" i="3"/>
  <c r="V120" i="3"/>
  <c r="V189" i="3"/>
  <c r="U190" i="3"/>
  <c r="V122" i="3"/>
  <c r="U123" i="3"/>
  <c r="V95" i="3"/>
  <c r="U96" i="3"/>
  <c r="U205" i="3"/>
  <c r="U122" i="3"/>
  <c r="V171" i="3"/>
  <c r="U172" i="3"/>
  <c r="U107" i="3"/>
  <c r="U108" i="3"/>
  <c r="V107" i="3"/>
  <c r="V128" i="3"/>
  <c r="U129" i="3"/>
  <c r="V176" i="3"/>
  <c r="U177" i="3"/>
  <c r="V181" i="3"/>
  <c r="U182" i="3"/>
  <c r="U176" i="3"/>
  <c r="V87" i="3"/>
  <c r="U88" i="3"/>
  <c r="V163" i="3"/>
  <c r="U164" i="3"/>
  <c r="U99" i="3"/>
  <c r="V99" i="3"/>
  <c r="U100" i="3"/>
  <c r="V82" i="3"/>
  <c r="U83" i="3"/>
  <c r="V192" i="3"/>
  <c r="U193" i="3"/>
  <c r="U115" i="3"/>
  <c r="U116" i="3"/>
  <c r="V115" i="3"/>
  <c r="V168" i="3"/>
  <c r="U169" i="3"/>
  <c r="V173" i="3"/>
  <c r="U174" i="3"/>
  <c r="U195" i="3"/>
  <c r="U200" i="3"/>
  <c r="V143" i="3"/>
  <c r="U144" i="3"/>
  <c r="V79" i="3"/>
  <c r="U80" i="3"/>
  <c r="U146" i="3"/>
  <c r="U114" i="3"/>
  <c r="U82" i="3"/>
  <c r="V78" i="3"/>
  <c r="U79" i="3"/>
  <c r="V155" i="3"/>
  <c r="U156" i="3"/>
  <c r="V91" i="3"/>
  <c r="U92" i="3"/>
  <c r="V213" i="3"/>
  <c r="U214" i="3"/>
  <c r="U131" i="3"/>
  <c r="V130" i="3"/>
  <c r="V179" i="3"/>
  <c r="U180" i="3"/>
  <c r="U161" i="3"/>
  <c r="V160" i="3"/>
  <c r="V165" i="3"/>
  <c r="U166" i="3"/>
  <c r="U168" i="3"/>
  <c r="V135" i="3"/>
  <c r="U136" i="3"/>
  <c r="V71" i="3"/>
  <c r="U72" i="3"/>
  <c r="U189" i="3"/>
  <c r="U143" i="3"/>
  <c r="U111" i="3"/>
  <c r="U211" i="3"/>
  <c r="U212" i="3"/>
  <c r="V211" i="3"/>
  <c r="V147" i="3"/>
  <c r="U148" i="3"/>
  <c r="V83" i="3"/>
  <c r="U84" i="3"/>
  <c r="U209" i="3"/>
  <c r="V208" i="3"/>
  <c r="V119" i="3"/>
  <c r="U120" i="3"/>
  <c r="V197" i="3"/>
  <c r="U198" i="3"/>
  <c r="V103" i="3"/>
  <c r="U104" i="3"/>
  <c r="U185" i="3"/>
  <c r="V184" i="3"/>
  <c r="U153" i="3"/>
  <c r="V152" i="3"/>
  <c r="V157" i="3"/>
  <c r="U158" i="3"/>
  <c r="V90" i="3"/>
  <c r="U91" i="3"/>
  <c r="U192" i="3"/>
  <c r="V127" i="3"/>
  <c r="U128" i="3"/>
  <c r="U138" i="3"/>
  <c r="U106" i="3"/>
  <c r="U74" i="3"/>
  <c r="U135" i="3"/>
  <c r="U103" i="3"/>
  <c r="U203" i="3"/>
  <c r="V203" i="3"/>
  <c r="U204" i="3"/>
  <c r="U139" i="3"/>
  <c r="V139" i="3"/>
  <c r="U140" i="3"/>
  <c r="V75" i="3"/>
  <c r="U76" i="3"/>
  <c r="U71" i="3"/>
  <c r="V70" i="3"/>
  <c r="U70" i="3"/>
  <c r="F7" i="27" l="1"/>
  <c r="K8" i="13"/>
  <c r="B8" i="13" s="1"/>
  <c r="C5" i="28" s="1"/>
  <c r="E7" i="27"/>
  <c r="D7" i="27"/>
  <c r="C7" i="27"/>
  <c r="L8" i="13"/>
  <c r="C8" i="13" s="1"/>
  <c r="D5" i="28" s="1"/>
</calcChain>
</file>

<file path=xl/sharedStrings.xml><?xml version="1.0" encoding="utf-8"?>
<sst xmlns="http://schemas.openxmlformats.org/spreadsheetml/2006/main" count="801" uniqueCount="487">
  <si>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</si>
  <si>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</si>
  <si>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</si>
  <si>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</si>
  <si>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</si>
  <si>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</si>
  <si>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</si>
  <si>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</si>
  <si>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</si>
  <si>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</si>
  <si>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</si>
  <si>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</si>
  <si>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</si>
  <si>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</si>
  <si>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</si>
  <si>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</si>
  <si>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</si>
  <si>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</si>
  <si>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</si>
  <si>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</si>
  <si>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</si>
  <si>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</si>
  <si>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</si>
  <si>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</si>
  <si>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</si>
  <si>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</si>
  <si>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</si>
  <si>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</si>
  <si>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</si>
  <si>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</si>
  <si>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</si>
  <si>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</si>
  <si>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</si>
  <si>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</si>
  <si>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</si>
  <si>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</si>
  <si>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</si>
  <si>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</si>
  <si>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</si>
  <si>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</si>
  <si>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</si>
  <si>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</si>
  <si>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</si>
  <si>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</si>
  <si>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</si>
  <si>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</si>
  <si>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</si>
  <si>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</si>
  <si>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</si>
  <si>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</si>
  <si>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</si>
  <si>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</si>
  <si>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</si>
  <si>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</si>
  <si>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</si>
  <si>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</si>
  <si>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</si>
  <si>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</si>
  <si>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</si>
  <si>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</si>
  <si>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</si>
  <si>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</si>
  <si>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</si>
  <si>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</si>
  <si>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</si>
  <si>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</si>
  <si>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</si>
  <si>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</si>
  <si>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</si>
  <si>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</si>
  <si>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</si>
  <si>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</si>
  <si>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</si>
  <si>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</si>
  <si>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</si>
  <si>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</si>
  <si>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</si>
  <si>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</si>
  <si>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</si>
  <si>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</si>
  <si>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</si>
  <si>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</si>
  <si>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</si>
  <si>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</si>
  <si>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</si>
  <si>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</si>
  <si>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</si>
  <si>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</si>
  <si>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</si>
  <si>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</si>
  <si>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</si>
  <si>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</si>
  <si>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</si>
  <si>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</si>
  <si>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</si>
  <si>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</si>
  <si>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</si>
  <si>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</si>
  <si>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</si>
  <si>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</si>
  <si>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</si>
  <si>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</si>
  <si>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</si>
  <si>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</si>
  <si>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</si>
  <si>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</si>
  <si>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</si>
  <si>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</si>
  <si>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</si>
  <si>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</si>
  <si>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</si>
  <si>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</si>
  <si>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</si>
  <si>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</si>
  <si>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</si>
  <si>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</si>
  <si>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</si>
  <si>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</si>
  <si>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</si>
  <si>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</si>
  <si>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</si>
  <si>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</si>
  <si>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</si>
  <si>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</si>
  <si>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</si>
  <si>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</si>
  <si>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</si>
  <si>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</si>
  <si>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</si>
  <si>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</si>
  <si>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</si>
  <si>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</si>
  <si>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</si>
  <si>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</si>
  <si>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</si>
  <si>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</si>
  <si>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</si>
  <si>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</si>
  <si>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</si>
  <si>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</si>
  <si>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</si>
  <si>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</si>
  <si>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</si>
  <si>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</si>
  <si>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</si>
  <si>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</si>
  <si>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</si>
  <si>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</si>
  <si>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</si>
  <si>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</si>
  <si>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</si>
  <si>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</si>
  <si>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</si>
  <si>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</si>
  <si>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</si>
  <si>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</si>
  <si>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</si>
  <si>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</si>
  <si>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</si>
  <si>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</si>
  <si>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</si>
  <si>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</si>
  <si>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</si>
  <si>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</si>
  <si>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</si>
  <si>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</si>
  <si>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</si>
  <si>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</si>
  <si>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</si>
  <si>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</si>
  <si>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</si>
  <si>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</si>
  <si>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</si>
  <si>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</si>
  <si>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</si>
  <si>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</si>
  <si>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</si>
  <si>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</si>
  <si>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</si>
  <si>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</si>
  <si>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</si>
  <si>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</si>
  <si>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</si>
  <si>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</si>
  <si>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</si>
  <si>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</si>
  <si>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</si>
  <si>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</si>
  <si>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</si>
  <si>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</si>
  <si>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</si>
  <si>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</si>
  <si>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</si>
  <si>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</si>
  <si>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</si>
  <si>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</si>
  <si>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</si>
  <si>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</si>
  <si>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</si>
  <si>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</si>
  <si>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</si>
  <si>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</si>
  <si>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</si>
  <si>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</si>
  <si>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</si>
  <si>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</si>
  <si>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</si>
  <si>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</si>
  <si>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</si>
  <si>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</si>
  <si>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</si>
  <si>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</si>
  <si>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</si>
  <si>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</si>
  <si>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</si>
  <si>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</si>
  <si>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</si>
  <si>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</si>
  <si>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</si>
  <si>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</si>
  <si>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</si>
  <si>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</si>
  <si>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</si>
  <si>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</si>
  <si>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</si>
  <si>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</si>
  <si>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</si>
  <si>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</si>
  <si>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</si>
  <si>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</si>
  <si>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</si>
  <si>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</si>
  <si>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</si>
  <si>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</si>
  <si>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</si>
  <si>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</si>
  <si>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</si>
  <si>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</si>
  <si>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</si>
  <si>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</si>
  <si>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</si>
  <si>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</si>
  <si>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</si>
  <si>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</si>
  <si>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</si>
  <si>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</si>
  <si>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</si>
  <si>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</si>
  <si>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</si>
  <si>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</si>
  <si>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</si>
  <si>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</si>
  <si>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</si>
  <si>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</si>
  <si>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</si>
  <si>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</si>
  <si>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</si>
  <si>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</si>
  <si>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</si>
  <si>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</si>
  <si>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</si>
  <si>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</si>
  <si>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</si>
  <si>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</si>
  <si>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</si>
  <si>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</si>
  <si>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</si>
  <si>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</si>
  <si>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</si>
  <si>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</si>
  <si>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</si>
  <si>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</si>
  <si>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</si>
  <si>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</si>
  <si>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</si>
  <si>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</si>
  <si>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</si>
  <si>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</si>
  <si>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</si>
  <si>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</si>
  <si>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</si>
  <si>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</si>
  <si>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</si>
  <si>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</si>
  <si>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</si>
  <si>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</si>
  <si>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</si>
  <si>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</si>
  <si>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</si>
  <si>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</si>
  <si>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</si>
  <si>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</si>
  <si>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</si>
  <si>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</si>
  <si>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</si>
  <si>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</si>
  <si>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</si>
  <si>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</si>
  <si>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</si>
  <si>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</si>
  <si>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</si>
  <si>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</si>
  <si>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</si>
  <si>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</si>
  <si>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</si>
  <si>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</si>
  <si>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</si>
  <si>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</si>
  <si>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</si>
  <si>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</si>
  <si>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</si>
  <si>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</si>
  <si>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</si>
  <si>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</si>
  <si>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</si>
  <si>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</si>
  <si>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</si>
  <si>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</si>
  <si>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</si>
  <si>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</si>
  <si>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</si>
  <si>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</si>
  <si>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</si>
  <si>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</si>
  <si>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</si>
  <si>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</si>
  <si>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</si>
  <si>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</si>
  <si>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</si>
  <si>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</si>
  <si>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</si>
  <si>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</si>
  <si>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</si>
  <si>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</si>
  <si>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</si>
  <si>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</si>
  <si>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</si>
  <si>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</si>
  <si>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</si>
  <si>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</si>
  <si>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</si>
  <si>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</si>
  <si>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</si>
  <si>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</si>
  <si>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</si>
  <si>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</si>
  <si>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</si>
  <si>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</si>
  <si>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</si>
  <si>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</si>
  <si>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</si>
  <si>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</si>
  <si>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</si>
  <si>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</si>
  <si>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</si>
  <si>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</si>
  <si>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</si>
  <si>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</si>
  <si>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</si>
  <si>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</si>
  <si>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</si>
  <si>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</si>
  <si>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</si>
  <si>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</si>
  <si>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</si>
  <si>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</si>
  <si>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</si>
  <si>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</si>
  <si>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</si>
  <si>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</si>
  <si>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</si>
  <si>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</si>
  <si>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</si>
  <si>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</si>
  <si>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</si>
  <si>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</si>
  <si>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</si>
  <si>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</si>
  <si>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</si>
  <si>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</si>
  <si>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</si>
  <si>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</si>
  <si>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</si>
  <si>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嘉实中证500指数增强C</t>
  </si>
  <si>
    <t>博道中证500指数增强C</t>
  </si>
  <si>
    <t>汇添富中证1000指数增强C</t>
  </si>
  <si>
    <t>招商中证2000指数增强C</t>
  </si>
  <si>
    <t>嘉实价值优势混合A</t>
  </si>
  <si>
    <t>民生加银优选</t>
  </si>
  <si>
    <t>大成竞争优势混合A</t>
  </si>
  <si>
    <t>国投瑞银瑞源混合A</t>
  </si>
  <si>
    <t>华泰柏瑞红利低波ETF链接A</t>
  </si>
  <si>
    <t>天弘中证红利低波动100ETF联接A</t>
  </si>
  <si>
    <t>嘉实上海金ETF联接A</t>
  </si>
  <si>
    <t>嘉实中债3-5年国开行A</t>
  </si>
  <si>
    <t>广发7-10年国开行A</t>
  </si>
  <si>
    <t>20-80权重</t>
  </si>
  <si>
    <t>008779</t>
  </si>
  <si>
    <t>006594</t>
  </si>
  <si>
    <t>017954</t>
  </si>
  <si>
    <t>019919</t>
  </si>
  <si>
    <t>070019</t>
  </si>
  <si>
    <t>000884</t>
  </si>
  <si>
    <t>090013</t>
  </si>
  <si>
    <t>121010</t>
  </si>
  <si>
    <t>007466</t>
  </si>
  <si>
    <t>008114</t>
  </si>
  <si>
    <t>016581</t>
  </si>
  <si>
    <t>20-80 · P0初始</t>
  </si>
  <si>
    <t>110017.OF</t>
    <phoneticPr fontId="29" type="noConversion"/>
  </si>
  <si>
    <t>日期</t>
    <phoneticPr fontId="29" type="noConversion"/>
  </si>
  <si>
    <t>001170.OF</t>
    <phoneticPr fontId="29" type="noConversion"/>
  </si>
  <si>
    <t>009993.OF</t>
    <phoneticPr fontId="29" type="noConversion"/>
  </si>
  <si>
    <t>013841.OF</t>
    <phoneticPr fontId="29" type="noConversion"/>
  </si>
  <si>
    <t>017489.OF</t>
    <phoneticPr fontId="29" type="noConversion"/>
  </si>
  <si>
    <t>003376.OF</t>
    <phoneticPr fontId="29" type="noConversion"/>
  </si>
  <si>
    <t>华安黄金ETF联接A</t>
    <phoneticPr fontId="29" type="noConversion"/>
  </si>
  <si>
    <t>嘉实前沿创新混合</t>
    <phoneticPr fontId="29" type="noConversion"/>
  </si>
  <si>
    <t>国泰中证半导体材料设备主题ETF发起联接A</t>
    <phoneticPr fontId="29" type="noConversion"/>
  </si>
  <si>
    <t>华泰柏瑞中证红利低波ETF联接A</t>
    <phoneticPr fontId="29" type="noConversion"/>
  </si>
  <si>
    <t>天弘中证红利低波动100ETF联接A</t>
    <phoneticPr fontId="29" type="noConversion"/>
  </si>
  <si>
    <t>复权单位净值</t>
    <phoneticPr fontId="29" type="noConversion"/>
  </si>
  <si>
    <t>000216.OF</t>
    <phoneticPr fontId="29" type="noConversion"/>
  </si>
  <si>
    <t>000917.OF</t>
    <phoneticPr fontId="29" type="noConversion"/>
  </si>
  <si>
    <t>007044.OF</t>
    <phoneticPr fontId="29" type="noConversion"/>
  </si>
  <si>
    <t>007045.OF</t>
    <phoneticPr fontId="29" type="noConversion"/>
  </si>
  <si>
    <t>007817.OF</t>
    <phoneticPr fontId="29" type="noConversion"/>
  </si>
  <si>
    <t>007818.OF</t>
    <phoneticPr fontId="29" type="noConversion"/>
  </si>
  <si>
    <t>013840.OF</t>
    <phoneticPr fontId="29" type="noConversion"/>
  </si>
  <si>
    <t>014201.OF</t>
    <phoneticPr fontId="29" type="noConversion"/>
  </si>
  <si>
    <t>014202.OF</t>
    <phoneticPr fontId="29" type="noConversion"/>
  </si>
  <si>
    <t>015453.OF</t>
    <phoneticPr fontId="29" type="noConversion"/>
  </si>
  <si>
    <t>015454.OF</t>
    <phoneticPr fontId="29" type="noConversion"/>
  </si>
  <si>
    <t>016370.OF</t>
    <phoneticPr fontId="29" type="noConversion"/>
  </si>
  <si>
    <t>017488.OF</t>
    <phoneticPr fontId="29" type="noConversion"/>
  </si>
  <si>
    <t>017612.OF</t>
    <phoneticPr fontId="29" type="noConversion"/>
  </si>
  <si>
    <t>019632.OF</t>
    <phoneticPr fontId="29" type="noConversion"/>
  </si>
  <si>
    <t>019633.OF</t>
    <phoneticPr fontId="29" type="noConversion"/>
  </si>
  <si>
    <t>019923.OF</t>
    <phoneticPr fontId="29" type="noConversion"/>
  </si>
  <si>
    <t>019924.OF</t>
    <phoneticPr fontId="29" type="noConversion"/>
  </si>
  <si>
    <t>161119.OF</t>
    <phoneticPr fontId="29" type="noConversion"/>
  </si>
  <si>
    <t>162214.OF</t>
    <phoneticPr fontId="29" type="noConversion"/>
  </si>
  <si>
    <t>008015.OF</t>
    <phoneticPr fontId="29" type="noConversion"/>
  </si>
  <si>
    <t>008779.OF</t>
    <phoneticPr fontId="29" type="noConversion"/>
  </si>
  <si>
    <t>006594.OF</t>
    <phoneticPr fontId="29" type="noConversion"/>
  </si>
  <si>
    <t>017954.OF</t>
    <phoneticPr fontId="29" type="noConversion"/>
  </si>
  <si>
    <t>019919.OF</t>
    <phoneticPr fontId="29" type="noConversion"/>
  </si>
  <si>
    <t>070019.OF</t>
    <phoneticPr fontId="29" type="noConversion"/>
  </si>
  <si>
    <t>000884.OF</t>
    <phoneticPr fontId="29" type="noConversion"/>
  </si>
  <si>
    <t>090013.OF</t>
    <phoneticPr fontId="29" type="noConversion"/>
  </si>
  <si>
    <t>121010.OF</t>
    <phoneticPr fontId="29" type="noConversion"/>
  </si>
  <si>
    <t>007466.OF</t>
    <phoneticPr fontId="29" type="noConversion"/>
  </si>
  <si>
    <t>008114.OF</t>
    <phoneticPr fontId="29" type="noConversion"/>
  </si>
  <si>
    <t>016581.OF</t>
    <phoneticPr fontId="29" type="noConversion"/>
  </si>
  <si>
    <t>嘉实快线货币A</t>
    <phoneticPr fontId="29" type="noConversion"/>
  </si>
  <si>
    <t>宏利复兴混合A</t>
    <phoneticPr fontId="29" type="noConversion"/>
  </si>
  <si>
    <t>博道沪深300增强A</t>
    <phoneticPr fontId="29" type="noConversion"/>
  </si>
  <si>
    <t>博道沪深300增强C</t>
    <phoneticPr fontId="29" type="noConversion"/>
  </si>
  <si>
    <t>国泰中证全指通信设备ETF联接A</t>
    <phoneticPr fontId="29" type="noConversion"/>
  </si>
  <si>
    <t>国泰中证全指通信设备ETF联接C</t>
    <phoneticPr fontId="29" type="noConversion"/>
  </si>
  <si>
    <t>银华集成电路混合A</t>
    <phoneticPr fontId="29" type="noConversion"/>
  </si>
  <si>
    <t>银华集成电路混合C</t>
    <phoneticPr fontId="29" type="noConversion"/>
  </si>
  <si>
    <t>天弘中证1000指数增强A</t>
    <phoneticPr fontId="29" type="noConversion"/>
  </si>
  <si>
    <t>天弘中证1000指数增强C</t>
    <phoneticPr fontId="29" type="noConversion"/>
  </si>
  <si>
    <t>中欧中证500指数增强A</t>
    <phoneticPr fontId="29" type="noConversion"/>
  </si>
  <si>
    <t>中欧中证500指数增强C</t>
    <phoneticPr fontId="29" type="noConversion"/>
  </si>
  <si>
    <t>信澳业绩驱动混合A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</si>
  <si>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</si>
  <si>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</si>
  <si>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宏利复兴混合C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</si>
  <si>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</si>
  <si>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</si>
  <si>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华泰柏瑞中证2000指数增强C</t>
    <phoneticPr fontId="29" type="noConversion"/>
  </si>
  <si>
    <t>易方达中债新综指(LOF)A</t>
    <phoneticPr fontId="29" type="noConversion"/>
  </si>
  <si>
    <t>宏利领先中小盘混合</t>
    <phoneticPr fontId="29" type="noConversion"/>
  </si>
  <si>
    <t>广发中债7-10年国开债指数A</t>
    <phoneticPr fontId="29" type="noConversion"/>
  </si>
  <si>
    <t>嘉实中债3-5年国开债指数A</t>
    <phoneticPr fontId="29" type="noConversion"/>
  </si>
  <si>
    <t>嘉实中证500指数增强C</t>
    <phoneticPr fontId="29" type="noConversion"/>
  </si>
  <si>
    <t>博道中证500增强C</t>
    <phoneticPr fontId="29" type="noConversion"/>
  </si>
  <si>
    <t>汇添富中证1000指数增强C</t>
    <phoneticPr fontId="29" type="noConversion"/>
  </si>
  <si>
    <t>招商中证2000指数增强C</t>
    <phoneticPr fontId="29" type="noConversion"/>
  </si>
  <si>
    <t>嘉实价值优势混合A</t>
    <phoneticPr fontId="29" type="noConversion"/>
  </si>
  <si>
    <t>民生加银优选股票</t>
    <phoneticPr fontId="29" type="noConversion"/>
  </si>
  <si>
    <t>大成竞争优势混合A</t>
    <phoneticPr fontId="29" type="noConversion"/>
  </si>
  <si>
    <t>国投瑞银瑞源混合A</t>
    <phoneticPr fontId="29" type="noConversion"/>
  </si>
  <si>
    <t>嘉实上海金ETF发起联接A</t>
    <phoneticPr fontId="29" type="noConversion"/>
  </si>
  <si>
    <t>复权单位净值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</si>
</sst>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0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51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0" fillId="31" borderId="0" xfId="0" applyFill="1"/>
    <xf numFmtId="183" fontId="10" fillId="0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4" fontId="34" fillId="0" borderId="0" xfId="0" applyNumberFormat="1" applyFont="1"/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27" borderId="0" xfId="0" applyFont="1" applyFill="1" applyAlignment="1">
      <alignment horizontal="left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20101640">
          <a:off x="0" y="17716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A25" sqref="A25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2"/>
      <c r="B1" s="163" t="s">
        <v>255</v>
      </c>
      <c r="C1" s="162" t="s">
        <v>254</v>
      </c>
      <c r="D1" s="162"/>
      <c r="E1" s="164"/>
    </row>
    <row r="2" spans="1:5">
      <c r="A2" s="162" t="s">
        <v>248</v>
      </c>
      <c r="B2" s="165">
        <f ca="1">[1]!thsiFinD("ths_new_forward_nearest_trade_date_func",C2,100)</f>
        <v>46304</v>
      </c>
      <c r="C2" s="165">
        <f ca="1">E2</f>
        <v>46304</v>
      </c>
      <c r="D2" s="162" t="s">
        <v>246</v>
      </c>
      <c r="E2" s="166">
        <f ca="1">TODAY()</f>
        <v>46304</v>
      </c>
    </row>
    <row r="3" spans="1:5">
      <c r="A3" s="165" t="s">
        <v>249</v>
      </c>
      <c r="B3" s="165">
        <f ca="1">[1]!thsiFinD("ths_new_forward_nearest_trade_date_func",C3,100)</f>
        <v>46303</v>
      </c>
      <c r="C3" s="165">
        <f ca="1">B2-1</f>
        <v>46303</v>
      </c>
      <c r="D3" s="162" t="s">
        <v>247</v>
      </c>
      <c r="E3" s="164"/>
    </row>
    <row r="4" spans="1:5">
      <c r="A4" s="162" t="s">
        <v>250</v>
      </c>
      <c r="B4" s="165">
        <f ca="1">[1]!thsiFinD("ths_new_backward_nearest_trade_date_func",C4,100)</f>
        <v>46303</v>
      </c>
      <c r="C4" s="165">
        <f ca="1">B2- WEEKDAY(B2, 2)+1</f>
        <v>46300</v>
      </c>
      <c r="D4" s="163" t="s">
        <v>252</v>
      </c>
      <c r="E4" s="164"/>
    </row>
    <row r="5" spans="1:5" s="161" customFormat="1">
      <c r="A5" s="162" t="s">
        <v>251</v>
      </c>
      <c r="B5" s="165">
        <f ca="1">[1]!thsiFinD("ths_new_forward_nearest_trade_date_func",C5,100)</f>
        <v>46295</v>
      </c>
      <c r="C5" s="165">
        <f ca="1">B2- WEEKDAY(B2, 2) - 2</f>
        <v>46297</v>
      </c>
      <c r="D5" s="162" t="s">
        <v>253</v>
      </c>
      <c r="E5" s="167"/>
    </row>
    <row r="6" spans="1:5">
      <c r="A6" s="162" t="s">
        <v>257</v>
      </c>
      <c r="B6" s="168">
        <f>[1]!thsiFinD("ths_new_backward_nearest_trade_date_func",C6+1,100)</f>
        <v>46195</v>
      </c>
      <c r="C6" s="165">
        <v>46191</v>
      </c>
      <c r="D6" s="162" t="s">
        <v>256</v>
      </c>
      <c r="E6" s="164"/>
    </row>
    <row r="8" spans="1:5">
      <c r="A8" s="162" t="s">
        <v>260</v>
      </c>
    </row>
    <row r="9" spans="1:5">
      <c r="A9" s="169" t="s">
        <v>259</v>
      </c>
      <c r="B9" s="170">
        <f ca="1">[1]!thsiFinD("ths_new_forward_nearest_trade_date_func",B10-1,100)</f>
        <v>46294</v>
      </c>
    </row>
    <row r="10" spans="1:5">
      <c r="A10" s="169" t="s">
        <v>258</v>
      </c>
      <c r="B10" s="170">
        <f ca="1">[1]!thsiFinD("ths_new_forward_nearest_trade_date_func",B3-1,100)</f>
        <v>46295</v>
      </c>
      <c r="C10" s="171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tabSelected="1" workbookViewId="0">
      <selection activeCell="G15" sqref="G15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30" t="s">
        <v>178</v>
      </c>
      <c r="B1" s="230"/>
      <c r="C1" s="230"/>
      <c r="D1" s="231" t="str">
        <f ca="1">"更新日期："&amp;TEXT(H4,"yyyy-mm-dd")</f>
        <v>更新日期：2026-10-09</v>
      </c>
      <c r="E1" s="231"/>
      <c r="F1" s="183"/>
      <c r="G1" s="37" t="s">
        <v>196</v>
      </c>
      <c r="H1" s="35">
        <f>日期页!C6</f>
        <v>46191</v>
      </c>
      <c r="I1" s="35">
        <v>46195</v>
      </c>
      <c r="J1" s="35">
        <v>46282</v>
      </c>
      <c r="K1" s="35"/>
      <c r="L1"/>
      <c r="M1"/>
      <c r="Q1" s="159"/>
    </row>
    <row r="2" spans="1:18" ht="15.65" customHeight="1">
      <c r="A2" s="229" t="s">
        <v>345</v>
      </c>
      <c r="B2" s="229"/>
      <c r="C2" s="229"/>
      <c r="D2" s="229"/>
      <c r="E2" s="229"/>
      <c r="F2" s="182"/>
      <c r="G2" s="37" t="s">
        <v>198</v>
      </c>
      <c r="H2" s="223">
        <f ca="1">日期页!B5</f>
        <v>46295</v>
      </c>
      <c r="I2" s="223">
        <f ca="1">日期页!B4</f>
        <v>46303</v>
      </c>
      <c r="J2" s="35"/>
      <c r="Q2" s="91"/>
    </row>
    <row r="3" spans="1:18" ht="25" customHeight="1">
      <c r="A3" s="117" t="s">
        <v>166</v>
      </c>
      <c r="B3" s="117" t="s">
        <v>232</v>
      </c>
      <c r="C3" s="117" t="s">
        <v>197</v>
      </c>
      <c r="D3" s="117" t="s">
        <v>195</v>
      </c>
      <c r="E3" s="117" t="s">
        <v>167</v>
      </c>
      <c r="F3" s="117" t="s">
        <v>168</v>
      </c>
      <c r="G3" s="37" t="s">
        <v>244</v>
      </c>
      <c r="H3" s="35">
        <f ca="1">日期页!B3</f>
        <v>46303</v>
      </c>
      <c r="R3" s="160"/>
    </row>
    <row r="4" spans="1:18" ht="25" customHeight="1">
      <c r="A4" s="118" t="s">
        <v>169</v>
      </c>
      <c r="B4" s="119"/>
      <c r="C4" s="119"/>
      <c r="D4" s="119"/>
      <c r="E4" s="120"/>
      <c r="F4" s="120"/>
      <c r="G4" s="34" t="s">
        <v>245</v>
      </c>
      <c r="H4" s="41">
        <f ca="1">日期页!B2</f>
        <v>46304</v>
      </c>
      <c r="I4" s="41">
        <f ca="1">H3</f>
        <v>46303</v>
      </c>
      <c r="J4" s="41">
        <f ca="1">H2</f>
        <v>46295</v>
      </c>
      <c r="K4" s="37" t="s">
        <v>179</v>
      </c>
      <c r="L4" s="34" t="s">
        <v>197</v>
      </c>
      <c r="M4" s="34" t="s">
        <v>180</v>
      </c>
    </row>
    <row r="5" spans="1:18" ht="25" customHeight="1">
      <c r="A5" s="121" t="s">
        <v>170</v>
      </c>
      <c r="B5" s="122">
        <f ca="1">K5</f>
        <v>-1.3732897000351407E-5</v>
      </c>
      <c r="C5" s="122">
        <f ca="1">L5</f>
        <v>-4.5361692317834601E-3</v>
      </c>
      <c r="D5" s="122">
        <f t="shared" ref="B5:D6" ca="1" si="0">M5</f>
        <v>-1.6245733173411714E-2</v>
      </c>
      <c r="E5" s="123">
        <v>46191</v>
      </c>
      <c r="F5" s="124">
        <v>5.0000000000000001E-3</v>
      </c>
      <c r="H5" s="34">
        <f ca="1">VLOOKUP(H$4,实盘组合净值!$A:$S,14,0)</f>
        <v>0.98375426682658829</v>
      </c>
      <c r="I5" s="34">
        <f ca="1">VLOOKUP(I$4,实盘组合净值!$A:$S,14,0)</f>
        <v>0.98376777680813943</v>
      </c>
      <c r="J5" s="34">
        <f ca="1">VLOOKUP(J$4,实盘组合净值!$A:$S,14,0)</f>
        <v>0.98823707745102929</v>
      </c>
      <c r="K5" s="36">
        <f ca="1">H5/I5-1</f>
        <v>-1.3732897000351407E-5</v>
      </c>
      <c r="L5" s="36">
        <f ca="1">H5/J5-1</f>
        <v>-4.5361692317834601E-3</v>
      </c>
      <c r="M5" s="36">
        <f ca="1">H5-1</f>
        <v>-1.6245733173411714E-2</v>
      </c>
    </row>
    <row r="6" spans="1:18" ht="25" customHeight="1">
      <c r="A6" s="125" t="s">
        <v>171</v>
      </c>
      <c r="B6" s="122">
        <f t="shared" ca="1" si="0"/>
        <v>-2.2005707726480139E-5</v>
      </c>
      <c r="C6" s="122">
        <f t="shared" ca="1" si="0"/>
        <v>-4.3694912735157132E-3</v>
      </c>
      <c r="D6" s="122">
        <f t="shared" ca="1" si="0"/>
        <v>-1.709303104444404E-2</v>
      </c>
      <c r="E6" s="123">
        <v>46197</v>
      </c>
      <c r="F6" s="126">
        <v>8.0000000000000002E-3</v>
      </c>
      <c r="H6" s="34">
        <f ca="1">VLOOKUP(H$4,实盘组合净值!$A:$S,11,0)</f>
        <v>0.98290696895555596</v>
      </c>
      <c r="I6" s="34">
        <f ca="1">VLOOKUP(I$4,实盘组合净值!$A:$S,11,0)</f>
        <v>0.9829285989950215</v>
      </c>
      <c r="J6" s="34">
        <f ca="1">VLOOKUP(J$4,实盘组合净值!$A:$S,11,0)</f>
        <v>0.98722062084336581</v>
      </c>
      <c r="K6" s="36">
        <f ca="1">H6/I6-1</f>
        <v>-2.2005707726480139E-5</v>
      </c>
      <c r="L6" s="36">
        <f ca="1">H6/J6-1</f>
        <v>-4.3694912735157132E-3</v>
      </c>
      <c r="M6" s="36">
        <f ca="1">H6-1</f>
        <v>-1.709303104444404E-2</v>
      </c>
    </row>
    <row r="7" spans="1:18" ht="25" customHeight="1">
      <c r="A7" s="222" t="s">
        <v>366</v>
      </c>
      <c r="B7" s="219"/>
      <c r="C7" s="219"/>
      <c r="D7" s="219"/>
      <c r="E7" s="220"/>
      <c r="F7" s="221"/>
      <c r="H7" s="212"/>
      <c r="I7" s="212"/>
      <c r="J7" s="212"/>
    </row>
    <row r="8" spans="1:18" ht="25" customHeight="1">
      <c r="A8" s="125" t="s">
        <v>367</v>
      </c>
      <c r="B8" s="122">
        <f ca="1">K8</f>
        <v>-2.2005707726369117E-5</v>
      </c>
      <c r="C8" s="122">
        <f ca="1">L8</f>
        <v>-1.9100001250502707E-3</v>
      </c>
      <c r="D8" s="122">
        <f ca="1">M8</f>
        <v>-3.1930668630510972E-3</v>
      </c>
      <c r="E8" s="131">
        <v>46282</v>
      </c>
      <c r="F8" s="126">
        <v>8.0000000000000002E-3</v>
      </c>
      <c r="H8" s="34">
        <f ca="1">VLOOKUP(H$4,实盘组合净值!$A:$V,20,0)</f>
        <v>0.9968069331369489</v>
      </c>
      <c r="I8" s="34">
        <f ca="1">VLOOKUP(I$4,实盘组合净值!$A:$V,20,0)</f>
        <v>0.99682886906169466</v>
      </c>
      <c r="J8" s="34">
        <f ca="1">VLOOKUP(J$4,实盘组合净值!$A:$V,20,0)</f>
        <v>0.9987144779146554</v>
      </c>
      <c r="K8" s="36">
        <f ca="1">H8/I8-1</f>
        <v>-2.2005707726369117E-5</v>
      </c>
      <c r="L8" s="36">
        <f ca="1">H8/J8-1</f>
        <v>-1.9100001250502707E-3</v>
      </c>
      <c r="M8" s="36">
        <f ca="1">H8-1</f>
        <v>-3.1930668630510972E-3</v>
      </c>
    </row>
    <row r="9" spans="1:18" ht="25" customHeight="1">
      <c r="A9" s="127" t="s">
        <v>172</v>
      </c>
      <c r="B9" s="128"/>
      <c r="C9" s="128"/>
      <c r="D9" s="128"/>
      <c r="E9" s="129"/>
      <c r="F9" s="130"/>
      <c r="H9" s="34"/>
      <c r="I9" s="34"/>
      <c r="J9" s="34"/>
    </row>
    <row r="10" spans="1:18" ht="25" customHeight="1">
      <c r="A10" s="125" t="s">
        <v>173</v>
      </c>
      <c r="B10" s="122">
        <f ca="1">K10</f>
        <v>-3.3075018034844916E-5</v>
      </c>
      <c r="C10" s="122">
        <f ca="1">L10</f>
        <v>-1.189218259580449E-2</v>
      </c>
      <c r="D10" s="122">
        <f ca="1">M10</f>
        <v>-6.6274013306314772E-2</v>
      </c>
      <c r="E10" s="131">
        <v>46197</v>
      </c>
      <c r="F10" s="126">
        <v>1.2E-2</v>
      </c>
      <c r="H10" s="34">
        <f ca="1">VLOOKUP(H$4,实盘组合净值!$A:$S,17,0)</f>
        <v>0.93372598669368523</v>
      </c>
      <c r="I10" s="34">
        <f ca="1">VLOOKUP(I$4,实盘组合净值!$A:$S,17,0)</f>
        <v>0.93375687071902447</v>
      </c>
      <c r="J10" s="34">
        <f ca="1">VLOOKUP(J$4,实盘组合净值!$A:$S,17,0)</f>
        <v>0.94496366717007274</v>
      </c>
      <c r="K10" s="36">
        <f ca="1">H10/I10-1</f>
        <v>-3.3075018034844916E-5</v>
      </c>
      <c r="L10" s="36">
        <f ca="1">H10/J10-1</f>
        <v>-1.189218259580449E-2</v>
      </c>
      <c r="M10" s="36">
        <f ca="1">H10-1</f>
        <v>-6.6274013306314772E-2</v>
      </c>
    </row>
    <row r="11" spans="1:18" ht="25" customHeight="1">
      <c r="A11" s="133" t="s">
        <v>174</v>
      </c>
      <c r="B11" s="132"/>
      <c r="C11" s="132"/>
      <c r="D11" s="132"/>
      <c r="E11" s="133"/>
      <c r="F11" s="134"/>
      <c r="H11" s="34"/>
      <c r="I11" s="34"/>
      <c r="J11" s="34"/>
    </row>
    <row r="12" spans="1:18" ht="25" customHeight="1">
      <c r="A12" s="121" t="s">
        <v>175</v>
      </c>
      <c r="B12" s="122">
        <f t="shared" ref="B12:D14" ca="1" si="1">K12</f>
        <v>-3.3075018034844916E-5</v>
      </c>
      <c r="C12" s="122">
        <f t="shared" ca="1" si="1"/>
        <v>-5.1912753523152388E-2</v>
      </c>
      <c r="D12" s="122">
        <f t="shared" ca="1" si="1"/>
        <v>-0.2490921654489231</v>
      </c>
      <c r="E12" s="123">
        <v>46191</v>
      </c>
      <c r="F12" s="124">
        <v>1.2E-2</v>
      </c>
      <c r="H12" s="34">
        <f ca="1">VLOOKUP(H$4,实盘组合净值!$A:$S,5,0)</f>
        <v>0.7509078345510769</v>
      </c>
      <c r="I12" s="34">
        <f ca="1">VLOOKUP(I$4,实盘组合净值!$A:$S,5,0)</f>
        <v>0.75093267166273514</v>
      </c>
      <c r="J12" s="34">
        <f ca="1">VLOOKUP(J$4,实盘组合净值!$A:$S,5,0)</f>
        <v>0.7920239802207002</v>
      </c>
      <c r="K12" s="36">
        <f ca="1">H12/I12-1</f>
        <v>-3.3075018034844916E-5</v>
      </c>
      <c r="L12" s="36">
        <f ca="1">H12/J12-1</f>
        <v>-5.1912753523152388E-2</v>
      </c>
      <c r="M12" s="36">
        <f ca="1">H12-1</f>
        <v>-0.2490921654489231</v>
      </c>
    </row>
    <row r="13" spans="1:18" ht="25" customHeight="1">
      <c r="A13" s="121" t="s">
        <v>176</v>
      </c>
      <c r="B13" s="122">
        <f t="shared" ca="1" si="1"/>
        <v>-4.1406369609475746E-5</v>
      </c>
      <c r="C13" s="122">
        <f t="shared" ca="1" si="1"/>
        <v>-5.1897010875740057E-2</v>
      </c>
      <c r="D13" s="122">
        <f t="shared" ca="1" si="1"/>
        <v>-0.26639481898860506</v>
      </c>
      <c r="E13" s="123">
        <v>46195</v>
      </c>
      <c r="F13" s="124">
        <v>1.4999999999999999E-2</v>
      </c>
      <c r="H13" s="34">
        <f ca="1">VLOOKUP(H$4,实盘组合净值!$A:$S,2,0)</f>
        <v>0.73360518101139494</v>
      </c>
      <c r="I13" s="34">
        <f ca="1">VLOOKUP(I$4,实盘组合净值!$A:$S,2,0)</f>
        <v>0.7336355581964763</v>
      </c>
      <c r="J13" s="34">
        <f ca="1">VLOOKUP(J$4,实盘组合净值!$A:$S,2,0)</f>
        <v>0.77376106754922114</v>
      </c>
      <c r="K13" s="36">
        <f ca="1">H13/I13-1</f>
        <v>-4.1406369609475746E-5</v>
      </c>
      <c r="L13" s="36">
        <f ca="1">H13/J13-1</f>
        <v>-5.1897010875740057E-2</v>
      </c>
      <c r="M13" s="36">
        <f ca="1">H13-1</f>
        <v>-0.26639481898860506</v>
      </c>
    </row>
    <row r="14" spans="1:18" ht="25" customHeight="1">
      <c r="A14" s="121" t="s">
        <v>177</v>
      </c>
      <c r="B14" s="122">
        <f t="shared" ca="1" si="1"/>
        <v>-4.1406369609475746E-5</v>
      </c>
      <c r="C14" s="122">
        <f t="shared" ca="1" si="1"/>
        <v>-4.5766704344077369E-2</v>
      </c>
      <c r="D14" s="122">
        <f t="shared" ca="1" si="1"/>
        <v>-0.25213502009932065</v>
      </c>
      <c r="E14" s="123">
        <v>46197</v>
      </c>
      <c r="F14" s="124">
        <v>1.4999999999999999E-2</v>
      </c>
      <c r="H14" s="34">
        <f ca="1">VLOOKUP(H$4,实盘组合净值!$A:$S,8,0)</f>
        <v>0.74786497990067935</v>
      </c>
      <c r="I14" s="34">
        <f ca="1">VLOOKUP(I$4,实盘组合净值!$A:$S,8,0)</f>
        <v>0.74789594755671329</v>
      </c>
      <c r="J14" s="34">
        <f ca="1">VLOOKUP(J$4,实盘组合净值!$A:$S,8,0)</f>
        <v>0.78373389747065003</v>
      </c>
      <c r="K14" s="36">
        <f ca="1">H14/I14-1</f>
        <v>-4.1406369609475746E-5</v>
      </c>
      <c r="L14" s="36">
        <f ca="1">H14/J14-1</f>
        <v>-4.5766704344077369E-2</v>
      </c>
      <c r="M14" s="36">
        <f ca="1">H14-1</f>
        <v>-0.25213502009932065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E17" sqref="E17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235</v>
      </c>
      <c r="C1" s="230"/>
      <c r="D1" s="230"/>
      <c r="E1" s="232" t="str">
        <f ca="1">每日组合!D1</f>
        <v>更新日期：2026-10-09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346</v>
      </c>
      <c r="C2" s="234"/>
      <c r="D2" s="234"/>
      <c r="E2" s="234"/>
      <c r="F2" s="234"/>
      <c r="G2" s="49"/>
      <c r="H2" s="48" t="str">
        <f>每日组合!G2</f>
        <v>上周五/本周初</v>
      </c>
      <c r="I2" s="48">
        <f ca="1">每日组合!H2</f>
        <v>46295</v>
      </c>
      <c r="J2" s="48">
        <f ca="1">每日组合!I2</f>
        <v>46303</v>
      </c>
    </row>
    <row r="3" spans="1:11" ht="17">
      <c r="A3" s="34"/>
      <c r="B3" s="135" t="s">
        <v>181</v>
      </c>
      <c r="C3" s="140"/>
      <c r="D3" s="140"/>
      <c r="E3" s="140"/>
      <c r="F3" s="140"/>
      <c r="G3" s="33"/>
      <c r="H3" s="48" t="str">
        <f>每日组合!G3</f>
        <v>上一个交易日</v>
      </c>
      <c r="I3" s="48">
        <f ca="1">每日组合!H3</f>
        <v>46303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46304</v>
      </c>
      <c r="J4" s="48">
        <f ca="1">每日组合!I4</f>
        <v>46303</v>
      </c>
      <c r="K4" s="48">
        <f ca="1">每日组合!J4</f>
        <v>46295</v>
      </c>
    </row>
    <row r="5" spans="1:11" ht="20.149999999999999" customHeight="1">
      <c r="A5" s="34"/>
      <c r="B5" s="142" t="s">
        <v>170</v>
      </c>
      <c r="C5" s="143">
        <f ca="1">每日组合!B5</f>
        <v>-1.3732897000351407E-5</v>
      </c>
      <c r="D5" s="143">
        <f ca="1">每日组合!C5</f>
        <v>-4.5361692317834601E-3</v>
      </c>
      <c r="E5" s="143">
        <f ca="1">每日组合!D5</f>
        <v>-1.6245733173411714E-2</v>
      </c>
      <c r="F5" s="144">
        <f>每日组合!E5</f>
        <v>46191</v>
      </c>
      <c r="G5" s="38"/>
    </row>
    <row r="6" spans="1:11" ht="20.149999999999999" customHeight="1">
      <c r="A6" s="34"/>
      <c r="B6" s="145" t="s">
        <v>171</v>
      </c>
      <c r="C6" s="143">
        <f ca="1">每日组合!B6</f>
        <v>-2.2005707726480139E-5</v>
      </c>
      <c r="D6" s="143">
        <f ca="1">每日组合!C6</f>
        <v>-4.3694912735157132E-3</v>
      </c>
      <c r="E6" s="143">
        <f ca="1">每日组合!D6</f>
        <v>-1.709303104444404E-2</v>
      </c>
      <c r="F6" s="144">
        <f>每日组合!E6</f>
        <v>46197</v>
      </c>
      <c r="G6" s="38"/>
    </row>
    <row r="7" spans="1:11" ht="20.149999999999999" customHeight="1">
      <c r="A7" s="34"/>
      <c r="B7" s="139" t="s">
        <v>182</v>
      </c>
      <c r="C7" s="140"/>
      <c r="D7" s="140"/>
      <c r="E7" s="140"/>
      <c r="F7" s="140"/>
      <c r="G7" s="33"/>
    </row>
    <row r="8" spans="1:11" ht="20.149999999999999" customHeight="1">
      <c r="A8" s="43" t="s">
        <v>28</v>
      </c>
      <c r="B8" s="141" t="s">
        <v>170</v>
      </c>
      <c r="C8" s="141" t="s">
        <v>194</v>
      </c>
      <c r="D8" s="141" t="s">
        <v>186</v>
      </c>
      <c r="E8" s="141" t="s">
        <v>193</v>
      </c>
      <c r="F8" s="141" t="s">
        <v>185</v>
      </c>
      <c r="G8" s="46"/>
      <c r="H8" s="48">
        <v>46195</v>
      </c>
    </row>
    <row r="9" spans="1:11" ht="20.149999999999999" customHeight="1">
      <c r="A9" s="45" t="s">
        <v>32</v>
      </c>
      <c r="B9" s="146" t="str">
        <f>[1]!thsiFinD("ths_fund_short_name_fund",A9)</f>
        <v>博道沪深300指数增强A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-9.1393754760092007E-3</v>
      </c>
      <c r="E9" s="143">
        <f ca="1">[1]!thsiFinD("ths_adjustment_nvg_ratio_fund",$A9,$H$8,$I$4,101)/100</f>
        <v>-8.4907556270095996E-2</v>
      </c>
      <c r="F9" s="143">
        <v>1.2500000000000001E-2</v>
      </c>
      <c r="G9" s="39"/>
    </row>
    <row r="10" spans="1:11" ht="20.149999999999999" customHeight="1">
      <c r="A10" s="45" t="s">
        <v>41</v>
      </c>
      <c r="B10" s="146" t="str">
        <f>[1]!thsiFinD("ths_fund_short_name_fund",A10)</f>
        <v>中欧中证500指数增强A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-2.2110004094445E-2</v>
      </c>
      <c r="E10" s="143">
        <f ca="1">[1]!thsiFinD("ths_adjustment_nvg_ratio_fund",$A10,$H$8,$I$4,101)/100</f>
        <v>-0.11950844854071001</v>
      </c>
      <c r="F10" s="143">
        <v>1.2500000000000001E-2</v>
      </c>
      <c r="G10" s="39"/>
    </row>
    <row r="11" spans="1:11" ht="20.149999999999999" customHeight="1">
      <c r="A11" s="45" t="s">
        <v>39</v>
      </c>
      <c r="B11" s="146" t="str">
        <f>[1]!thsiFinD("ths_fund_short_name_fund",A11)</f>
        <v>天弘中证1000指数增强A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-1.9130434782609E-2</v>
      </c>
      <c r="E11" s="143">
        <f ca="1">[1]!thsiFinD("ths_adjustment_nvg_ratio_fund",$A11,$H$8,$I$4,101)/100</f>
        <v>-0.13812154696133</v>
      </c>
      <c r="F11" s="143">
        <v>1.2500000000000001E-2</v>
      </c>
      <c r="G11" s="39"/>
    </row>
    <row r="12" spans="1:11" ht="20.149999999999999" customHeight="1">
      <c r="A12" s="45" t="s">
        <v>49</v>
      </c>
      <c r="B12" s="146" t="str">
        <f>[1]!thsiFinD("ths_fund_short_name_fund",A12)</f>
        <v>华泰柏瑞中证2000指数增强A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-1.4104446308725E-2</v>
      </c>
      <c r="E12" s="143">
        <f ca="1">[1]!thsiFinD("ths_adjustment_nvg_ratio_fund",$A12,$H$8,$I$4,101)/100</f>
        <v>-0.12077994949967</v>
      </c>
      <c r="F12" s="143">
        <v>1.2500000000000001E-2</v>
      </c>
      <c r="G12" s="39"/>
    </row>
    <row r="13" spans="1:11" ht="20.149999999999999" customHeight="1">
      <c r="A13" s="45" t="s">
        <v>31</v>
      </c>
      <c r="B13" s="146" t="str">
        <f>[1]!thsiFinD("ths_fund_short_name_fund",A13)</f>
        <v>宏利复兴伟业混合A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-5.4136395594093993E-2</v>
      </c>
      <c r="E13" s="143">
        <f ca="1">[1]!thsiFinD("ths_adjustment_nvg_ratio_fund",$A13,$H$8,$I$4,101)/100</f>
        <v>-0.33421313097987004</v>
      </c>
      <c r="F13" s="143">
        <v>0.01</v>
      </c>
      <c r="G13" s="39"/>
    </row>
    <row r="14" spans="1:11" ht="20.149999999999999" customHeight="1">
      <c r="A14" s="45" t="s">
        <v>37</v>
      </c>
      <c r="B14" s="146" t="str">
        <f>[1]!thsiFinD("ths_fund_short_name_fund",A14)</f>
        <v>银华集成电路混合A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-4.1502596090184002E-2</v>
      </c>
      <c r="E14" s="143">
        <f ca="1">[1]!thsiFinD("ths_adjustment_nvg_ratio_fund",$A14,$H$8,$I$4,101)/100</f>
        <v>-9.2301092301092E-2</v>
      </c>
      <c r="F14" s="143">
        <v>0.01</v>
      </c>
      <c r="G14" s="39"/>
    </row>
    <row r="15" spans="1:11" ht="20.149999999999999" customHeight="1">
      <c r="A15" s="45" t="s">
        <v>43</v>
      </c>
      <c r="B15" s="146" t="str">
        <f>[1]!thsiFinD("ths_fund_short_name_fund",A15)</f>
        <v>信澳业绩驱动混合A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-7.5628122511041992E-2</v>
      </c>
      <c r="E15" s="143">
        <f ca="1">[1]!thsiFinD("ths_adjustment_nvg_ratio_fund",$A15,$H$8,$I$4,101)/100</f>
        <v>-0.29858249546728</v>
      </c>
      <c r="F15" s="143">
        <v>0.01</v>
      </c>
      <c r="G15" s="39"/>
    </row>
    <row r="16" spans="1:11" ht="20.149999999999999" customHeight="1">
      <c r="A16" s="45" t="s">
        <v>44</v>
      </c>
      <c r="B16" s="146" t="str">
        <f>[1]!thsiFinD("ths_fund_short_name_fund",A16)</f>
        <v>嘉实信息产业股票发起式A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-7.3526278949451004E-2</v>
      </c>
      <c r="E16" s="143">
        <f ca="1">[1]!thsiFinD("ths_adjustment_nvg_ratio_fund",$A16,$H$8,$I$4,101)/100</f>
        <v>-0.30596844792997002</v>
      </c>
      <c r="F16" s="143">
        <v>0.01</v>
      </c>
      <c r="G16" s="39"/>
    </row>
    <row r="17" spans="1:8" ht="20.149999999999999" customHeight="1">
      <c r="A17" s="45" t="s">
        <v>60</v>
      </c>
      <c r="B17" s="146" t="str">
        <f>[1]!thsiFinD("ths_fund_short_name_fund",A17)</f>
        <v>宏利领先中小盘混合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-4.3612334801761993E-2</v>
      </c>
      <c r="E17" s="143">
        <f ca="1">[1]!thsiFinD("ths_adjustment_nvg_ratio_fund",$A17,$H$8,$I$4,101)/100</f>
        <v>-9.1631799163180011E-2</v>
      </c>
      <c r="F17" s="143">
        <v>0.01</v>
      </c>
      <c r="G17" s="39"/>
    </row>
    <row r="18" spans="1:8" ht="20.149999999999999" customHeight="1">
      <c r="A18" s="45" t="s">
        <v>349</v>
      </c>
      <c r="B18" s="146" t="str">
        <f>[1]!thsiFinD("ths_fund_short_name_fund",A18)</f>
        <v>嘉实中债3-5年国开行债券指数A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-9.5492773457086003E-5</v>
      </c>
      <c r="E18" s="143">
        <f ca="1">[1]!thsiFinD("ths_adjustment_nvg_ratio_fund",$A18,$H$8,$I$4,101)/100</f>
        <v>6.4216326758718004E-3</v>
      </c>
      <c r="F18" s="143">
        <v>0.15</v>
      </c>
      <c r="G18" s="39"/>
    </row>
    <row r="19" spans="1:8" ht="20.149999999999999" customHeight="1">
      <c r="A19" s="45" t="s">
        <v>348</v>
      </c>
      <c r="B19" s="146" t="str">
        <f>[1]!thsiFinD("ths_fund_short_name_fund",A19)</f>
        <v>广发中债7-10年期国开行债券指数A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-7.2155293159887997E-5</v>
      </c>
      <c r="E19" s="143">
        <f ca="1">[1]!thsiFinD("ths_adjustment_nvg_ratio_fund",$A19,$H$8,$I$4,101)/100</f>
        <v>8.8817705261643003E-3</v>
      </c>
      <c r="F19" s="143">
        <v>0.15</v>
      </c>
      <c r="G19" s="39"/>
    </row>
    <row r="20" spans="1:8" ht="20.149999999999999" customHeight="1">
      <c r="A20" s="45" t="s">
        <v>51</v>
      </c>
      <c r="B20" s="146" t="str">
        <f>[1]!thsiFinD("ths_fund_short_name_fund",A20)</f>
        <v>易方达中债新综合债券指数发起式(LOF)A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-5.5306675515728995E-5</v>
      </c>
      <c r="E20" s="143">
        <f ca="1">[1]!thsiFinD("ths_adjustment_nvg_ratio_fund",$A20,$H$8,$I$4,101)/100</f>
        <v>1.1808159382170001E-2</v>
      </c>
      <c r="F20" s="143">
        <v>0.5</v>
      </c>
      <c r="G20" s="39"/>
    </row>
    <row r="21" spans="1:8" ht="20.149999999999999" customHeight="1">
      <c r="A21" s="45" t="s">
        <v>29</v>
      </c>
      <c r="B21" s="146" t="str">
        <f>[1]!thsiFinD("ths_fund_short_name_fund",A21)</f>
        <v>华安易富黄金ETF联接A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-1.6582161420963998E-2</v>
      </c>
      <c r="E21" s="143">
        <f ca="1">[1]!thsiFinD("ths_adjustment_nvg_ratio_fund",$A21,$H$8,$I$4,101)/100</f>
        <v>-4.9381954933571996E-2</v>
      </c>
      <c r="F21" s="143">
        <v>0.05</v>
      </c>
      <c r="G21" s="39"/>
    </row>
    <row r="22" spans="1:8" ht="20.149999999999999" customHeight="1">
      <c r="A22" s="45" t="s">
        <v>30</v>
      </c>
      <c r="B22" s="146" t="str">
        <f>[1]!thsiFinD("ths_fund_short_name_fund",A22)</f>
        <v>嘉实快线货币A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3.3129940343092002E-5</v>
      </c>
      <c r="E22" s="143">
        <f ca="1">[1]!thsiFinD("ths_adjustment_nvg_ratio_fund",$A22,$H$8,$I$4,101)/100</f>
        <v>3.6889351326533999E-3</v>
      </c>
      <c r="F22" s="143">
        <v>0.05</v>
      </c>
      <c r="G22" s="39"/>
    </row>
    <row r="23" spans="1:8" ht="20.149999999999999" customHeight="1">
      <c r="A23" s="43" t="s">
        <v>28</v>
      </c>
      <c r="B23" s="138" t="s">
        <v>171</v>
      </c>
      <c r="C23" s="137" t="s">
        <v>232</v>
      </c>
      <c r="D23" s="137" t="str">
        <f>D8</f>
        <v>本周以来</v>
      </c>
      <c r="E23" s="137" t="str">
        <f>E8</f>
        <v>上线以来</v>
      </c>
      <c r="F23" s="137" t="s">
        <v>185</v>
      </c>
      <c r="G23" s="46"/>
      <c r="H23" s="48">
        <v>46198</v>
      </c>
    </row>
    <row r="24" spans="1:8" ht="20.149999999999999" customHeight="1">
      <c r="A24" s="45" t="s">
        <v>33</v>
      </c>
      <c r="B24" s="146" t="str">
        <f>[1]!thsiFinD("ths_fund_short_name_fund",A24)</f>
        <v>博道沪深300指数增强C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-9.1907644026002992E-3</v>
      </c>
      <c r="E24" s="143">
        <f ca="1">[1]!thsiFinD("ths_adjustment_nvg_ratio_fund",$A24,$H$23,$I$4,101)/100</f>
        <v>-8.7201197790283E-2</v>
      </c>
      <c r="F24" s="143">
        <v>1.2500000000000001E-2</v>
      </c>
      <c r="G24" s="39"/>
    </row>
    <row r="25" spans="1:8" ht="20.149999999999999" customHeight="1">
      <c r="A25" s="45" t="s">
        <v>42</v>
      </c>
      <c r="B25" s="146" t="str">
        <f>[1]!thsiFinD("ths_fund_short_name_fund",A25)</f>
        <v>中欧中证500指数增强C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-2.2209766692356001E-2</v>
      </c>
      <c r="E25" s="143">
        <f ca="1">[1]!thsiFinD("ths_adjustment_nvg_ratio_fund",$A25,$H$23,$I$4,101)/100</f>
        <v>-0.13926236585667001</v>
      </c>
      <c r="F25" s="143">
        <v>1.2500000000000001E-2</v>
      </c>
      <c r="G25" s="39"/>
    </row>
    <row r="26" spans="1:8" ht="20.149999999999999" customHeight="1">
      <c r="A26" s="45" t="s">
        <v>40</v>
      </c>
      <c r="B26" s="146" t="str">
        <f>[1]!thsiFinD("ths_fund_short_name_fund",A26)</f>
        <v>天弘中证1000指数增强C</v>
      </c>
      <c r="C26" s="143">
        <f ca="1">[1]!thsiFinD("ths_adjustment_nvg_ratio_fund",$A26,$I$4,$I$4,101)/100</f>
        <v>0</v>
      </c>
      <c r="D26" s="143">
        <f ca="1">[1]!thsiFinD("ths_adjustment_nvg_ratio_fund",$A26,$J$2,$I$4,101)/100</f>
        <v>-1.9199457259158999E-2</v>
      </c>
      <c r="E26" s="143">
        <f ca="1">[1]!thsiFinD("ths_adjustment_nvg_ratio_fund",$A26,$H$23,$I$4,101)/100</f>
        <v>-0.14883720930232999</v>
      </c>
      <c r="F26" s="143">
        <v>1.2500000000000001E-2</v>
      </c>
      <c r="G26" s="39"/>
    </row>
    <row r="27" spans="1:8" ht="20.149999999999999" customHeight="1">
      <c r="A27" s="45" t="s">
        <v>50</v>
      </c>
      <c r="B27" s="146" t="str">
        <f>[1]!thsiFinD("ths_fund_short_name_fund",A27)</f>
        <v>华泰柏瑞中证2000指数增强C</v>
      </c>
      <c r="C27" s="143">
        <f ca="1">[1]!thsiFinD("ths_adjustment_nvg_ratio_fund",$A27,$I$4,$I$4,101)/100</f>
        <v>0</v>
      </c>
      <c r="D27" s="143">
        <f ca="1">[1]!thsiFinD("ths_adjustment_nvg_ratio_fund",$A27,$J$2,$I$4,101)/100</f>
        <v>-1.4151693432978001E-2</v>
      </c>
      <c r="E27" s="143">
        <f ca="1">[1]!thsiFinD("ths_adjustment_nvg_ratio_fund",$A27,$H$23,$I$4,101)/100</f>
        <v>-0.11877576159567999</v>
      </c>
      <c r="F27" s="143">
        <v>1.2500000000000001E-2</v>
      </c>
      <c r="G27" s="39"/>
    </row>
    <row r="28" spans="1:8" ht="20.149999999999999" customHeight="1">
      <c r="A28" s="45" t="s">
        <v>46</v>
      </c>
      <c r="B28" s="146" t="str">
        <f>[1]!thsiFinD("ths_fund_short_name_fund",A28)</f>
        <v>宏利复兴伟业混合C</v>
      </c>
      <c r="C28" s="143">
        <f ca="1">[1]!thsiFinD("ths_adjustment_nvg_ratio_fund",$A28,$I$4,$I$4,101)/100</f>
        <v>0</v>
      </c>
      <c r="D28" s="143">
        <f ca="1">[1]!thsiFinD("ths_adjustment_nvg_ratio_fund",$A28,$J$2,$I$4,101)/100</f>
        <v>-5.4028436018957002E-2</v>
      </c>
      <c r="E28" s="143">
        <f ca="1">[1]!thsiFinD("ths_adjustment_nvg_ratio_fund",$A28,$H$23,$I$4,101)/100</f>
        <v>-0.34027433482069003</v>
      </c>
      <c r="F28" s="143">
        <v>1.2500000000000001E-2</v>
      </c>
      <c r="G28" s="39"/>
    </row>
    <row r="29" spans="1:8" ht="20.149999999999999" customHeight="1">
      <c r="A29" s="45" t="s">
        <v>45</v>
      </c>
      <c r="B29" s="146" t="str">
        <f>[1]!thsiFinD("ths_fund_short_name_fund",A29)</f>
        <v>嘉实信息产业股票发起式C</v>
      </c>
      <c r="C29" s="143">
        <f ca="1">[1]!thsiFinD("ths_adjustment_nvg_ratio_fund",$A29,$I$4,$I$4,101)/100</f>
        <v>0</v>
      </c>
      <c r="D29" s="143">
        <f ca="1">[1]!thsiFinD("ths_adjustment_nvg_ratio_fund",$A29,$J$2,$I$4,101)/100</f>
        <v>-7.3671760714619006E-2</v>
      </c>
      <c r="E29" s="143">
        <f ca="1">[1]!thsiFinD("ths_adjustment_nvg_ratio_fund",$A29,$H$23,$I$4,101)/100</f>
        <v>-0.32630101636597997</v>
      </c>
      <c r="F29" s="143">
        <v>1.2500000000000001E-2</v>
      </c>
      <c r="G29" s="39"/>
    </row>
    <row r="30" spans="1:8" ht="20.149999999999999" customHeight="1">
      <c r="A30" s="45" t="s">
        <v>36</v>
      </c>
      <c r="B30" s="146" t="str">
        <f>[1]!thsiFinD("ths_fund_short_name_fund",A30)</f>
        <v>嘉实前沿创新混合</v>
      </c>
      <c r="C30" s="143">
        <f ca="1">[1]!thsiFinD("ths_adjustment_nvg_ratio_fund",$A30,$I$4,$I$4,101)/100</f>
        <v>0</v>
      </c>
      <c r="D30" s="143">
        <f ca="1">[1]!thsiFinD("ths_adjustment_nvg_ratio_fund",$A30,$J$2,$I$4,101)/100</f>
        <v>-4.0539922214596E-2</v>
      </c>
      <c r="E30" s="143">
        <f ca="1">[1]!thsiFinD("ths_adjustment_nvg_ratio_fund",$A30,$H$23,$I$4,101)/100</f>
        <v>-0.31314487863997997</v>
      </c>
      <c r="F30" s="143">
        <v>0.01</v>
      </c>
      <c r="G30" s="39"/>
    </row>
    <row r="31" spans="1:8" ht="20.149999999999999" customHeight="1">
      <c r="A31" s="45" t="s">
        <v>38</v>
      </c>
      <c r="B31" s="146" t="str">
        <f>[1]!thsiFinD("ths_fund_short_name_fund",A31)</f>
        <v>银华集成电路混合C</v>
      </c>
      <c r="C31" s="143">
        <f ca="1">[1]!thsiFinD("ths_adjustment_nvg_ratio_fund",$A31,$I$4,$I$4,101)/100</f>
        <v>0</v>
      </c>
      <c r="D31" s="143">
        <f ca="1">[1]!thsiFinD("ths_adjustment_nvg_ratio_fund",$A31,$J$2,$I$4,101)/100</f>
        <v>-4.1587502638801004E-2</v>
      </c>
      <c r="E31" s="143">
        <f ca="1">[1]!thsiFinD("ths_adjustment_nvg_ratio_fund",$A31,$H$23,$I$4,101)/100</f>
        <v>-0.18016011557214001</v>
      </c>
      <c r="F31" s="143">
        <v>7.4999999999999997E-3</v>
      </c>
      <c r="G31" s="39"/>
    </row>
    <row r="32" spans="1:8" ht="20.149999999999999" customHeight="1">
      <c r="A32" s="45" t="s">
        <v>60</v>
      </c>
      <c r="B32" s="146" t="str">
        <f>[1]!thsiFinD("ths_fund_short_name_fund",A32)</f>
        <v>宏利领先中小盘混合</v>
      </c>
      <c r="C32" s="143">
        <f ca="1">[1]!thsiFinD("ths_adjustment_nvg_ratio_fund",$A32,$I$4,$I$4,101)/100</f>
        <v>0</v>
      </c>
      <c r="D32" s="143">
        <f ca="1">[1]!thsiFinD("ths_adjustment_nvg_ratio_fund",$A32,$J$2,$I$4,101)/100</f>
        <v>-4.3612334801761993E-2</v>
      </c>
      <c r="E32" s="143">
        <f ca="1">[1]!thsiFinD("ths_adjustment_nvg_ratio_fund",$A32,$H$23,$I$4,101)/100</f>
        <v>-0.17546524876566999</v>
      </c>
      <c r="F32" s="143">
        <v>7.4999999999999997E-3</v>
      </c>
      <c r="G32" s="39"/>
    </row>
    <row r="33" spans="1:7" ht="20.149999999999999" customHeight="1">
      <c r="A33" s="45" t="s">
        <v>349</v>
      </c>
      <c r="B33" s="146" t="str">
        <f>[1]!thsiFinD("ths_fund_short_name_fund",A33)</f>
        <v>嘉实中债3-5年国开行债券指数A</v>
      </c>
      <c r="C33" s="143">
        <f ca="1">[1]!thsiFinD("ths_adjustment_nvg_ratio_fund",$A33,$I$4,$I$4,101)/100</f>
        <v>0</v>
      </c>
      <c r="D33" s="143">
        <f ca="1">[1]!thsiFinD("ths_adjustment_nvg_ratio_fund",$A33,$J$2,$I$4,101)/100</f>
        <v>-9.5492773457086003E-5</v>
      </c>
      <c r="E33" s="143">
        <f ca="1">[1]!thsiFinD("ths_adjustment_nvg_ratio_fund",$A33,$H$23,$I$4,101)/100</f>
        <v>6.6142676873050003E-3</v>
      </c>
      <c r="F33" s="143">
        <v>0.15</v>
      </c>
      <c r="G33" s="39"/>
    </row>
    <row r="34" spans="1:7" ht="20.149999999999999" customHeight="1">
      <c r="A34" s="45" t="s">
        <v>348</v>
      </c>
      <c r="B34" s="146" t="str">
        <f>[1]!thsiFinD("ths_fund_short_name_fund",A34)</f>
        <v>广发中债7-10年期国开行债券指数A</v>
      </c>
      <c r="C34" s="143">
        <f ca="1">[1]!thsiFinD("ths_adjustment_nvg_ratio_fund",$A34,$I$4,$I$4,101)/100</f>
        <v>0</v>
      </c>
      <c r="D34" s="143">
        <f ca="1">[1]!thsiFinD("ths_adjustment_nvg_ratio_fund",$A34,$J$2,$I$4,101)/100</f>
        <v>-7.2155293159887997E-5</v>
      </c>
      <c r="E34" s="143">
        <f ca="1">[1]!thsiFinD("ths_adjustment_nvg_ratio_fund",$A34,$H$23,$I$4,101)/100</f>
        <v>9.6903460478578989E-3</v>
      </c>
      <c r="F34" s="143">
        <v>0.15</v>
      </c>
      <c r="G34" s="39"/>
    </row>
    <row r="35" spans="1:7" ht="20.149999999999999" customHeight="1">
      <c r="A35" s="45" t="s">
        <v>51</v>
      </c>
      <c r="B35" s="146" t="str">
        <f>[1]!thsiFinD("ths_fund_short_name_fund",A35)</f>
        <v>易方达中债新综合债券指数发起式(LOF)A</v>
      </c>
      <c r="C35" s="143">
        <f ca="1">[1]!thsiFinD("ths_adjustment_nvg_ratio_fund",$A35,$I$4,$I$4,101)/100</f>
        <v>0</v>
      </c>
      <c r="D35" s="143">
        <f ca="1">[1]!thsiFinD("ths_adjustment_nvg_ratio_fund",$A35,$J$2,$I$4,101)/100</f>
        <v>-5.5306675515728995E-5</v>
      </c>
      <c r="E35" s="143">
        <f ca="1">[1]!thsiFinD("ths_adjustment_nvg_ratio_fund",$A35,$H$23,$I$4,101)/100</f>
        <v>1.2204680326951E-2</v>
      </c>
      <c r="F35" s="143">
        <v>0.5</v>
      </c>
      <c r="G35" s="39"/>
    </row>
    <row r="36" spans="1:7" ht="20.149999999999999" customHeight="1">
      <c r="A36" s="45" t="s">
        <v>29</v>
      </c>
      <c r="B36" s="146" t="str">
        <f>[1]!thsiFinD("ths_fund_short_name_fund",A36)</f>
        <v>华安易富黄金ETF联接A</v>
      </c>
      <c r="C36" s="143">
        <f ca="1">[1]!thsiFinD("ths_adjustment_nvg_ratio_fund",$A36,$I$4,$I$4,101)/100</f>
        <v>0</v>
      </c>
      <c r="D36" s="143">
        <f ca="1">[1]!thsiFinD("ths_adjustment_nvg_ratio_fund",$A36,$J$2,$I$4,101)/100</f>
        <v>-1.6582161420963998E-2</v>
      </c>
      <c r="E36" s="143">
        <f ca="1">[1]!thsiFinD("ths_adjustment_nvg_ratio_fund",$A36,$H$23,$I$4,101)/100</f>
        <v>-4.6798347534210997E-3</v>
      </c>
      <c r="F36" s="143">
        <v>0.05</v>
      </c>
      <c r="G36" s="39"/>
    </row>
    <row r="37" spans="1:7" ht="20.149999999999999" customHeight="1">
      <c r="A37" s="45" t="s">
        <v>30</v>
      </c>
      <c r="B37" s="146" t="str">
        <f>[1]!thsiFinD("ths_fund_short_name_fund",A37)</f>
        <v>嘉实快线货币A</v>
      </c>
      <c r="C37" s="143">
        <f ca="1">[1]!thsiFinD("ths_adjustment_nvg_ratio_fund",$A37,$I$4,$I$4,101)/100</f>
        <v>0</v>
      </c>
      <c r="D37" s="143">
        <f ca="1">[1]!thsiFinD("ths_adjustment_nvg_ratio_fund",$A37,$J$2,$I$4,101)/100</f>
        <v>3.3129940343092002E-5</v>
      </c>
      <c r="E37" s="143">
        <f ca="1">[1]!thsiFinD("ths_adjustment_nvg_ratio_fund",$A37,$H$23,$I$4,101)/100</f>
        <v>3.5774134973247003E-3</v>
      </c>
      <c r="F37" s="143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7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C30" sqref="C30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212"/>
      <c r="B1" s="230" t="s">
        <v>370</v>
      </c>
      <c r="C1" s="230"/>
      <c r="D1" s="230"/>
      <c r="E1" s="232" t="str">
        <f ca="1">每日组合!D1</f>
        <v>更新日期：2026-10-09</v>
      </c>
      <c r="F1" s="232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212"/>
      <c r="B2" s="233" t="s">
        <v>345</v>
      </c>
      <c r="C2" s="233"/>
      <c r="D2" s="233"/>
      <c r="E2" s="233"/>
      <c r="F2" s="233"/>
      <c r="G2" s="49"/>
      <c r="H2" s="48" t="str">
        <f>每日组合!G2</f>
        <v>上周五/本周初</v>
      </c>
      <c r="I2" s="48">
        <f ca="1">每日组合!H2</f>
        <v>46295</v>
      </c>
      <c r="J2" s="48">
        <f ca="1">每日组合!I2</f>
        <v>46303</v>
      </c>
    </row>
    <row r="3" spans="1:11" ht="14.5">
      <c r="A3" s="212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46303</v>
      </c>
      <c r="J3" s="48"/>
    </row>
    <row r="4" spans="1:11" ht="20.149999999999999" customHeight="1">
      <c r="A4" s="212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46304</v>
      </c>
      <c r="J4" s="48">
        <f ca="1">每日组合!I4</f>
        <v>46303</v>
      </c>
      <c r="K4" s="48">
        <f ca="1">每日组合!J4</f>
        <v>46295</v>
      </c>
    </row>
    <row r="5" spans="1:11" ht="20.149999999999999" customHeight="1">
      <c r="A5" s="212"/>
      <c r="B5" s="145" t="s">
        <v>369</v>
      </c>
      <c r="C5" s="143">
        <f ca="1">每日组合!B8</f>
        <v>-2.2005707726369117E-5</v>
      </c>
      <c r="D5" s="143">
        <f ca="1">每日组合!C8</f>
        <v>-1.9100001250502707E-3</v>
      </c>
      <c r="E5" s="143">
        <f ca="1">每日组合!D8</f>
        <v>-3.1930668630510972E-3</v>
      </c>
      <c r="F5" s="144">
        <f>每日组合!E8</f>
        <v>46282</v>
      </c>
      <c r="G5" s="38"/>
    </row>
    <row r="6" spans="1:11" ht="20.149999999999999" customHeight="1">
      <c r="A6" s="212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371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46283</v>
      </c>
    </row>
    <row r="8" spans="1:11" ht="20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-9.1907644026002992E-3</v>
      </c>
      <c r="E8" s="143">
        <f ca="1">[1]!thsiFinD("ths_adjustment_nvg_ratio_fund",$A8,$H$7,$I$4,101)/100</f>
        <v>-2.6967528893781002E-2</v>
      </c>
      <c r="F8" s="143">
        <v>2.5000000000000001E-2</v>
      </c>
      <c r="G8" s="39"/>
    </row>
    <row r="9" spans="1:11" ht="20" customHeight="1">
      <c r="A9" s="45" t="s">
        <v>372</v>
      </c>
      <c r="B9" s="146" t="str">
        <f>[1]!thsiFinD("ths_fund_short_name_fund",A9)</f>
        <v>嘉实中证500指数增强C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-2.5130955350461E-2</v>
      </c>
      <c r="E9" s="143">
        <f ca="1">[1]!thsiFinD("ths_adjustment_nvg_ratio_fund",$A9,$H$7,$I$4,101)/100</f>
        <v>-5.5978260869565005E-2</v>
      </c>
      <c r="F9" s="143">
        <v>1.2500000000000001E-2</v>
      </c>
      <c r="G9" s="39"/>
    </row>
    <row r="10" spans="1:11" ht="20" customHeight="1">
      <c r="A10" s="45" t="s">
        <v>373</v>
      </c>
      <c r="B10" s="146" t="str">
        <f>[1]!thsiFinD("ths_fund_short_name_fund",A10)</f>
        <v>博道中证500指数增强C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-1.6455541536508002E-2</v>
      </c>
      <c r="E10" s="143">
        <f ca="1">[1]!thsiFinD("ths_adjustment_nvg_ratio_fund",$A10,$H$7,$I$4,101)/100</f>
        <v>-4.0491138827699003E-2</v>
      </c>
      <c r="F10" s="143">
        <v>1.2500000000000001E-2</v>
      </c>
      <c r="G10" s="39"/>
    </row>
    <row r="11" spans="1:11" ht="20" customHeight="1">
      <c r="A11" s="45" t="s">
        <v>374</v>
      </c>
      <c r="B11" s="146" t="str">
        <f>[1]!thsiFinD("ths_fund_short_name_fund",A11)</f>
        <v>汇添富中证1000指数增强C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-2.0800675268298999E-2</v>
      </c>
      <c r="E11" s="143">
        <f ca="1">[1]!thsiFinD("ths_adjustment_nvg_ratio_fund",$A11,$H$7,$I$4,101)/100</f>
        <v>-4.3070940372377998E-2</v>
      </c>
      <c r="F11" s="143">
        <v>1.2500000000000001E-2</v>
      </c>
      <c r="G11" s="39"/>
    </row>
    <row r="12" spans="1:11" ht="20" customHeight="1">
      <c r="A12" s="45" t="s">
        <v>40</v>
      </c>
      <c r="B12" s="146" t="str">
        <f>[1]!thsiFinD("ths_fund_short_name_fund",A12)</f>
        <v>天弘中证1000指数增强C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-1.9199457259158999E-2</v>
      </c>
      <c r="E12" s="143">
        <f ca="1">[1]!thsiFinD("ths_adjustment_nvg_ratio_fund",$A12,$H$7,$I$4,101)/100</f>
        <v>-4.1312997347479993E-2</v>
      </c>
      <c r="F12" s="143">
        <v>1.2500000000000001E-2</v>
      </c>
      <c r="G12" s="39"/>
    </row>
    <row r="13" spans="1:11" ht="20" customHeight="1">
      <c r="A13" s="45" t="s">
        <v>50</v>
      </c>
      <c r="B13" s="146" t="str">
        <f>[1]!thsiFinD("ths_fund_short_name_fund",A13)</f>
        <v>华泰柏瑞中证2000指数增强C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-1.4151693432978001E-2</v>
      </c>
      <c r="E13" s="143">
        <f ca="1">[1]!thsiFinD("ths_adjustment_nvg_ratio_fund",$A13,$H$7,$I$4,101)/100</f>
        <v>-2.0175946899858001E-2</v>
      </c>
      <c r="F13" s="143">
        <v>1.2500000000000001E-2</v>
      </c>
      <c r="G13" s="39"/>
    </row>
    <row r="14" spans="1:11" ht="20" customHeight="1">
      <c r="A14" s="45" t="s">
        <v>375</v>
      </c>
      <c r="B14" s="146" t="str">
        <f>[1]!thsiFinD("ths_fund_short_name_fund",A14)</f>
        <v>招商中证2000指数增强C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-1.2809426007999001E-2</v>
      </c>
      <c r="E14" s="143">
        <f ca="1">[1]!thsiFinD("ths_adjustment_nvg_ratio_fund",$A14,$H$7,$I$4,101)/100</f>
        <v>-2.1535329726254999E-2</v>
      </c>
      <c r="F14" s="143">
        <v>1.2500000000000001E-2</v>
      </c>
      <c r="G14" s="39"/>
    </row>
    <row r="15" spans="1:11" ht="20" customHeight="1">
      <c r="A15" s="45" t="s">
        <v>376</v>
      </c>
      <c r="B15" s="146" t="str">
        <f>[1]!thsiFinD("ths_fund_short_name_fund",A15)</f>
        <v>嘉实价值优势混合A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1.7123287820635998E-3</v>
      </c>
      <c r="E15" s="143">
        <f ca="1">[1]!thsiFinD("ths_adjustment_nvg_ratio_fund",$A15,$H$7,$I$4,101)/100</f>
        <v>5.1546391926262005E-3</v>
      </c>
      <c r="F15" s="143">
        <v>5.0000000000000001E-3</v>
      </c>
      <c r="G15" s="39"/>
    </row>
    <row r="16" spans="1:11" ht="20" customHeight="1">
      <c r="A16" s="45" t="s">
        <v>377</v>
      </c>
      <c r="B16" s="146" t="str">
        <f>[1]!thsiFinD("ths_fund_short_name_fund",A16)</f>
        <v>民生加银优选股票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8.280887727231E-3</v>
      </c>
      <c r="E16" s="143">
        <f ca="1">[1]!thsiFinD("ths_adjustment_nvg_ratio_fund",$A16,$H$7,$I$4,101)/100</f>
        <v>5.7490253009074002E-3</v>
      </c>
      <c r="F16" s="143">
        <v>5.0000000000000001E-3</v>
      </c>
      <c r="G16" s="39"/>
    </row>
    <row r="17" spans="1:7" ht="20" customHeight="1">
      <c r="A17" s="45" t="s">
        <v>378</v>
      </c>
      <c r="B17" s="146" t="str">
        <f>[1]!thsiFinD("ths_fund_short_name_fund",A17)</f>
        <v>大成竞争优势混合A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-8.6429185315827998E-3</v>
      </c>
      <c r="E17" s="143">
        <f ca="1">[1]!thsiFinD("ths_adjustment_nvg_ratio_fund",$A17,$H$7,$I$4,101)/100</f>
        <v>9.4816687714184E-3</v>
      </c>
      <c r="F17" s="143">
        <v>5.0000000000000001E-3</v>
      </c>
      <c r="G17" s="39"/>
    </row>
    <row r="18" spans="1:7" ht="20" customHeight="1">
      <c r="A18" s="45" t="s">
        <v>379</v>
      </c>
      <c r="B18" s="146" t="str">
        <f>[1]!thsiFinD("ths_fund_short_name_fund",A18)</f>
        <v>国投瑞银瑞源混合A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-4.3724949212605004E-3</v>
      </c>
      <c r="E18" s="143">
        <f ca="1">[1]!thsiFinD("ths_adjustment_nvg_ratio_fund",$A18,$H$7,$I$4,101)/100</f>
        <v>-1.1039011409001001E-2</v>
      </c>
      <c r="F18" s="143">
        <v>5.0000000000000001E-3</v>
      </c>
      <c r="G18" s="39"/>
    </row>
    <row r="19" spans="1:7" ht="20" customHeight="1">
      <c r="A19" s="45" t="s">
        <v>380</v>
      </c>
      <c r="B19" s="146" t="str">
        <f>[1]!thsiFinD("ths_fund_short_name_fund",A19)</f>
        <v>华泰柏瑞中证红利低波动ETF联接A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1.0783477503717999E-2</v>
      </c>
      <c r="E19" s="143">
        <f ca="1">[1]!thsiFinD("ths_adjustment_nvg_ratio_fund",$A19,$H$7,$I$4,101)/100</f>
        <v>2.1173139625571002E-2</v>
      </c>
      <c r="F19" s="143">
        <v>0.06</v>
      </c>
      <c r="G19" s="39"/>
    </row>
    <row r="20" spans="1:7" ht="20" customHeight="1">
      <c r="A20" s="45" t="s">
        <v>381</v>
      </c>
      <c r="B20" s="146" t="str">
        <f>[1]!thsiFinD("ths_fund_short_name_fund",A20)</f>
        <v>天弘中证红利低波动100ETF联接A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6.4734708199748001E-3</v>
      </c>
      <c r="E20" s="143">
        <f ca="1">[1]!thsiFinD("ths_adjustment_nvg_ratio_fund",$A20,$H$7,$I$4,101)/100</f>
        <v>1.7990453996253999E-2</v>
      </c>
      <c r="F20" s="143">
        <v>0.02</v>
      </c>
      <c r="G20" s="39"/>
    </row>
    <row r="21" spans="1:7" ht="20" customHeight="1">
      <c r="A21" s="45" t="s">
        <v>349</v>
      </c>
      <c r="B21" s="146" t="str">
        <f>[1]!thsiFinD("ths_fund_short_name_fund",A21)</f>
        <v>嘉实中债3-5年国开行债券指数A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-9.5492773457086003E-5</v>
      </c>
      <c r="E21" s="143">
        <f ca="1">[1]!thsiFinD("ths_adjustment_nvg_ratio_fund",$A21,$H$7,$I$4,101)/100</f>
        <v>1.3388160527303E-3</v>
      </c>
      <c r="F21" s="143">
        <v>0.2</v>
      </c>
      <c r="G21" s="50"/>
    </row>
    <row r="22" spans="1:7" ht="20" customHeight="1">
      <c r="A22" s="45" t="s">
        <v>348</v>
      </c>
      <c r="B22" s="146" t="str">
        <f>[1]!thsiFinD("ths_fund_short_name_fund",A22)</f>
        <v>广发中债7-10年期国开行债券指数A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-7.2155293159887997E-5</v>
      </c>
      <c r="E22" s="143">
        <f ca="1">[1]!thsiFinD("ths_adjustment_nvg_ratio_fund",$A22,$H$7,$I$4,101)/100</f>
        <v>2.0245841985603997E-3</v>
      </c>
      <c r="F22" s="143">
        <v>0.2</v>
      </c>
      <c r="G22" s="50"/>
    </row>
    <row r="23" spans="1:7" ht="20" customHeight="1">
      <c r="A23" s="45" t="s">
        <v>51</v>
      </c>
      <c r="B23" s="146" t="str">
        <f>[1]!thsiFinD("ths_fund_short_name_fund",A23)</f>
        <v>易方达中债新综合债券指数发起式(LOF)A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-5.5306675515728995E-5</v>
      </c>
      <c r="E23" s="143">
        <f ca="1">[1]!thsiFinD("ths_adjustment_nvg_ratio_fund",$A23,$H$7,$I$4,101)/100</f>
        <v>2.2172949002217E-3</v>
      </c>
      <c r="F23" s="143">
        <v>0.3</v>
      </c>
      <c r="G23" s="50"/>
    </row>
    <row r="24" spans="1:7" ht="20" customHeight="1">
      <c r="A24" s="45" t="s">
        <v>382</v>
      </c>
      <c r="B24" s="146" t="str">
        <f>[1]!thsiFinD("ths_fund_short_name_fund",A24)</f>
        <v>嘉实上海金ETF发起式联接A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-1.8294972906272002E-2</v>
      </c>
      <c r="E24" s="143">
        <f ca="1">[1]!thsiFinD("ths_adjustment_nvg_ratio_fund",$A24,$H$7,$I$4,101)/100</f>
        <v>-4.6084871233448003E-2</v>
      </c>
      <c r="F24" s="143">
        <v>0.05</v>
      </c>
      <c r="G24" s="50"/>
    </row>
    <row r="25" spans="1:7" ht="20" customHeight="1">
      <c r="A25" s="45" t="s">
        <v>30</v>
      </c>
      <c r="B25" s="146" t="str">
        <f>[1]!thsiFinD("ths_fund_short_name_fund",A25)</f>
        <v>嘉实快线货币A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3.3129940343092002E-5</v>
      </c>
      <c r="E25" s="143">
        <f ca="1">[1]!thsiFinD("ths_adjustment_nvg_ratio_fund",$A25,$H$7,$I$4,101)/100</f>
        <v>7.0653759913042998E-4</v>
      </c>
      <c r="F25" s="143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8:E25 C5:E5">
    <cfRule type="cellIs" dxfId="36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I24" sqref="I24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242</v>
      </c>
      <c r="C1" s="230"/>
      <c r="D1" s="230"/>
      <c r="E1" s="232" t="str">
        <f ca="1">每日组合!D1</f>
        <v>更新日期：2026-10-09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347</v>
      </c>
      <c r="C2" s="233"/>
      <c r="D2" s="233"/>
      <c r="E2" s="233"/>
      <c r="F2" s="233"/>
      <c r="G2" s="49"/>
      <c r="H2" s="48" t="str">
        <f>每日组合!G2</f>
        <v>上周五/本周初</v>
      </c>
      <c r="I2" s="48">
        <f ca="1">每日组合!H2</f>
        <v>46295</v>
      </c>
      <c r="J2" s="48">
        <f ca="1">每日组合!I2</f>
        <v>46303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46303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46304</v>
      </c>
      <c r="J4" s="48">
        <f ca="1">每日组合!I4</f>
        <v>46303</v>
      </c>
      <c r="K4" s="48">
        <f ca="1">每日组合!J4</f>
        <v>46295</v>
      </c>
    </row>
    <row r="5" spans="1:11" ht="20.149999999999999" customHeight="1">
      <c r="A5" s="34"/>
      <c r="B5" s="145" t="s">
        <v>200</v>
      </c>
      <c r="C5" s="143">
        <f ca="1">每日组合!B10</f>
        <v>-3.3075018034844916E-5</v>
      </c>
      <c r="D5" s="143">
        <f ca="1">每日组合!C10</f>
        <v>-1.189218259580449E-2</v>
      </c>
      <c r="E5" s="143">
        <f ca="1">每日组合!D10</f>
        <v>-6.6274013306314772E-2</v>
      </c>
      <c r="F5" s="144">
        <f>每日组合!E10</f>
        <v>46197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199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46198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-9.1907644026002992E-3</v>
      </c>
      <c r="E8" s="143">
        <f ca="1">[1]!thsiFinD("ths_adjustment_nvg_ratio_fund",$A8,$H$7,$I$4,101)/100</f>
        <v>-8.7201197790283E-2</v>
      </c>
      <c r="F8" s="143">
        <v>3.7499999999999999E-2</v>
      </c>
      <c r="G8" s="39"/>
    </row>
    <row r="9" spans="1:11" ht="20.149999999999999" customHeight="1">
      <c r="A9" s="45" t="s">
        <v>42</v>
      </c>
      <c r="B9" s="146" t="str">
        <f>[1]!thsiFinD("ths_fund_short_name_fund",A9)</f>
        <v>中欧中证500指数增强C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-2.2209766692356001E-2</v>
      </c>
      <c r="E9" s="143">
        <f ca="1">[1]!thsiFinD("ths_adjustment_nvg_ratio_fund",$A9,$H$7,$I$4,101)/100</f>
        <v>-0.13926236585667001</v>
      </c>
      <c r="F9" s="143">
        <v>3.7499999999999999E-2</v>
      </c>
      <c r="G9" s="39"/>
    </row>
    <row r="10" spans="1:11" ht="20.149999999999999" customHeight="1">
      <c r="A10" s="45" t="s">
        <v>40</v>
      </c>
      <c r="B10" s="146" t="str">
        <f>[1]!thsiFinD("ths_fund_short_name_fund",A10)</f>
        <v>天弘中证1000指数增强C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-1.9199457259158999E-2</v>
      </c>
      <c r="E10" s="143">
        <f ca="1">[1]!thsiFinD("ths_adjustment_nvg_ratio_fund",$A10,$H$7,$I$4,101)/100</f>
        <v>-0.14883720930232999</v>
      </c>
      <c r="F10" s="143">
        <v>3.7499999999999999E-2</v>
      </c>
      <c r="G10" s="39"/>
    </row>
    <row r="11" spans="1:11" ht="20.149999999999999" customHeight="1">
      <c r="A11" s="45" t="s">
        <v>50</v>
      </c>
      <c r="B11" s="146" t="str">
        <f>[1]!thsiFinD("ths_fund_short_name_fund",A11)</f>
        <v>华泰柏瑞中证2000指数增强C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-1.4151693432978001E-2</v>
      </c>
      <c r="E11" s="143">
        <f ca="1">[1]!thsiFinD("ths_adjustment_nvg_ratio_fund",$A11,$H$7,$I$4,101)/100</f>
        <v>-0.11877576159567999</v>
      </c>
      <c r="F11" s="143">
        <v>3.7499999999999999E-2</v>
      </c>
      <c r="G11" s="39"/>
    </row>
    <row r="12" spans="1:11" ht="20.149999999999999" customHeight="1">
      <c r="A12" s="45" t="s">
        <v>46</v>
      </c>
      <c r="B12" s="146" t="str">
        <f>[1]!thsiFinD("ths_fund_short_name_fund",A12)</f>
        <v>宏利复兴伟业混合C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-5.4028436018957002E-2</v>
      </c>
      <c r="E12" s="143">
        <f ca="1">[1]!thsiFinD("ths_adjustment_nvg_ratio_fund",$A12,$H$7,$I$4,101)/100</f>
        <v>-0.34027433482069003</v>
      </c>
      <c r="F12" s="143">
        <v>3.5000000000000003E-2</v>
      </c>
      <c r="G12" s="39"/>
    </row>
    <row r="13" spans="1:11" ht="20.149999999999999" customHeight="1">
      <c r="A13" s="45" t="s">
        <v>45</v>
      </c>
      <c r="B13" s="146" t="str">
        <f>[1]!thsiFinD("ths_fund_short_name_fund",A13)</f>
        <v>嘉实信息产业股票发起式C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-7.3671760714619006E-2</v>
      </c>
      <c r="E13" s="143">
        <f ca="1">[1]!thsiFinD("ths_adjustment_nvg_ratio_fund",$A13,$H$7,$I$4,101)/100</f>
        <v>-0.32630101636597997</v>
      </c>
      <c r="F13" s="143">
        <v>3.5000000000000003E-2</v>
      </c>
      <c r="G13" s="39"/>
    </row>
    <row r="14" spans="1:11" ht="20.149999999999999" customHeight="1">
      <c r="A14" s="45" t="s">
        <v>36</v>
      </c>
      <c r="B14" s="146" t="str">
        <f>[1]!thsiFinD("ths_fund_short_name_fund",A14)</f>
        <v>嘉实前沿创新混合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-4.0539922214596E-2</v>
      </c>
      <c r="E14" s="143">
        <f ca="1">[1]!thsiFinD("ths_adjustment_nvg_ratio_fund",$A14,$H$7,$I$4,101)/100</f>
        <v>-0.31314487863997997</v>
      </c>
      <c r="F14" s="143">
        <v>0.03</v>
      </c>
      <c r="G14" s="39"/>
    </row>
    <row r="15" spans="1:11" ht="20.149999999999999" customHeight="1">
      <c r="A15" s="45" t="s">
        <v>38</v>
      </c>
      <c r="B15" s="146" t="str">
        <f>[1]!thsiFinD("ths_fund_short_name_fund",A15)</f>
        <v>银华集成电路混合C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-4.1587502638801004E-2</v>
      </c>
      <c r="E15" s="143">
        <f ca="1">[1]!thsiFinD("ths_adjustment_nvg_ratio_fund",$A15,$H$7,$I$4,101)/100</f>
        <v>-0.18016011557214001</v>
      </c>
      <c r="F15" s="143">
        <v>2.5000000000000001E-2</v>
      </c>
      <c r="G15" s="39"/>
    </row>
    <row r="16" spans="1:11" ht="20.149999999999999" customHeight="1">
      <c r="A16" s="45" t="s">
        <v>60</v>
      </c>
      <c r="B16" s="146" t="str">
        <f>[1]!thsiFinD("ths_fund_short_name_fund",A16)</f>
        <v>宏利领先中小盘混合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-4.3612334801761993E-2</v>
      </c>
      <c r="E16" s="143">
        <f ca="1">[1]!thsiFinD("ths_adjustment_nvg_ratio_fund",$A16,$H$7,$I$4,101)/100</f>
        <v>-0.17546524876566999</v>
      </c>
      <c r="F16" s="143">
        <v>2.5000000000000001E-2</v>
      </c>
      <c r="G16" s="39"/>
    </row>
    <row r="17" spans="1:7" ht="20.149999999999999" customHeight="1">
      <c r="A17" s="45" t="s">
        <v>349</v>
      </c>
      <c r="B17" s="146" t="str">
        <f>[1]!thsiFinD("ths_fund_short_name_fund",A17)</f>
        <v>嘉实中债3-5年国开行债券指数A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-9.5492773457086003E-5</v>
      </c>
      <c r="E17" s="143">
        <f ca="1">[1]!thsiFinD("ths_adjustment_nvg_ratio_fund",$A17,$H$7,$I$4,101)/100</f>
        <v>6.6142676873050003E-3</v>
      </c>
      <c r="F17" s="143">
        <v>0.1</v>
      </c>
      <c r="G17" s="39"/>
    </row>
    <row r="18" spans="1:7" ht="20.149999999999999" customHeight="1">
      <c r="A18" s="45" t="s">
        <v>348</v>
      </c>
      <c r="B18" s="146" t="str">
        <f>[1]!thsiFinD("ths_fund_short_name_fund",A18)</f>
        <v>广发中债7-10年期国开行债券指数A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-7.2155293159887997E-5</v>
      </c>
      <c r="E18" s="143">
        <f ca="1">[1]!thsiFinD("ths_adjustment_nvg_ratio_fund",$A18,$H$7,$I$4,101)/100</f>
        <v>9.6903460478578989E-3</v>
      </c>
      <c r="F18" s="143">
        <v>0.1</v>
      </c>
      <c r="G18" s="39"/>
    </row>
    <row r="19" spans="1:7" ht="20.149999999999999" customHeight="1">
      <c r="A19" s="45" t="s">
        <v>51</v>
      </c>
      <c r="B19" s="146" t="str">
        <f>[1]!thsiFinD("ths_fund_short_name_fund",A19)</f>
        <v>易方达中债新综合债券指数发起式(LOF)A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-5.5306675515728995E-5</v>
      </c>
      <c r="E19" s="143">
        <f ca="1">[1]!thsiFinD("ths_adjustment_nvg_ratio_fund",$A19,$H$7,$I$4,101)/100</f>
        <v>1.2204680326951E-2</v>
      </c>
      <c r="F19" s="143">
        <v>0.3</v>
      </c>
      <c r="G19" s="39"/>
    </row>
    <row r="20" spans="1:7" ht="20.149999999999999" customHeight="1">
      <c r="A20" s="45" t="s">
        <v>29</v>
      </c>
      <c r="B20" s="146" t="str">
        <f>[1]!thsiFinD("ths_fund_short_name_fund",A20)</f>
        <v>华安易富黄金ETF联接A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-1.6582161420963998E-2</v>
      </c>
      <c r="E20" s="143">
        <f ca="1">[1]!thsiFinD("ths_adjustment_nvg_ratio_fund",$A20,$H$7,$I$4,101)/100</f>
        <v>-4.6798347534210997E-3</v>
      </c>
      <c r="F20" s="143">
        <v>0.1</v>
      </c>
      <c r="G20" s="39"/>
    </row>
    <row r="21" spans="1:7" ht="20.149999999999999" customHeight="1">
      <c r="A21" s="45" t="s">
        <v>30</v>
      </c>
      <c r="B21" s="146" t="str">
        <f>[1]!thsiFinD("ths_fund_short_name_fund",A21)</f>
        <v>嘉实快线货币A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3.3129940343092002E-5</v>
      </c>
      <c r="E21" s="143">
        <f ca="1">[1]!thsiFinD("ths_adjustment_nvg_ratio_fund",$A21,$H$7,$I$4,101)/100</f>
        <v>3.5774134973247003E-3</v>
      </c>
      <c r="F21" s="143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5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H29" sqref="H2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241</v>
      </c>
      <c r="C1" s="230"/>
      <c r="D1" s="230"/>
      <c r="E1" s="232" t="str">
        <f ca="1">每日组合!D1</f>
        <v>更新日期：2026-10-09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346</v>
      </c>
      <c r="C2" s="234"/>
      <c r="D2" s="234"/>
      <c r="E2" s="234"/>
      <c r="F2" s="234"/>
      <c r="G2" s="49"/>
      <c r="H2" s="48" t="str">
        <f>每日组合!G2</f>
        <v>上周五/本周初</v>
      </c>
      <c r="I2" s="48">
        <f ca="1">每日组合!H2</f>
        <v>46295</v>
      </c>
      <c r="J2" s="48">
        <f ca="1">每日组合!I2</f>
        <v>46303</v>
      </c>
    </row>
    <row r="3" spans="1:11" ht="17">
      <c r="A3" s="34"/>
      <c r="B3" s="135" t="s">
        <v>181</v>
      </c>
      <c r="C3" s="136"/>
      <c r="D3" s="136"/>
      <c r="E3" s="136"/>
      <c r="F3" s="136"/>
      <c r="G3" s="33"/>
      <c r="H3" s="48" t="str">
        <f>每日组合!G3</f>
        <v>上一个交易日</v>
      </c>
      <c r="I3" s="48">
        <f ca="1">每日组合!H3</f>
        <v>46303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46304</v>
      </c>
      <c r="J4" s="48">
        <f ca="1">每日组合!I4</f>
        <v>46303</v>
      </c>
      <c r="K4" s="48">
        <f ca="1">每日组合!J4</f>
        <v>46295</v>
      </c>
    </row>
    <row r="5" spans="1:11" ht="20.149999999999999" customHeight="1">
      <c r="A5" s="34"/>
      <c r="B5" s="142" t="s">
        <v>175</v>
      </c>
      <c r="C5" s="143">
        <f ca="1">每日组合!B12</f>
        <v>-3.3075018034844916E-5</v>
      </c>
      <c r="D5" s="143">
        <f ca="1">每日组合!C12</f>
        <v>-5.1912753523152388E-2</v>
      </c>
      <c r="E5" s="143">
        <f ca="1">每日组合!D12</f>
        <v>-0.2490921654489231</v>
      </c>
      <c r="F5" s="144">
        <f>每日组合!E12</f>
        <v>46191</v>
      </c>
      <c r="G5" s="38"/>
    </row>
    <row r="6" spans="1:11" ht="20.149999999999999" customHeight="1">
      <c r="A6" s="34"/>
      <c r="B6" s="142" t="s">
        <v>176</v>
      </c>
      <c r="C6" s="143">
        <f ca="1">每日组合!B13</f>
        <v>-4.1406369609475746E-5</v>
      </c>
      <c r="D6" s="143">
        <f ca="1">每日组合!C13</f>
        <v>-5.1897010875740057E-2</v>
      </c>
      <c r="E6" s="143">
        <f ca="1">每日组合!D13</f>
        <v>-0.26639481898860506</v>
      </c>
      <c r="F6" s="144">
        <f>每日组合!E13</f>
        <v>46195</v>
      </c>
      <c r="G6" s="38"/>
    </row>
    <row r="7" spans="1:11" ht="20.149999999999999" customHeight="1">
      <c r="A7" s="34"/>
      <c r="B7" s="142" t="s">
        <v>177</v>
      </c>
      <c r="C7" s="143">
        <f ca="1">每日组合!B14</f>
        <v>-4.1406369609475746E-5</v>
      </c>
      <c r="D7" s="143">
        <f ca="1">每日组合!C14</f>
        <v>-4.5766704344077369E-2</v>
      </c>
      <c r="E7" s="143">
        <f ca="1">每日组合!D14</f>
        <v>-0.25213502009932065</v>
      </c>
      <c r="F7" s="144">
        <f>每日组合!E14</f>
        <v>46197</v>
      </c>
      <c r="G7" s="38"/>
    </row>
    <row r="8" spans="1:11" ht="20.149999999999999" customHeight="1">
      <c r="A8" s="34"/>
      <c r="B8" s="135" t="s">
        <v>182</v>
      </c>
      <c r="C8" s="179"/>
      <c r="D8" s="179"/>
      <c r="E8" s="179"/>
      <c r="F8" s="136"/>
      <c r="G8" s="33"/>
    </row>
    <row r="9" spans="1:11" ht="20.149999999999999" customHeight="1">
      <c r="A9" s="43" t="s">
        <v>28</v>
      </c>
      <c r="B9" s="137" t="s">
        <v>187</v>
      </c>
      <c r="C9" s="180" t="s">
        <v>232</v>
      </c>
      <c r="D9" s="180" t="s">
        <v>186</v>
      </c>
      <c r="E9" s="180" t="s">
        <v>193</v>
      </c>
      <c r="F9" s="137" t="s">
        <v>185</v>
      </c>
      <c r="G9" s="46"/>
      <c r="H9" s="48">
        <v>46195</v>
      </c>
    </row>
    <row r="10" spans="1:11" ht="20.149999999999999" customHeight="1">
      <c r="A10" s="45" t="s">
        <v>31</v>
      </c>
      <c r="B10" s="142" t="s">
        <v>236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-5.4136395594093993E-2</v>
      </c>
      <c r="E10" s="143">
        <f ca="1">[1]!thsiFinD("ths_adjustment_nvg_ratio_fund",$A10,$H$9,$I$4,101)/100</f>
        <v>-0.33421313097987004</v>
      </c>
      <c r="F10" s="143">
        <v>0.16609499999999999</v>
      </c>
      <c r="G10" s="39"/>
    </row>
    <row r="11" spans="1:11" ht="20.149999999999999" customHeight="1">
      <c r="A11" s="45" t="s">
        <v>44</v>
      </c>
      <c r="B11" s="142" t="s">
        <v>237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-7.3526278949451004E-2</v>
      </c>
      <c r="E11" s="143">
        <f ca="1">[1]!thsiFinD("ths_adjustment_nvg_ratio_fund",$A11,$H$9,$I$4,101)/100</f>
        <v>-0.30596844792997002</v>
      </c>
      <c r="F11" s="143">
        <v>0.173431</v>
      </c>
      <c r="G11" s="39"/>
    </row>
    <row r="12" spans="1:11" ht="20.149999999999999" customHeight="1">
      <c r="A12" s="45" t="s">
        <v>43</v>
      </c>
      <c r="B12" s="142" t="s">
        <v>238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-7.5628122511041992E-2</v>
      </c>
      <c r="E12" s="143">
        <f ca="1">[1]!thsiFinD("ths_adjustment_nvg_ratio_fund",$A12,$H$9,$I$4,101)/100</f>
        <v>-0.29858249546728</v>
      </c>
      <c r="F12" s="143">
        <v>0.16384899999999999</v>
      </c>
      <c r="G12" s="39"/>
    </row>
    <row r="13" spans="1:11" ht="20.149999999999999" customHeight="1">
      <c r="A13" s="45" t="s">
        <v>37</v>
      </c>
      <c r="B13" s="142" t="s">
        <v>239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-4.1502596090184002E-2</v>
      </c>
      <c r="E13" s="143">
        <f ca="1">[1]!thsiFinD("ths_adjustment_nvg_ratio_fund",$A13,$H$9,$I$4,101)/100</f>
        <v>-9.2301092301092E-2</v>
      </c>
      <c r="F13" s="143">
        <v>0.24542900000000001</v>
      </c>
      <c r="G13" s="39"/>
    </row>
    <row r="14" spans="1:11" ht="20.149999999999999" customHeight="1">
      <c r="A14" s="45" t="s">
        <v>184</v>
      </c>
      <c r="B14" s="142" t="s">
        <v>183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-4.3612334801761993E-2</v>
      </c>
      <c r="E14" s="143">
        <f ca="1">[1]!thsiFinD("ths_adjustment_nvg_ratio_fund",$A14,$H$9,$I$4,101)/100</f>
        <v>-9.1631799163180011E-2</v>
      </c>
      <c r="F14" s="143">
        <v>7.0000000000000007E-2</v>
      </c>
      <c r="G14" s="39"/>
    </row>
    <row r="15" spans="1:11" ht="20.149999999999999" customHeight="1">
      <c r="A15" s="45" t="s">
        <v>47</v>
      </c>
      <c r="B15" s="146" t="s">
        <v>230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-2.7793685335777002E-2</v>
      </c>
      <c r="E15" s="143">
        <f ca="1">[1]!thsiFinD("ths_adjustment_nvg_ratio_fund",$A15,$H$9,$I$4,101)/100</f>
        <v>-0.14884016311251</v>
      </c>
      <c r="F15" s="143">
        <v>0.135904</v>
      </c>
      <c r="G15" s="39"/>
    </row>
    <row r="16" spans="1:11" ht="20.149999999999999" customHeight="1">
      <c r="A16" s="45" t="s">
        <v>30</v>
      </c>
      <c r="B16" s="142" t="s">
        <v>240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3.3129940343092002E-5</v>
      </c>
      <c r="E16" s="143">
        <f ca="1">[1]!thsiFinD("ths_adjustment_nvg_ratio_fund",$A16,$H$9,$I$4,101)/100</f>
        <v>3.6889351326533999E-3</v>
      </c>
      <c r="F16" s="143">
        <v>4.5292000000000006E-2</v>
      </c>
      <c r="G16" s="39"/>
    </row>
    <row r="17" spans="1:8" ht="20.149999999999999" customHeight="1">
      <c r="A17" s="43" t="s">
        <v>28</v>
      </c>
      <c r="B17" s="137" t="s">
        <v>189</v>
      </c>
      <c r="C17" s="180" t="str">
        <f>C9</f>
        <v>日涨跌</v>
      </c>
      <c r="D17" s="180" t="str">
        <f>D9</f>
        <v>本周以来</v>
      </c>
      <c r="E17" s="180" t="str">
        <f>E9</f>
        <v>上线以来</v>
      </c>
      <c r="F17" s="180" t="s">
        <v>185</v>
      </c>
      <c r="G17" s="148"/>
      <c r="H17" s="48">
        <v>46198</v>
      </c>
    </row>
    <row r="18" spans="1:8" ht="20.149999999999999" customHeight="1">
      <c r="A18" s="45" t="s">
        <v>46</v>
      </c>
      <c r="B18" s="146" t="s">
        <v>190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-5.4028436018957002E-2</v>
      </c>
      <c r="E18" s="143">
        <f ca="1">[1]!thsiFinD("ths_adjustment_nvg_ratio_fund",$A18,$H$17,$I$4,101)/100</f>
        <v>-0.34027433482069003</v>
      </c>
      <c r="F18" s="143">
        <v>0.16403400000000001</v>
      </c>
      <c r="G18" s="39"/>
    </row>
    <row r="19" spans="1:8" ht="20.149999999999999" customHeight="1">
      <c r="A19" s="45" t="s">
        <v>45</v>
      </c>
      <c r="B19" s="146" t="s">
        <v>191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-7.3671760714619006E-2</v>
      </c>
      <c r="E19" s="143">
        <f ca="1">[1]!thsiFinD("ths_adjustment_nvg_ratio_fund",$A19,$H$17,$I$4,101)/100</f>
        <v>-0.32630101636597997</v>
      </c>
      <c r="F19" s="143">
        <v>0.168764</v>
      </c>
      <c r="G19" s="39"/>
    </row>
    <row r="20" spans="1:8" ht="20.149999999999999" customHeight="1">
      <c r="A20" s="45" t="s">
        <v>36</v>
      </c>
      <c r="B20" s="142" t="s">
        <v>188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-4.0539922214596E-2</v>
      </c>
      <c r="E20" s="143">
        <f ca="1">[1]!thsiFinD("ths_adjustment_nvg_ratio_fund",$A20,$H$17,$I$4,101)/100</f>
        <v>-0.31314487863997997</v>
      </c>
      <c r="F20" s="143">
        <v>0.189913</v>
      </c>
      <c r="G20" s="39"/>
    </row>
    <row r="21" spans="1:8" ht="20.149999999999999" customHeight="1">
      <c r="A21" s="45" t="s">
        <v>38</v>
      </c>
      <c r="B21" s="146" t="s">
        <v>192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-4.1587502638801004E-2</v>
      </c>
      <c r="E21" s="143">
        <f ca="1">[1]!thsiFinD("ths_adjustment_nvg_ratio_fund",$A21,$H$17,$I$4,101)/100</f>
        <v>-0.18016011557214001</v>
      </c>
      <c r="F21" s="143">
        <v>0.23432800000000001</v>
      </c>
      <c r="G21" s="39"/>
    </row>
    <row r="22" spans="1:8" ht="20.149999999999999" customHeight="1">
      <c r="A22" s="45" t="s">
        <v>60</v>
      </c>
      <c r="B22" s="142" t="s">
        <v>183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-4.3612334801761993E-2</v>
      </c>
      <c r="E22" s="143">
        <f ca="1">[1]!thsiFinD("ths_adjustment_nvg_ratio_fund",$A22,$H$17,$I$4,101)/100</f>
        <v>-0.17546524876566999</v>
      </c>
      <c r="F22" s="143">
        <v>7.0000000000000007E-2</v>
      </c>
      <c r="G22" s="39"/>
    </row>
    <row r="23" spans="1:8" ht="20.149999999999999" customHeight="1">
      <c r="A23" s="45" t="s">
        <v>48</v>
      </c>
      <c r="B23" s="146" t="s">
        <v>231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-2.7837505759484002E-2</v>
      </c>
      <c r="E23" s="143">
        <f ca="1">[1]!thsiFinD("ths_adjustment_nvg_ratio_fund",$A23,$H$17,$I$4,101)/100</f>
        <v>-0.21225226346411</v>
      </c>
      <c r="F23" s="143">
        <v>0.129189</v>
      </c>
      <c r="G23" s="39"/>
    </row>
    <row r="24" spans="1:8" ht="20.149999999999999" customHeight="1">
      <c r="A24" s="45" t="s">
        <v>30</v>
      </c>
      <c r="B24" s="142" t="s">
        <v>240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3.3129940343092002E-5</v>
      </c>
      <c r="E24" s="143">
        <f ca="1">[1]!thsiFinD("ths_adjustment_nvg_ratio_fund",$A24,$H$17,$I$4,101)/100</f>
        <v>3.5774134973247003E-3</v>
      </c>
      <c r="F24" s="143">
        <v>4.3772000000000005E-2</v>
      </c>
      <c r="G24" s="39"/>
    </row>
    <row r="25" spans="1:8" ht="14">
      <c r="A25" s="45"/>
      <c r="B25" s="44"/>
      <c r="C25" s="39"/>
      <c r="D25" s="39"/>
      <c r="E25" s="39"/>
      <c r="F25" s="39"/>
      <c r="G25" s="39"/>
    </row>
    <row r="26" spans="1:8" ht="14">
      <c r="A26" s="45"/>
      <c r="B26" s="44"/>
      <c r="C26" s="39"/>
      <c r="D26" s="39"/>
      <c r="E26" s="39"/>
      <c r="F26" s="39"/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4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K21" sqref="K21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46295</v>
      </c>
      <c r="C3" s="51">
        <f ca="1">VLOOKUP(B3,实盘组合净值!$A:$S,14,0)</f>
        <v>0.98823707745102929</v>
      </c>
      <c r="D3" s="52"/>
      <c r="E3" s="53"/>
    </row>
    <row r="4" spans="1:11" ht="14.5">
      <c r="B4" s="53">
        <f ca="1">日期页!B3</f>
        <v>46303</v>
      </c>
      <c r="C4" s="51">
        <f ca="1">VLOOKUP(B4,实盘组合净值!$A:$S,14,0)</f>
        <v>0.98376777680813943</v>
      </c>
      <c r="D4" s="52">
        <f ca="1">日期页!B4</f>
        <v>46303</v>
      </c>
      <c r="E4" s="53">
        <f>日期页!B6</f>
        <v>46195</v>
      </c>
      <c r="F4" s="53">
        <f>E4</f>
        <v>46195</v>
      </c>
      <c r="I4" s="70"/>
      <c r="J4" s="228">
        <v>46203</v>
      </c>
    </row>
    <row r="5" spans="1:11" ht="13">
      <c r="B5" s="53">
        <f ca="1">日期页!B2</f>
        <v>46304</v>
      </c>
      <c r="C5" s="51">
        <f ca="1">VLOOKUP(B5,实盘组合净值!$A:$S,14,0)</f>
        <v>0.98375426682658829</v>
      </c>
      <c r="D5" s="52">
        <f ca="1">B5</f>
        <v>46304</v>
      </c>
      <c r="E5" s="53">
        <f ca="1">B5</f>
        <v>46304</v>
      </c>
      <c r="F5" s="53">
        <f ca="1">B5</f>
        <v>46304</v>
      </c>
    </row>
    <row r="6" spans="1:11" ht="25" customHeight="1">
      <c r="A6" s="74" t="s">
        <v>28</v>
      </c>
      <c r="B6" s="149">
        <f ca="1">B5</f>
        <v>46304</v>
      </c>
      <c r="C6" s="149" t="s">
        <v>232</v>
      </c>
      <c r="D6" s="149" t="s">
        <v>186</v>
      </c>
      <c r="E6" s="150" t="s">
        <v>193</v>
      </c>
      <c r="F6" s="150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151" t="s">
        <v>243</v>
      </c>
      <c r="C7" s="152">
        <f ca="1">C5/C4-1</f>
        <v>-1.3732897000351407E-5</v>
      </c>
      <c r="D7" s="152">
        <f ca="1">C5/C3-1</f>
        <v>-4.5361692317834601E-3</v>
      </c>
      <c r="E7" s="152">
        <f ca="1">C5-1</f>
        <v>-1.6245733173411714E-2</v>
      </c>
      <c r="F7" s="152">
        <f>MIN(实盘组合净值!P:P)</f>
        <v>-2.8729069309879618E-2</v>
      </c>
      <c r="I7" s="75" t="s">
        <v>205</v>
      </c>
      <c r="J7" s="76">
        <v>0.1</v>
      </c>
      <c r="K7" s="77" t="s">
        <v>206</v>
      </c>
    </row>
    <row r="8" spans="1:11" ht="25" customHeight="1" thickBot="1">
      <c r="A8" s="181" t="s">
        <v>261</v>
      </c>
      <c r="B8" s="153" t="s">
        <v>276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7.1500064345836009E-5</v>
      </c>
      <c r="E8" s="154">
        <f ca="1">[1]!thsiFinD("ths_adjustment_nvg_ratio_fund",$A8,E$4,E$5,101)/100</f>
        <v>1.6327327641805001E-2</v>
      </c>
      <c r="F8" s="154">
        <f ca="1">-[1]!thsiFinD("ths_max_retrace_rate_all_fund",$A8,F$4,F$5)/100</f>
        <v>-5.0287356246020995E-3</v>
      </c>
      <c r="I8" s="235"/>
      <c r="J8" s="79">
        <f>[1]!thsiFinD("ths_stock_mv_to_fanv_fund",$A8,$J$4)/100</f>
        <v>0.12115928146318</v>
      </c>
      <c r="K8" s="79">
        <f>[1]!thsiFinD("ths_cb_mv_to_fanv_fund",A8,$J$4)/100</f>
        <v>4.9000000000000002E-2</v>
      </c>
    </row>
    <row r="9" spans="1:11" ht="25" customHeight="1" thickBot="1">
      <c r="A9" s="181" t="s">
        <v>262</v>
      </c>
      <c r="B9" s="155" t="s">
        <v>277</v>
      </c>
      <c r="C9" s="156">
        <f ca="1">[1]!thsiFinD("ths_adjustment_nvg_ratio_fund",$A9,B$5,B$5,101)/100</f>
        <v>0</v>
      </c>
      <c r="D9" s="156">
        <f ca="1">[1]!thsiFinD("ths_adjustment_nvg_ratio_fund",$A9,D$4,D$5,101)/100</f>
        <v>1.3138445950642999E-3</v>
      </c>
      <c r="E9" s="156">
        <f ca="1">[1]!thsiFinD("ths_adjustment_nvg_ratio_fund",$A9,E$4,E$5,101)/100</f>
        <v>1.6788037127125999E-2</v>
      </c>
      <c r="F9" s="156">
        <f ca="1">-[1]!thsiFinD("ths_max_retrace_rate_all_fund",$A9,F$4,F$5)/100</f>
        <v>-8.9875173360208001E-3</v>
      </c>
      <c r="I9" s="235"/>
      <c r="J9" s="79">
        <f>[1]!thsiFinD("ths_stock_mv_to_fanv_fund",$A9,$J$4)/100</f>
        <v>0.15757628310713001</v>
      </c>
      <c r="K9" s="79">
        <f>[1]!thsiFinD("ths_cb_mv_to_fanv_fund",A9,$J$4)/100</f>
        <v>1.1000000000000001E-3</v>
      </c>
    </row>
    <row r="10" spans="1:11" ht="25" customHeight="1" thickBot="1">
      <c r="A10" s="181" t="s">
        <v>263</v>
      </c>
      <c r="B10" s="153" t="s">
        <v>278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1.9414962092464E-3</v>
      </c>
      <c r="E10" s="154">
        <f ca="1">[1]!thsiFinD("ths_adjustment_nvg_ratio_fund",$A10,E$4,E$5,101)/100</f>
        <v>3.1750145590369E-3</v>
      </c>
      <c r="F10" s="154">
        <f ca="1">-[1]!thsiFinD("ths_max_retrace_rate_all_fund",$A10,F$4,F$5)/100</f>
        <v>-1.5124095144280002E-2</v>
      </c>
      <c r="I10" s="235"/>
      <c r="J10" s="79">
        <f>[1]!thsiFinD("ths_stock_mv_to_fanv_fund",$A10,$J$4)/100</f>
        <v>0.14024614410384001</v>
      </c>
      <c r="K10" s="79">
        <f>[1]!thsiFinD("ths_cb_mv_to_fanv_fund",A10,$J$4)/100</f>
        <v>0</v>
      </c>
    </row>
    <row r="11" spans="1:11" ht="25" customHeight="1" thickBot="1">
      <c r="A11" s="181" t="s">
        <v>264</v>
      </c>
      <c r="B11" s="155" t="s">
        <v>279</v>
      </c>
      <c r="C11" s="156">
        <f ca="1">[1]!thsiFinD("ths_adjustment_nvg_ratio_fund",$A11,B$5,B$5,101)/100</f>
        <v>0</v>
      </c>
      <c r="D11" s="156">
        <f ca="1">[1]!thsiFinD("ths_adjustment_nvg_ratio_fund",$A11,D$4,D$5,101)/100</f>
        <v>-8.9928055117058999E-4</v>
      </c>
      <c r="E11" s="156">
        <f ca="1">[1]!thsiFinD("ths_adjustment_nvg_ratio_fund",$A11,E$4,E$5,101)/100</f>
        <v>-3.4249368019449999E-3</v>
      </c>
      <c r="F11" s="156">
        <f ca="1">-[1]!thsiFinD("ths_max_retrace_rate_all_fund",$A11,F$4,F$5)/100</f>
        <v>-2.2026787190118E-2</v>
      </c>
      <c r="I11" s="235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265</v>
      </c>
      <c r="B12" s="153" t="s">
        <v>280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-2.1299254516638001E-3</v>
      </c>
      <c r="E12" s="154">
        <f ca="1">[1]!thsiFinD("ths_adjustment_nvg_ratio_fund",$A12,E$4,E$5,101)/100</f>
        <v>-1.7304666987216E-2</v>
      </c>
      <c r="F12" s="154">
        <f ca="1">-[1]!thsiFinD("ths_max_retrace_rate_all_fund",$A12,F$4,F$5)/100</f>
        <v>-2.4530271409826998E-2</v>
      </c>
      <c r="I12" s="235"/>
      <c r="J12" s="79">
        <f>[1]!thsiFinD("ths_stock_mv_to_fanv_fund",$A12,$J$4)/100</f>
        <v>0.14695483536465001</v>
      </c>
      <c r="K12" s="79">
        <f>[1]!thsiFinD("ths_cb_mv_to_fanv_fund",A12,$J$4)/100</f>
        <v>5.5199999999999999E-2</v>
      </c>
    </row>
    <row r="13" spans="1:11" ht="25" customHeight="1" thickBot="1">
      <c r="A13" s="181" t="s">
        <v>266</v>
      </c>
      <c r="B13" s="155" t="s">
        <v>281</v>
      </c>
      <c r="C13" s="156">
        <f ca="1">[1]!thsiFinD("ths_adjustment_nvg_ratio_fund",$A13,B$5,B$5,101)/100</f>
        <v>0</v>
      </c>
      <c r="D13" s="156">
        <f ca="1">[1]!thsiFinD("ths_adjustment_nvg_ratio_fund",$A13,D$4,D$5,101)/100</f>
        <v>-6.0704767580043997E-3</v>
      </c>
      <c r="E13" s="156">
        <f ca="1">[1]!thsiFinD("ths_adjustment_nvg_ratio_fund",$A13,E$4,E$5,101)/100</f>
        <v>-2.0500474218489998E-2</v>
      </c>
      <c r="F13" s="156">
        <f ca="1">-[1]!thsiFinD("ths_max_retrace_rate_all_fund",$A13,F$4,F$5)/100</f>
        <v>-3.9228341946104001E-2</v>
      </c>
      <c r="I13" s="235"/>
      <c r="J13" s="79">
        <f>[1]!thsiFinD("ths_stock_mv_to_fanv_fund",$A13,$J$4)/100</f>
        <v>0.19870188131222</v>
      </c>
      <c r="K13" s="79">
        <f>[1]!thsiFinD("ths_cb_mv_to_fanv_fund",A13,$J$4)/100</f>
        <v>1.77E-2</v>
      </c>
    </row>
    <row r="14" spans="1:11" ht="25" customHeight="1" thickBot="1">
      <c r="A14" s="181" t="s">
        <v>267</v>
      </c>
      <c r="B14" s="153" t="s">
        <v>282</v>
      </c>
      <c r="C14" s="154">
        <f ca="1">[1]!thsiFinD("ths_adjustment_nvg_ratio_fund",$A14,B$5,B$5,101)/100</f>
        <v>0</v>
      </c>
      <c r="D14" s="154">
        <f ca="1">[1]!thsiFinD("ths_adjustment_nvg_ratio_fund",$A14,D$4,D$5,101)/100</f>
        <v>-6.3220230473752005E-3</v>
      </c>
      <c r="E14" s="154">
        <f ca="1">[1]!thsiFinD("ths_adjustment_nvg_ratio_fund",$A14,E$4,E$5,101)/100</f>
        <v>-1.6085578446910002E-2</v>
      </c>
      <c r="F14" s="154">
        <f ca="1">-[1]!thsiFinD("ths_max_retrace_rate_all_fund",$A14,F$4,F$5)/100</f>
        <v>-4.6444909668915006E-2</v>
      </c>
      <c r="I14" s="235"/>
      <c r="J14" s="79">
        <f>1336.14416122437%/100</f>
        <v>0.13361441612243699</v>
      </c>
      <c r="K14" s="79">
        <f>438.473033905029%/100</f>
        <v>4.3847303390502905E-2</v>
      </c>
    </row>
    <row r="15" spans="1:11" ht="25" customHeight="1" thickBot="1">
      <c r="A15" s="181" t="s">
        <v>268</v>
      </c>
      <c r="B15" s="155" t="s">
        <v>283</v>
      </c>
      <c r="C15" s="156">
        <f ca="1">[1]!thsiFinD("ths_adjustment_nvg_ratio_fund",$A15,B$5,B$5,101)/100</f>
        <v>0</v>
      </c>
      <c r="D15" s="156">
        <f ca="1">[1]!thsiFinD("ths_adjustment_nvg_ratio_fund",$A15,D$4,D$5,101)/100</f>
        <v>-2.4726245340320999E-3</v>
      </c>
      <c r="E15" s="156">
        <f ca="1">[1]!thsiFinD("ths_adjustment_nvg_ratio_fund",$A15,E$4,E$5,101)/100</f>
        <v>-4.3927211163028002E-2</v>
      </c>
      <c r="F15" s="156">
        <f ca="1">-[1]!thsiFinD("ths_max_retrace_rate_all_fund",$A15,F$4,F$5)/100</f>
        <v>-5.3698584253536998E-2</v>
      </c>
      <c r="I15" s="235"/>
      <c r="J15" s="79">
        <f>[1]!thsiFinD("ths_stock_mv_to_fanv_fund",$A15,$J$4)/100</f>
        <v>0.1798811445537</v>
      </c>
      <c r="K15" s="79">
        <f>[1]!thsiFinD("ths_cb_mv_to_fanv_fund",A15,$J$4)/100</f>
        <v>0</v>
      </c>
    </row>
    <row r="16" spans="1:11" ht="25" customHeight="1" thickBot="1">
      <c r="A16" s="181" t="s">
        <v>269</v>
      </c>
      <c r="B16" s="153" t="s">
        <v>284</v>
      </c>
      <c r="C16" s="154">
        <f ca="1">[1]!thsiFinD("ths_adjustment_nvg_ratio_fund",$A16,B$5,B$5,101)/100</f>
        <v>0</v>
      </c>
      <c r="D16" s="154">
        <f ca="1">[1]!thsiFinD("ths_adjustment_nvg_ratio_fund",$A16,D$4,D$5,101)/100</f>
        <v>-3.9104750811215002E-3</v>
      </c>
      <c r="E16" s="154">
        <f ca="1">[1]!thsiFinD("ths_adjustment_nvg_ratio_fund",$A16,E$4,E$5,101)/100</f>
        <v>-4.1166106038763001E-2</v>
      </c>
      <c r="F16" s="154">
        <f ca="1">-[1]!thsiFinD("ths_max_retrace_rate_all_fund",$A16,F$4,F$5)/100</f>
        <v>-4.7270412223459998E-2</v>
      </c>
      <c r="I16" s="235"/>
      <c r="J16" s="79">
        <f>[1]!thsiFinD("ths_stock_mv_to_fanv_fund",$A16,$J$4)/100</f>
        <v>0.17522978692032001</v>
      </c>
      <c r="K16" s="79">
        <f>[1]!thsiFinD("ths_cb_mv_to_fanv_fund",A16,$J$4)/100</f>
        <v>0</v>
      </c>
    </row>
    <row r="17" spans="1:11" ht="25" customHeight="1" thickBot="1">
      <c r="A17" s="181" t="s">
        <v>270</v>
      </c>
      <c r="B17" s="155" t="s">
        <v>285</v>
      </c>
      <c r="C17" s="156">
        <f ca="1">[1]!thsiFinD("ths_adjustment_nvg_ratio_fund",$A17,B$5,B$5,101)/100</f>
        <v>0</v>
      </c>
      <c r="D17" s="156">
        <f ca="1">[1]!thsiFinD("ths_adjustment_nvg_ratio_fund",$A17,D$4,D$5,101)/100</f>
        <v>-9.2592592297499002E-3</v>
      </c>
      <c r="E17" s="156">
        <f ca="1">[1]!thsiFinD("ths_adjustment_nvg_ratio_fund",$A17,E$4,E$5,101)/100</f>
        <v>-4.7607382021701998E-2</v>
      </c>
      <c r="F17" s="156">
        <f ca="1">-[1]!thsiFinD("ths_max_retrace_rate_all_fund",$A17,F$4,F$5)/100</f>
        <v>-5.1480156165581999E-2</v>
      </c>
      <c r="I17" s="235"/>
      <c r="J17" s="79">
        <f>15.2221393585205/100</f>
        <v>0.15222139358520501</v>
      </c>
      <c r="K17" s="79">
        <f>0.108927257359028/100</f>
        <v>1.0892725735902799E-3</v>
      </c>
    </row>
    <row r="18" spans="1:11" ht="25" customHeight="1" thickBot="1">
      <c r="A18" s="181" t="s">
        <v>271</v>
      </c>
      <c r="B18" s="153" t="s">
        <v>286</v>
      </c>
      <c r="C18" s="154">
        <f ca="1">[1]!thsiFinD("ths_adjustment_nvg_ratio_fund",$A18,B$5,B$5,101)/100</f>
        <v>0</v>
      </c>
      <c r="D18" s="154">
        <f ca="1">[1]!thsiFinD("ths_adjustment_nvg_ratio_fund",$A18,D$4,D$5,101)/100</f>
        <v>-7.2749318303079007E-3</v>
      </c>
      <c r="E18" s="154">
        <f ca="1">[1]!thsiFinD("ths_adjustment_nvg_ratio_fund",$A18,E$4,E$5,101)/100</f>
        <v>-4.3013266341258002E-2</v>
      </c>
      <c r="F18" s="154">
        <f ca="1">-[1]!thsiFinD("ths_max_retrace_rate_all_fund",$A18,F$4,F$5)/100</f>
        <v>-7.0577399089732998E-2</v>
      </c>
      <c r="I18" s="235"/>
      <c r="J18" s="79">
        <f>[1]!thsiFinD("ths_stock_mv_to_fanv_fund",$A18,$J$4)/100</f>
        <v>0.16691487926770002</v>
      </c>
      <c r="K18" s="79">
        <f>[1]!thsiFinD("ths_cb_mv_to_fanv_fund",A18,$J$4)/100</f>
        <v>2.12E-2</v>
      </c>
    </row>
    <row r="19" spans="1:11" ht="25" customHeight="1" thickBot="1">
      <c r="A19" s="181" t="s">
        <v>272</v>
      </c>
      <c r="B19" s="155" t="s">
        <v>287</v>
      </c>
      <c r="C19" s="156">
        <f ca="1">[1]!thsiFinD("ths_adjustment_nvg_ratio_fund",$A19,B$5,B$5,101)/100</f>
        <v>0</v>
      </c>
      <c r="D19" s="156">
        <f ca="1">[1]!thsiFinD("ths_adjustment_nvg_ratio_fund",$A19,D$4,D$5,101)/100</f>
        <v>-5.1326703768855998E-3</v>
      </c>
      <c r="E19" s="156">
        <f ca="1">[1]!thsiFinD("ths_adjustment_nvg_ratio_fund",$A19,E$4,E$5,101)/100</f>
        <v>-4.1079552986483005E-2</v>
      </c>
      <c r="F19" s="156">
        <f ca="1">-[1]!thsiFinD("ths_max_retrace_rate_all_fund",$A19,F$4,F$5)/100</f>
        <v>-6.0905709922503999E-2</v>
      </c>
      <c r="I19" s="235"/>
      <c r="J19" s="79">
        <f>[1]!thsiFinD("ths_stock_mv_to_fanv_fund",$A19,$J$4)/100</f>
        <v>0.18988203005543</v>
      </c>
      <c r="K19" s="79">
        <f>[1]!thsiFinD("ths_cb_mv_to_fanv_fund",A19,$J$4)/100</f>
        <v>6.4399999999999999E-2</v>
      </c>
    </row>
    <row r="20" spans="1:11" ht="25" customHeight="1" thickBot="1">
      <c r="A20" s="181" t="s">
        <v>273</v>
      </c>
      <c r="B20" s="153" t="s">
        <v>288</v>
      </c>
      <c r="C20" s="154">
        <f ca="1">[1]!thsiFinD("ths_adjustment_nvg_ratio_fund",$A20,B$5,B$5,101)/100</f>
        <v>0</v>
      </c>
      <c r="D20" s="154">
        <f ca="1">[1]!thsiFinD("ths_adjustment_nvg_ratio_fund",$A20,D$4,D$5,101)/100</f>
        <v>-7.4683631959574E-3</v>
      </c>
      <c r="E20" s="154">
        <f ca="1">[1]!thsiFinD("ths_adjustment_nvg_ratio_fund",$A20,E$4,E$5,101)/100</f>
        <v>-6.7911321960275994E-2</v>
      </c>
      <c r="F20" s="154">
        <f ca="1">-[1]!thsiFinD("ths_max_retrace_rate_all_fund",$A20,F$4,F$5)/100</f>
        <v>-8.0169443173583002E-2</v>
      </c>
      <c r="I20" s="235"/>
      <c r="J20" s="79">
        <f>1336.14416122437%/100</f>
        <v>0.13361441612243699</v>
      </c>
      <c r="K20" s="79">
        <f>438.473033905029%/100</f>
        <v>4.3847303390502905E-2</v>
      </c>
    </row>
    <row r="21" spans="1:11" ht="25" customHeight="1" thickBot="1">
      <c r="A21" s="181" t="s">
        <v>274</v>
      </c>
      <c r="B21" s="155" t="s">
        <v>289</v>
      </c>
      <c r="C21" s="156">
        <f ca="1">[1]!thsiFinD("ths_adjustment_nvg_ratio_fund",$A21,B$5,B$5,101)/100</f>
        <v>0</v>
      </c>
      <c r="D21" s="156">
        <f ca="1">[1]!thsiFinD("ths_adjustment_nvg_ratio_fund",$A21,D$4,D$5,101)/100</f>
        <v>-1.2644364848694E-2</v>
      </c>
      <c r="E21" s="156">
        <f ca="1">[1]!thsiFinD("ths_adjustment_nvg_ratio_fund",$A21,E$4,E$5,101)/100</f>
        <v>-6.3196674906424E-2</v>
      </c>
      <c r="F21" s="156">
        <f ca="1">-[1]!thsiFinD("ths_max_retrace_rate_all_fund",$A21,F$4,F$5)/100</f>
        <v>-7.9686479412252001E-2</v>
      </c>
      <c r="I21" s="235"/>
      <c r="J21" s="79">
        <f>[1]!thsiFinD("ths_stock_mv_to_fanv_fund",$A21,$J$4)/100</f>
        <v>0.20038170106765002</v>
      </c>
      <c r="K21" s="79">
        <f>[1]!thsiFinD("ths_cb_mv_to_fanv_fund",A21,$J$4)/100</f>
        <v>0.1094</v>
      </c>
    </row>
    <row r="22" spans="1:11" ht="25" customHeight="1">
      <c r="A22" s="181" t="s">
        <v>275</v>
      </c>
      <c r="B22" s="153" t="s">
        <v>290</v>
      </c>
      <c r="C22" s="154">
        <f ca="1">[1]!thsiFinD("ths_adjustment_nvg_ratio_fund",$A22,B$5,B$5,101)/100</f>
        <v>0</v>
      </c>
      <c r="D22" s="154">
        <f ca="1">[1]!thsiFinD("ths_adjustment_nvg_ratio_fund",$A22,D$4,D$5,101)/100</f>
        <v>-1.0266301621495999E-2</v>
      </c>
      <c r="E22" s="154">
        <f ca="1">[1]!thsiFinD("ths_adjustment_nvg_ratio_fund",$A22,E$4,E$5,101)/100</f>
        <v>-7.1124087617203E-2</v>
      </c>
      <c r="F22" s="154">
        <f ca="1">-[1]!thsiFinD("ths_max_retrace_rate_all_fund",$A22,F$4,F$5)/100</f>
        <v>-7.8192169154790991E-2</v>
      </c>
      <c r="I22" s="235"/>
      <c r="J22" s="79">
        <f>[1]!thsiFinD("ths_stock_mv_to_fanv_fund",$A22,$J$4)/100</f>
        <v>0.20399724241552</v>
      </c>
      <c r="K22" s="79">
        <f>[1]!thsiFinD("ths_cb_mv_to_fanv_fund",A22,$J$4)/100</f>
        <v>7.7899999999999997E-2</v>
      </c>
    </row>
    <row r="23" spans="1:11" ht="18" customHeight="1">
      <c r="A23" s="80"/>
      <c r="B23" s="236" t="s">
        <v>234</v>
      </c>
      <c r="C23" s="236"/>
      <c r="D23" s="236"/>
      <c r="E23" s="236"/>
      <c r="F23" s="236"/>
      <c r="I23" s="101"/>
      <c r="J23" s="80"/>
      <c r="K23" s="80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4.5">
      <c r="A25" s="81"/>
      <c r="B25" s="58"/>
      <c r="C25" s="58"/>
      <c r="D25" s="58"/>
      <c r="E25" s="58"/>
      <c r="F25" s="58"/>
      <c r="I25" s="81"/>
      <c r="J25" s="81"/>
      <c r="K25" s="81"/>
    </row>
    <row r="26" spans="1:11" ht="14.5">
      <c r="A26" s="81"/>
      <c r="B26" s="58"/>
      <c r="C26" s="58"/>
      <c r="D26" s="58"/>
      <c r="E26" s="58"/>
      <c r="F26" s="58"/>
      <c r="I26" s="81"/>
      <c r="J26" s="81"/>
      <c r="K26" s="81"/>
    </row>
    <row r="27" spans="1:11" ht="14.5">
      <c r="A27" s="81"/>
      <c r="B27" s="58"/>
      <c r="C27" s="58"/>
      <c r="D27" s="58"/>
      <c r="E27" s="58"/>
      <c r="F27" s="58"/>
      <c r="I27" s="81"/>
      <c r="J27" s="81"/>
      <c r="K27" s="81"/>
    </row>
    <row r="28" spans="1:11" ht="14.5">
      <c r="A28" s="81"/>
      <c r="B28" s="58"/>
      <c r="C28" s="58"/>
      <c r="D28" s="58"/>
      <c r="E28" s="58"/>
      <c r="F28" s="58"/>
      <c r="I28" s="81"/>
      <c r="J28" s="81"/>
      <c r="K28" s="81"/>
    </row>
    <row r="29" spans="1:11" ht="14.5">
      <c r="A29" s="81"/>
      <c r="B29" s="58"/>
      <c r="C29" s="58"/>
      <c r="D29" s="58"/>
      <c r="E29" s="58"/>
      <c r="F29" s="58"/>
      <c r="I29" s="81"/>
      <c r="J29" s="81"/>
      <c r="K29" s="81"/>
    </row>
    <row r="30" spans="1:11" ht="14.5">
      <c r="A30" s="81"/>
      <c r="B30" s="58"/>
      <c r="C30" s="58"/>
      <c r="D30" s="58"/>
      <c r="E30" s="58"/>
      <c r="F30" s="58"/>
      <c r="I30" s="81"/>
      <c r="J30" s="81"/>
      <c r="K30" s="81"/>
    </row>
    <row r="31" spans="1:11" ht="14.5">
      <c r="A31" s="81"/>
      <c r="B31" s="58"/>
      <c r="C31" s="58"/>
      <c r="D31" s="58"/>
      <c r="E31" s="58"/>
      <c r="F31" s="58"/>
      <c r="I31" s="81"/>
      <c r="J31" s="81"/>
      <c r="K31" s="81"/>
    </row>
    <row r="32" spans="1:11" ht="14.5">
      <c r="A32" s="81"/>
      <c r="B32" s="58"/>
      <c r="C32" s="58"/>
      <c r="D32" s="58"/>
      <c r="E32" s="58"/>
      <c r="F32" s="58"/>
      <c r="I32" s="81"/>
      <c r="J32" s="81"/>
      <c r="K32" s="81"/>
    </row>
    <row r="33" spans="1:16368" ht="14.5">
      <c r="A33" s="81"/>
      <c r="B33" s="58"/>
      <c r="C33" s="58"/>
      <c r="D33" s="58"/>
      <c r="E33" s="58"/>
      <c r="F33" s="58"/>
      <c r="I33" s="81"/>
      <c r="J33" s="81"/>
      <c r="K33" s="81"/>
    </row>
    <row r="34" spans="1:16368" ht="16.5">
      <c r="A34" s="78"/>
      <c r="B34" s="59"/>
      <c r="C34" s="60"/>
      <c r="D34" s="60"/>
      <c r="E34" s="60"/>
      <c r="F34" s="60"/>
      <c r="J34" s="82"/>
      <c r="K34" s="83"/>
    </row>
    <row r="35" spans="1:16368" ht="16.5">
      <c r="A35" s="78"/>
      <c r="B35" s="59"/>
      <c r="C35" s="60"/>
      <c r="D35" s="60"/>
      <c r="E35" s="60"/>
      <c r="F35" s="60"/>
      <c r="J35" s="83"/>
      <c r="K35" s="83"/>
    </row>
    <row r="37" spans="1:16368" ht="16.5">
      <c r="A37" s="55"/>
      <c r="B37" s="55"/>
      <c r="C37" s="56"/>
      <c r="D37" s="56"/>
      <c r="E37" s="56"/>
      <c r="F37" s="56"/>
      <c r="J37" s="79"/>
      <c r="K37" s="79"/>
    </row>
    <row r="38" spans="1:16368" ht="16.5">
      <c r="A38" s="61"/>
      <c r="B38" s="61"/>
      <c r="C38" s="62"/>
      <c r="D38" s="62"/>
      <c r="E38" s="62"/>
      <c r="F38" s="62"/>
      <c r="J38" s="84"/>
      <c r="K38" s="84"/>
    </row>
    <row r="39" spans="1:16368" ht="16.5">
      <c r="A39" s="55"/>
      <c r="B39" s="54"/>
      <c r="C39" s="57"/>
      <c r="D39" s="57"/>
      <c r="E39" s="57"/>
      <c r="F39" s="57"/>
      <c r="J39" s="79"/>
      <c r="K39" s="79"/>
    </row>
    <row r="41" spans="1:16368" ht="16.5">
      <c r="A41" s="55"/>
      <c r="B41" s="54"/>
      <c r="C41" s="57"/>
      <c r="D41" s="57"/>
      <c r="E41" s="57"/>
      <c r="F41" s="57"/>
      <c r="J41" s="79"/>
      <c r="K41" s="79"/>
    </row>
    <row r="42" spans="1:16368" ht="16.5">
      <c r="A42" s="55"/>
      <c r="B42" s="55"/>
      <c r="C42" s="56"/>
      <c r="D42" s="56"/>
      <c r="E42" s="56"/>
      <c r="F42" s="56"/>
      <c r="J42" s="79"/>
      <c r="K42" s="79"/>
    </row>
    <row r="48" spans="1:16368" ht="13.5">
      <c r="A48" s="85"/>
      <c r="B48" s="63"/>
      <c r="C48" s="64"/>
      <c r="D48" s="64"/>
      <c r="E48" s="64"/>
      <c r="F48" s="65"/>
      <c r="G48" s="87"/>
      <c r="J48" s="85"/>
      <c r="K48" s="85"/>
      <c r="L48" s="88"/>
      <c r="M48" s="88"/>
      <c r="P48" s="89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5"/>
      <c r="B49" s="63"/>
      <c r="C49" s="64"/>
      <c r="D49" s="64"/>
      <c r="E49" s="64"/>
      <c r="F49" s="65"/>
      <c r="G49" s="87"/>
      <c r="J49" s="85"/>
      <c r="K49" s="85"/>
      <c r="L49" s="88"/>
      <c r="M49" s="88"/>
      <c r="P49" s="8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6"/>
      <c r="B50" s="67"/>
      <c r="C50" s="68"/>
      <c r="D50" s="68"/>
      <c r="E50" s="68"/>
      <c r="F50" s="69"/>
      <c r="J50" s="86"/>
      <c r="K50" s="86"/>
      <c r="P50" s="89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3" priority="1" operator="greaterThan">
      <formula>0</formula>
    </cfRule>
  </conditionalFormatting>
  <conditionalFormatting sqref="C8:F22">
    <cfRule type="cellIs" dxfId="32" priority="2" operator="lessThan">
      <formula>0</formula>
    </cfRule>
  </conditionalFormatting>
  <conditionalFormatting sqref="C34:F35 C37:F39 C41:F42">
    <cfRule type="cellIs" dxfId="31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1"/>
  <sheetViews>
    <sheetView workbookViewId="0">
      <selection activeCell="C7" sqref="C7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46295</v>
      </c>
      <c r="C3" s="51">
        <f ca="1">VLOOKUP(B3,实盘组合净值!$A:$V,20,0)</f>
        <v>0.9987144779146554</v>
      </c>
      <c r="D3" s="52"/>
      <c r="E3" s="53"/>
    </row>
    <row r="4" spans="1:11" ht="14.5">
      <c r="B4" s="53">
        <f ca="1">日期页!B3</f>
        <v>46303</v>
      </c>
      <c r="C4" s="51">
        <f ca="1">VLOOKUP(B4,实盘组合净值!$A:$V,20,0)</f>
        <v>0.99682886906169466</v>
      </c>
      <c r="D4" s="52">
        <f ca="1">日期页!B4</f>
        <v>46303</v>
      </c>
      <c r="E4" s="53">
        <v>46282</v>
      </c>
      <c r="F4" s="53">
        <f>E4</f>
        <v>46282</v>
      </c>
      <c r="I4" s="70"/>
      <c r="J4" s="228">
        <v>46203</v>
      </c>
    </row>
    <row r="5" spans="1:11" ht="13">
      <c r="B5" s="53">
        <f ca="1">日期页!B2</f>
        <v>46304</v>
      </c>
      <c r="C5" s="51">
        <f ca="1">VLOOKUP(B5,实盘组合净值!$A:$V,20,0)</f>
        <v>0.9968069331369489</v>
      </c>
      <c r="D5" s="52">
        <f ca="1">B5</f>
        <v>46304</v>
      </c>
      <c r="E5" s="53">
        <f ca="1">B5</f>
        <v>46304</v>
      </c>
      <c r="F5" s="53">
        <f ca="1">B5</f>
        <v>46304</v>
      </c>
    </row>
    <row r="6" spans="1:11" ht="25" customHeight="1">
      <c r="A6" s="74" t="s">
        <v>28</v>
      </c>
      <c r="B6" s="213">
        <f ca="1">B5</f>
        <v>46304</v>
      </c>
      <c r="C6" s="213" t="s">
        <v>232</v>
      </c>
      <c r="D6" s="213" t="s">
        <v>186</v>
      </c>
      <c r="E6" s="214" t="s">
        <v>193</v>
      </c>
      <c r="F6" s="214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215" t="s">
        <v>357</v>
      </c>
      <c r="C7" s="216">
        <f ca="1">C5/C4-1</f>
        <v>-2.2005707726369117E-5</v>
      </c>
      <c r="D7" s="216">
        <f ca="1">C5/C3-1</f>
        <v>-1.9100001250502707E-3</v>
      </c>
      <c r="E7" s="216">
        <f ca="1">C5-1</f>
        <v>-3.1930668630510972E-3</v>
      </c>
      <c r="F7" s="216">
        <f>MIN(实盘组合净值!V:V)</f>
        <v>-7.1263837650916706E-3</v>
      </c>
      <c r="I7" s="75" t="s">
        <v>358</v>
      </c>
      <c r="J7" s="76">
        <v>0.2</v>
      </c>
      <c r="K7" s="77" t="s">
        <v>359</v>
      </c>
    </row>
    <row r="8" spans="1:11" ht="25" customHeight="1" thickBot="1">
      <c r="A8" s="181" t="s">
        <v>360</v>
      </c>
      <c r="B8" s="153" t="str">
        <f>[1]!thsiFinD("ths_fund_short_name_fund",A8)</f>
        <v>景顺长城景盛双息收益债券A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-4.6911649833541007E-3</v>
      </c>
      <c r="F8" s="154">
        <f ca="1">-[1]!thsiFinD("ths_max_retrace_rate_all_fund",$A8,F$4,F$5)/100</f>
        <v>-6.2451209910199005E-3</v>
      </c>
      <c r="I8" s="235"/>
      <c r="J8" s="79">
        <f>[1]!thsiFinD("ths_stock_mv_to_fanv_fund",$A8,$J$4)/100</f>
        <v>0.1366676005585</v>
      </c>
      <c r="K8" s="79">
        <f>[1]!thsiFinD("ths_cb_mv_to_fanv_fund",A8,$J$4)/100</f>
        <v>5.6399999999999999E-2</v>
      </c>
    </row>
    <row r="9" spans="1:11" ht="25" customHeight="1" thickBot="1">
      <c r="A9" s="181" t="s">
        <v>361</v>
      </c>
      <c r="B9" s="217" t="str">
        <f>[1]!thsiFinD("ths_fund_short_name_fund",A9)</f>
        <v>景顺长城景颐招利6个月持有期债券A</v>
      </c>
      <c r="C9" s="218">
        <f ca="1">[1]!thsiFinD("ths_adjustment_nvg_ratio_fund",$A9,B$5,B$5,101)/100</f>
        <v>0</v>
      </c>
      <c r="D9" s="218">
        <f ca="1">[1]!thsiFinD("ths_adjustment_nvg_ratio_fund",$A9,D$4,D$5,101)/100</f>
        <v>2.2466866202219E-4</v>
      </c>
      <c r="E9" s="218">
        <f ca="1">[1]!thsiFinD("ths_adjustment_nvg_ratio_fund",$A9,E$4,E$5,101)/100</f>
        <v>-1.942908343472699E-3</v>
      </c>
      <c r="F9" s="218">
        <f ca="1">-[1]!thsiFinD("ths_max_retrace_rate_all_fund",$A9,F$4,F$5)/100</f>
        <v>-4.1803523718921994E-3</v>
      </c>
      <c r="I9" s="235"/>
      <c r="J9" s="79">
        <f>[1]!thsiFinD("ths_stock_mv_to_fanv_fund",$A9,$J$4)/100</f>
        <v>0.13889672536209</v>
      </c>
      <c r="K9" s="79">
        <f>[1]!thsiFinD("ths_cb_mv_to_fanv_fund",A9,$J$4)/100</f>
        <v>4.5400000000000003E-2</v>
      </c>
    </row>
    <row r="10" spans="1:11" ht="25" customHeight="1" thickBot="1">
      <c r="A10" s="181" t="s">
        <v>362</v>
      </c>
      <c r="B10" s="153" t="str">
        <f>[1]!thsiFinD("ths_fund_short_name_fund",A10)</f>
        <v>天弘多元收益债券A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7.7931278781444996E-4</v>
      </c>
      <c r="E10" s="154">
        <f ca="1">[1]!thsiFinD("ths_adjustment_nvg_ratio_fund",$A10,E$4,E$5,101)/100</f>
        <v>2.6261622542409001E-3</v>
      </c>
      <c r="F10" s="154">
        <f ca="1">-[1]!thsiFinD("ths_max_retrace_rate_all_fund",$A10,F$4,F$5)/100</f>
        <v>-2.8399006034788999E-3</v>
      </c>
      <c r="I10" s="235"/>
      <c r="J10" s="79">
        <f>[1]!thsiFinD("ths_stock_mv_to_fanv_fund",$A10,$J$4)/100</f>
        <v>0.19775964518313</v>
      </c>
      <c r="K10" s="79">
        <f>[1]!thsiFinD("ths_cb_mv_to_fanv_fund",A10,$J$4)/100</f>
        <v>0.18629999999999999</v>
      </c>
    </row>
    <row r="11" spans="1:11" ht="25" customHeight="1" thickBot="1">
      <c r="A11" s="181" t="s">
        <v>363</v>
      </c>
      <c r="B11" s="217" t="str">
        <f>[1]!thsiFinD("ths_fund_short_name_fund",A11)</f>
        <v>广发集源债券A</v>
      </c>
      <c r="C11" s="218">
        <f ca="1">[1]!thsiFinD("ths_adjustment_nvg_ratio_fund",$A11,B$5,B$5,101)/100</f>
        <v>0</v>
      </c>
      <c r="D11" s="218">
        <f ca="1">[1]!thsiFinD("ths_adjustment_nvg_ratio_fund",$A11,D$4,D$5,101)/100</f>
        <v>8.3759107616976998E-4</v>
      </c>
      <c r="E11" s="218">
        <f ca="1">[1]!thsiFinD("ths_adjustment_nvg_ratio_fund",$A11,E$4,E$5,101)/100</f>
        <v>2.5169896446398999E-3</v>
      </c>
      <c r="F11" s="218">
        <f ca="1">-[1]!thsiFinD("ths_max_retrace_rate_all_fund",$A11,F$4,F$5)/100</f>
        <v>-1.4254569251728E-3</v>
      </c>
      <c r="I11" s="235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364</v>
      </c>
      <c r="B12" s="153" t="str">
        <f>[1]!thsiFinD("ths_fund_short_name_fund",A12)</f>
        <v>易方达稳健收益债券B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-2.3913349321233999E-3</v>
      </c>
      <c r="E12" s="154">
        <f ca="1">[1]!thsiFinD("ths_adjustment_nvg_ratio_fund",$A12,E$4,E$5,101)/100</f>
        <v>1.6949152543282E-3</v>
      </c>
      <c r="F12" s="154">
        <f ca="1">-[1]!thsiFinD("ths_max_retrace_rate_all_fund",$A12,F$4,F$5)/100</f>
        <v>-4.7014244594824998E-3</v>
      </c>
      <c r="I12" s="235"/>
      <c r="J12" s="79">
        <f>[1]!thsiFinD("ths_stock_mv_to_fanv_fund",$A12,$J$4)/100</f>
        <v>0.19788435517076</v>
      </c>
      <c r="K12" s="79">
        <f>[1]!thsiFinD("ths_cb_mv_to_fanv_fund",A12,$J$4)/100</f>
        <v>3.9300000000000002E-2</v>
      </c>
    </row>
    <row r="13" spans="1:11" ht="25" customHeight="1">
      <c r="A13" s="181" t="s">
        <v>409</v>
      </c>
      <c r="B13" s="217" t="str">
        <f>[1]!thsiFinD("ths_fund_short_name_fund",A13)</f>
        <v>易方达增强回报债券A</v>
      </c>
      <c r="C13" s="218">
        <f ca="1">[1]!thsiFinD("ths_adjustment_nvg_ratio_fund",$A13,B$5,B$5,101)/100</f>
        <v>0</v>
      </c>
      <c r="D13" s="218">
        <f ca="1">[1]!thsiFinD("ths_adjustment_nvg_ratio_fund",$A13,D$4,D$5,101)/100</f>
        <v>7.1500064345836009E-5</v>
      </c>
      <c r="E13" s="218">
        <f ca="1">[1]!thsiFinD("ths_adjustment_nvg_ratio_fund",$A13,E$4,E$5,101)/100</f>
        <v>1.2168933491338001E-3</v>
      </c>
      <c r="F13" s="218">
        <f ca="1">-[1]!thsiFinD("ths_max_retrace_rate_all_fund",$A13,F$4,F$5)/100</f>
        <v>-2.1428571328578998E-3</v>
      </c>
      <c r="I13" s="227"/>
      <c r="J13" s="79">
        <f>1794.92740631104%/100</f>
        <v>0.17949274063110399</v>
      </c>
      <c r="K13" s="79">
        <f>632.57851600647%/100</f>
        <v>6.3257851600646994E-2</v>
      </c>
    </row>
    <row r="14" spans="1:11" ht="18" customHeight="1">
      <c r="A14" s="80"/>
      <c r="B14" s="236" t="s">
        <v>365</v>
      </c>
      <c r="C14" s="236"/>
      <c r="D14" s="236"/>
      <c r="E14" s="236"/>
      <c r="F14" s="236"/>
      <c r="I14" s="101"/>
      <c r="J14" s="80"/>
      <c r="K14" s="80"/>
    </row>
    <row r="15" spans="1:11" ht="14.5">
      <c r="A15" s="81"/>
      <c r="B15" s="58"/>
      <c r="C15" s="58"/>
      <c r="D15" s="58"/>
      <c r="E15" s="58"/>
      <c r="F15" s="58"/>
      <c r="I15" s="81"/>
      <c r="J15" s="81"/>
      <c r="K15" s="81"/>
    </row>
    <row r="16" spans="1:11" ht="14.5">
      <c r="A16" s="81"/>
      <c r="B16" s="58"/>
      <c r="C16" s="58"/>
      <c r="D16" s="58"/>
      <c r="E16" s="58"/>
      <c r="F16" s="58"/>
      <c r="I16" s="81"/>
      <c r="J16" s="81"/>
      <c r="K16" s="81"/>
    </row>
    <row r="17" spans="1:11" ht="14.5">
      <c r="A17" s="81"/>
      <c r="B17" s="58"/>
      <c r="C17" s="58"/>
      <c r="D17" s="58"/>
      <c r="E17" s="58"/>
      <c r="F17" s="58"/>
      <c r="I17" s="81"/>
      <c r="J17" s="81"/>
      <c r="K17" s="81"/>
    </row>
    <row r="18" spans="1:11" ht="14.5">
      <c r="A18" s="81"/>
      <c r="B18" s="58"/>
      <c r="C18" s="58"/>
      <c r="D18" s="58"/>
      <c r="E18" s="58"/>
      <c r="F18" s="58"/>
      <c r="I18" s="81"/>
      <c r="J18" s="81"/>
      <c r="K18" s="81"/>
    </row>
    <row r="19" spans="1:11" ht="14.5">
      <c r="A19" s="81"/>
      <c r="B19" s="58"/>
      <c r="C19" s="58"/>
      <c r="D19" s="58"/>
      <c r="E19" s="58"/>
      <c r="F19" s="58"/>
      <c r="I19" s="81"/>
      <c r="J19" s="81"/>
      <c r="K19" s="81"/>
    </row>
    <row r="20" spans="1:11" ht="14.5">
      <c r="A20" s="81"/>
      <c r="B20" s="58"/>
      <c r="C20" s="58"/>
      <c r="D20" s="58"/>
      <c r="E20" s="58"/>
      <c r="F20" s="58"/>
      <c r="I20" s="81"/>
      <c r="J20" s="81"/>
      <c r="K20" s="81"/>
    </row>
    <row r="21" spans="1:11" ht="14.5">
      <c r="A21" s="81"/>
      <c r="B21" s="58"/>
      <c r="C21" s="58"/>
      <c r="D21" s="58"/>
      <c r="E21" s="58"/>
      <c r="F21" s="58"/>
      <c r="I21" s="81"/>
      <c r="J21" s="81"/>
      <c r="K21" s="81"/>
    </row>
    <row r="22" spans="1:11" ht="14.5">
      <c r="A22" s="81"/>
      <c r="B22" s="58"/>
      <c r="C22" s="58"/>
      <c r="D22" s="58"/>
      <c r="E22" s="58"/>
      <c r="F22" s="58"/>
      <c r="I22" s="81"/>
      <c r="J22" s="81"/>
      <c r="K22" s="81"/>
    </row>
    <row r="23" spans="1:11" ht="14.5">
      <c r="A23" s="81"/>
      <c r="B23" s="58"/>
      <c r="C23" s="58"/>
      <c r="D23" s="58"/>
      <c r="E23" s="58"/>
      <c r="F23" s="58"/>
      <c r="I23" s="81"/>
      <c r="J23" s="81"/>
      <c r="K23" s="81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6.5">
      <c r="A25" s="211"/>
      <c r="B25" s="59"/>
      <c r="C25" s="60"/>
      <c r="D25" s="60"/>
      <c r="E25" s="60"/>
      <c r="F25" s="60"/>
      <c r="J25" s="82"/>
      <c r="K25" s="83"/>
    </row>
    <row r="26" spans="1:11" ht="16.5">
      <c r="A26" s="211"/>
      <c r="B26" s="59"/>
      <c r="C26" s="60"/>
      <c r="D26" s="60"/>
      <c r="E26" s="60"/>
      <c r="F26" s="60"/>
      <c r="J26" s="83"/>
      <c r="K26" s="83"/>
    </row>
    <row r="28" spans="1:11" ht="16.5">
      <c r="A28" s="55"/>
      <c r="B28" s="55"/>
      <c r="C28" s="56"/>
      <c r="D28" s="56"/>
      <c r="E28" s="56"/>
      <c r="F28" s="56"/>
      <c r="J28" s="79"/>
      <c r="K28" s="79"/>
    </row>
    <row r="29" spans="1:11" ht="16.5">
      <c r="A29" s="61"/>
      <c r="B29" s="61"/>
      <c r="C29" s="62"/>
      <c r="D29" s="62"/>
      <c r="E29" s="62"/>
      <c r="F29" s="62"/>
      <c r="J29" s="84"/>
      <c r="K29" s="84"/>
    </row>
    <row r="30" spans="1:11" ht="16.5">
      <c r="A30" s="55"/>
      <c r="B30" s="54"/>
      <c r="C30" s="57"/>
      <c r="D30" s="57"/>
      <c r="E30" s="57"/>
      <c r="F30" s="57"/>
      <c r="J30" s="79"/>
      <c r="K30" s="79"/>
    </row>
    <row r="32" spans="1:11" ht="16.5">
      <c r="A32" s="55"/>
      <c r="B32" s="54"/>
      <c r="C32" s="57"/>
      <c r="D32" s="57"/>
      <c r="E32" s="57"/>
      <c r="F32" s="57"/>
      <c r="J32" s="79"/>
      <c r="K32" s="79"/>
    </row>
    <row r="33" spans="1:16368" ht="16.5">
      <c r="A33" s="55"/>
      <c r="B33" s="55"/>
      <c r="C33" s="56"/>
      <c r="D33" s="56"/>
      <c r="E33" s="56"/>
      <c r="F33" s="56"/>
      <c r="J33" s="79"/>
      <c r="K33" s="79"/>
    </row>
    <row r="39" spans="1:16368" ht="13.5">
      <c r="A39" s="85"/>
      <c r="B39" s="63"/>
      <c r="C39" s="64"/>
      <c r="D39" s="64"/>
      <c r="E39" s="64"/>
      <c r="F39" s="65"/>
      <c r="G39" s="87"/>
      <c r="J39" s="85"/>
      <c r="K39" s="85"/>
      <c r="L39" s="88"/>
      <c r="M39" s="88"/>
      <c r="P39" s="89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5"/>
      <c r="B40" s="63"/>
      <c r="C40" s="64"/>
      <c r="D40" s="64"/>
      <c r="E40" s="64"/>
      <c r="F40" s="65"/>
      <c r="G40" s="87"/>
      <c r="J40" s="85"/>
      <c r="K40" s="85"/>
      <c r="L40" s="88"/>
      <c r="M40" s="88"/>
      <c r="P40" s="89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  <c r="ASY40" s="66"/>
      <c r="ASZ40" s="66"/>
      <c r="ATA40" s="66"/>
      <c r="ATB40" s="66"/>
      <c r="ATC40" s="66"/>
      <c r="ATD40" s="66"/>
      <c r="ATE40" s="66"/>
      <c r="ATF40" s="66"/>
      <c r="ATG40" s="66"/>
      <c r="ATH40" s="66"/>
      <c r="ATI40" s="66"/>
      <c r="ATJ40" s="66"/>
      <c r="ATK40" s="66"/>
      <c r="ATL40" s="66"/>
      <c r="ATM40" s="66"/>
      <c r="ATN40" s="66"/>
      <c r="ATO40" s="66"/>
      <c r="ATP40" s="66"/>
      <c r="ATQ40" s="66"/>
      <c r="ATR40" s="66"/>
      <c r="ATS40" s="66"/>
      <c r="ATT40" s="66"/>
      <c r="ATU40" s="66"/>
      <c r="ATV40" s="66"/>
      <c r="ATW40" s="66"/>
      <c r="ATX40" s="66"/>
      <c r="ATY40" s="66"/>
      <c r="ATZ40" s="66"/>
      <c r="AUA40" s="66"/>
      <c r="AUB40" s="66"/>
      <c r="AUC40" s="66"/>
      <c r="AUD40" s="66"/>
      <c r="AUE40" s="66"/>
      <c r="AUF40" s="66"/>
      <c r="AUG40" s="66"/>
      <c r="AUH40" s="66"/>
      <c r="AUI40" s="66"/>
      <c r="AUJ40" s="66"/>
      <c r="AUK40" s="66"/>
      <c r="AUL40" s="66"/>
      <c r="AUM40" s="66"/>
      <c r="AUN40" s="66"/>
      <c r="AUO40" s="66"/>
      <c r="AUP40" s="66"/>
      <c r="AUQ40" s="66"/>
      <c r="AUR40" s="66"/>
      <c r="AUS40" s="66"/>
      <c r="AUT40" s="66"/>
      <c r="AUU40" s="66"/>
      <c r="AUV40" s="66"/>
      <c r="AUW40" s="66"/>
      <c r="AUX40" s="66"/>
      <c r="AUY40" s="66"/>
      <c r="AUZ40" s="66"/>
      <c r="AVA40" s="66"/>
      <c r="AVB40" s="66"/>
      <c r="AVC40" s="66"/>
      <c r="AVD40" s="66"/>
      <c r="AVE40" s="66"/>
      <c r="AVF40" s="66"/>
      <c r="AVG40" s="66"/>
      <c r="AVH40" s="66"/>
      <c r="AVI40" s="66"/>
      <c r="AVJ40" s="66"/>
      <c r="AVK40" s="66"/>
      <c r="AVL40" s="66"/>
      <c r="AVM40" s="66"/>
      <c r="AVN40" s="66"/>
      <c r="AVO40" s="66"/>
      <c r="AVP40" s="66"/>
      <c r="AVQ40" s="66"/>
      <c r="AVR40" s="66"/>
      <c r="AVS40" s="66"/>
      <c r="AVT40" s="66"/>
      <c r="AVU40" s="66"/>
      <c r="AVV40" s="66"/>
      <c r="AVW40" s="66"/>
      <c r="AVX40" s="66"/>
      <c r="AVY40" s="66"/>
      <c r="AVZ40" s="66"/>
      <c r="AWA40" s="66"/>
      <c r="AWB40" s="66"/>
      <c r="AWC40" s="66"/>
      <c r="AWD40" s="66"/>
      <c r="AWE40" s="66"/>
      <c r="AWF40" s="66"/>
      <c r="AWG40" s="66"/>
      <c r="AWH40" s="66"/>
      <c r="AWI40" s="66"/>
      <c r="AWJ40" s="66"/>
      <c r="AWK40" s="66"/>
      <c r="AWL40" s="66"/>
      <c r="AWM40" s="66"/>
      <c r="AWN40" s="66"/>
      <c r="AWO40" s="66"/>
      <c r="AWP40" s="66"/>
      <c r="AWQ40" s="66"/>
      <c r="AWR40" s="66"/>
      <c r="AWS40" s="66"/>
      <c r="AWT40" s="66"/>
      <c r="AWU40" s="66"/>
      <c r="AWV40" s="66"/>
      <c r="AWW40" s="66"/>
      <c r="AWX40" s="66"/>
      <c r="AWY40" s="66"/>
      <c r="AWZ40" s="66"/>
      <c r="AXA40" s="66"/>
      <c r="AXB40" s="66"/>
      <c r="AXC40" s="66"/>
      <c r="AXD40" s="66"/>
      <c r="AXE40" s="66"/>
      <c r="AXF40" s="66"/>
      <c r="AXG40" s="66"/>
      <c r="AXH40" s="66"/>
      <c r="AXI40" s="66"/>
      <c r="AXJ40" s="66"/>
      <c r="AXK40" s="66"/>
      <c r="AXL40" s="66"/>
      <c r="AXM40" s="66"/>
      <c r="AXN40" s="66"/>
      <c r="AXO40" s="66"/>
      <c r="AXP40" s="66"/>
      <c r="AXQ40" s="66"/>
      <c r="AXR40" s="66"/>
      <c r="AXS40" s="66"/>
      <c r="AXT40" s="66"/>
      <c r="AXU40" s="66"/>
      <c r="AXV40" s="66"/>
      <c r="AXW40" s="66"/>
      <c r="AXX40" s="66"/>
      <c r="AXY40" s="66"/>
      <c r="AXZ40" s="66"/>
      <c r="AYA40" s="66"/>
      <c r="AYB40" s="66"/>
      <c r="AYC40" s="66"/>
      <c r="AYD40" s="66"/>
      <c r="AYE40" s="66"/>
      <c r="AYF40" s="66"/>
      <c r="AYG40" s="66"/>
      <c r="AYH40" s="66"/>
      <c r="AYI40" s="66"/>
      <c r="AYJ40" s="66"/>
      <c r="AYK40" s="66"/>
      <c r="AYL40" s="66"/>
      <c r="AYM40" s="66"/>
      <c r="AYN40" s="66"/>
      <c r="AYO40" s="66"/>
      <c r="AYP40" s="66"/>
      <c r="AYQ40" s="66"/>
      <c r="AYR40" s="66"/>
      <c r="AYS40" s="66"/>
      <c r="AYT40" s="66"/>
      <c r="AYU40" s="66"/>
      <c r="AYV40" s="66"/>
      <c r="AYW40" s="66"/>
      <c r="AYX40" s="66"/>
      <c r="AYY40" s="66"/>
      <c r="AYZ40" s="66"/>
      <c r="AZA40" s="66"/>
      <c r="AZB40" s="66"/>
      <c r="AZC40" s="66"/>
      <c r="AZD40" s="66"/>
      <c r="AZE40" s="66"/>
      <c r="AZF40" s="66"/>
      <c r="AZG40" s="66"/>
      <c r="AZH40" s="66"/>
      <c r="AZI40" s="66"/>
      <c r="AZJ40" s="66"/>
      <c r="AZK40" s="66"/>
      <c r="AZL40" s="66"/>
      <c r="AZM40" s="66"/>
      <c r="AZN40" s="66"/>
      <c r="AZO40" s="66"/>
      <c r="AZP40" s="66"/>
      <c r="AZQ40" s="66"/>
      <c r="AZR40" s="66"/>
      <c r="AZS40" s="66"/>
      <c r="AZT40" s="66"/>
      <c r="AZU40" s="66"/>
      <c r="AZV40" s="66"/>
      <c r="AZW40" s="66"/>
      <c r="AZX40" s="66"/>
      <c r="AZY40" s="66"/>
      <c r="AZZ40" s="66"/>
      <c r="BAA40" s="66"/>
      <c r="BAB40" s="66"/>
      <c r="BAC40" s="66"/>
      <c r="BAD40" s="66"/>
      <c r="BAE40" s="66"/>
      <c r="BAF40" s="66"/>
      <c r="BAG40" s="66"/>
      <c r="BAH40" s="66"/>
      <c r="BAI40" s="66"/>
      <c r="BAJ40" s="66"/>
      <c r="BAK40" s="66"/>
      <c r="BAL40" s="66"/>
      <c r="BAM40" s="66"/>
      <c r="BAN40" s="66"/>
      <c r="BAO40" s="66"/>
      <c r="BAP40" s="66"/>
      <c r="BAQ40" s="66"/>
      <c r="BAR40" s="66"/>
      <c r="BAS40" s="66"/>
      <c r="BAT40" s="66"/>
      <c r="BAU40" s="66"/>
      <c r="BAV40" s="66"/>
      <c r="BAW40" s="66"/>
      <c r="BAX40" s="66"/>
      <c r="BAY40" s="66"/>
      <c r="BAZ40" s="66"/>
      <c r="BBA40" s="66"/>
      <c r="BBB40" s="66"/>
      <c r="BBC40" s="66"/>
      <c r="BBD40" s="66"/>
      <c r="BBE40" s="66"/>
      <c r="BBF40" s="66"/>
      <c r="BBG40" s="66"/>
      <c r="BBH40" s="66"/>
      <c r="BBI40" s="66"/>
      <c r="BBJ40" s="66"/>
      <c r="BBK40" s="66"/>
      <c r="BBL40" s="66"/>
      <c r="BBM40" s="66"/>
      <c r="BBN40" s="66"/>
      <c r="BBO40" s="66"/>
      <c r="BBP40" s="66"/>
      <c r="BBQ40" s="66"/>
      <c r="BBR40" s="66"/>
      <c r="BBS40" s="66"/>
      <c r="BBT40" s="66"/>
      <c r="BBU40" s="66"/>
      <c r="BBV40" s="66"/>
      <c r="BBW40" s="66"/>
      <c r="BBX40" s="66"/>
      <c r="BBY40" s="66"/>
      <c r="BBZ40" s="66"/>
      <c r="BCA40" s="66"/>
      <c r="BCB40" s="66"/>
      <c r="BCC40" s="66"/>
      <c r="BCD40" s="66"/>
      <c r="BCE40" s="66"/>
      <c r="BCF40" s="66"/>
      <c r="BCG40" s="66"/>
      <c r="BCH40" s="66"/>
      <c r="BCI40" s="66"/>
      <c r="BCJ40" s="66"/>
      <c r="BCK40" s="66"/>
      <c r="BCL40" s="66"/>
      <c r="BCM40" s="66"/>
      <c r="BCN40" s="66"/>
      <c r="BCO40" s="66"/>
      <c r="BCP40" s="66"/>
      <c r="BCQ40" s="66"/>
      <c r="BCR40" s="66"/>
      <c r="BCS40" s="66"/>
      <c r="BCT40" s="66"/>
      <c r="BCU40" s="66"/>
      <c r="BCV40" s="66"/>
      <c r="BCW40" s="66"/>
      <c r="BCX40" s="66"/>
      <c r="BCY40" s="66"/>
      <c r="BCZ40" s="66"/>
      <c r="BDA40" s="66"/>
      <c r="BDB40" s="66"/>
      <c r="BDC40" s="66"/>
      <c r="BDD40" s="66"/>
      <c r="BDE40" s="66"/>
      <c r="BDF40" s="66"/>
      <c r="BDG40" s="66"/>
      <c r="BDH40" s="66"/>
      <c r="BDI40" s="66"/>
      <c r="BDJ40" s="66"/>
      <c r="BDK40" s="66"/>
      <c r="BDL40" s="66"/>
      <c r="BDM40" s="66"/>
      <c r="BDN40" s="66"/>
      <c r="BDO40" s="66"/>
      <c r="BDP40" s="66"/>
      <c r="BDQ40" s="66"/>
      <c r="BDR40" s="66"/>
      <c r="BDS40" s="66"/>
      <c r="BDT40" s="66"/>
      <c r="BDU40" s="66"/>
      <c r="BDV40" s="66"/>
      <c r="BDW40" s="66"/>
      <c r="BDX40" s="66"/>
      <c r="BDY40" s="66"/>
      <c r="BDZ40" s="66"/>
      <c r="BEA40" s="66"/>
      <c r="BEB40" s="66"/>
      <c r="BEC40" s="66"/>
      <c r="BED40" s="66"/>
      <c r="BEE40" s="66"/>
      <c r="BEF40" s="66"/>
      <c r="BEG40" s="66"/>
      <c r="BEH40" s="66"/>
      <c r="BEI40" s="66"/>
      <c r="BEJ40" s="66"/>
      <c r="BEK40" s="66"/>
      <c r="BEL40" s="66"/>
      <c r="BEM40" s="66"/>
      <c r="BEN40" s="66"/>
      <c r="BEO40" s="66"/>
      <c r="BEP40" s="66"/>
      <c r="BEQ40" s="66"/>
      <c r="BER40" s="66"/>
      <c r="BES40" s="66"/>
      <c r="BET40" s="66"/>
      <c r="BEU40" s="66"/>
      <c r="BEV40" s="66"/>
      <c r="BEW40" s="66"/>
      <c r="BEX40" s="66"/>
      <c r="BEY40" s="66"/>
      <c r="BEZ40" s="66"/>
      <c r="BFA40" s="66"/>
      <c r="BFB40" s="66"/>
      <c r="BFC40" s="66"/>
      <c r="BFD40" s="66"/>
      <c r="BFE40" s="66"/>
      <c r="BFF40" s="66"/>
      <c r="BFG40" s="66"/>
      <c r="BFH40" s="66"/>
      <c r="BFI40" s="66"/>
      <c r="BFJ40" s="66"/>
      <c r="BFK40" s="66"/>
      <c r="BFL40" s="66"/>
      <c r="BFM40" s="66"/>
      <c r="BFN40" s="66"/>
      <c r="BFO40" s="66"/>
      <c r="BFP40" s="66"/>
      <c r="BFQ40" s="66"/>
      <c r="BFR40" s="66"/>
      <c r="BFS40" s="66"/>
      <c r="BFT40" s="66"/>
      <c r="BFU40" s="66"/>
      <c r="BFV40" s="66"/>
      <c r="BFW40" s="66"/>
      <c r="BFX40" s="66"/>
      <c r="BFY40" s="66"/>
      <c r="BFZ40" s="66"/>
      <c r="BGA40" s="66"/>
      <c r="BGB40" s="66"/>
      <c r="BGC40" s="66"/>
      <c r="BGD40" s="66"/>
      <c r="BGE40" s="66"/>
      <c r="BGF40" s="66"/>
      <c r="BGG40" s="66"/>
      <c r="BGH40" s="66"/>
      <c r="BGI40" s="66"/>
      <c r="BGJ40" s="66"/>
      <c r="BGK40" s="66"/>
      <c r="BGL40" s="66"/>
      <c r="BGM40" s="66"/>
      <c r="BGN40" s="66"/>
      <c r="BGO40" s="66"/>
      <c r="BGP40" s="66"/>
      <c r="BGQ40" s="66"/>
      <c r="BGR40" s="66"/>
      <c r="BGS40" s="66"/>
      <c r="BGT40" s="66"/>
      <c r="BGU40" s="66"/>
      <c r="BGV40" s="66"/>
      <c r="BGW40" s="66"/>
      <c r="BGX40" s="66"/>
      <c r="BGY40" s="66"/>
      <c r="BGZ40" s="66"/>
      <c r="BHA40" s="66"/>
      <c r="BHB40" s="66"/>
      <c r="BHC40" s="66"/>
      <c r="BHD40" s="66"/>
      <c r="BHE40" s="66"/>
      <c r="BHF40" s="66"/>
      <c r="BHG40" s="66"/>
      <c r="BHH40" s="66"/>
      <c r="BHI40" s="66"/>
      <c r="BHJ40" s="66"/>
      <c r="BHK40" s="66"/>
      <c r="BHL40" s="66"/>
      <c r="BHM40" s="66"/>
      <c r="BHN40" s="66"/>
      <c r="BHO40" s="66"/>
      <c r="BHP40" s="66"/>
      <c r="BHQ40" s="66"/>
      <c r="BHR40" s="66"/>
      <c r="BHS40" s="66"/>
      <c r="BHT40" s="66"/>
      <c r="BHU40" s="66"/>
      <c r="BHV40" s="66"/>
      <c r="BHW40" s="66"/>
      <c r="BHX40" s="66"/>
      <c r="BHY40" s="66"/>
      <c r="BHZ40" s="66"/>
      <c r="BIA40" s="66"/>
      <c r="BIB40" s="66"/>
      <c r="BIC40" s="66"/>
      <c r="BID40" s="66"/>
      <c r="BIE40" s="66"/>
      <c r="BIF40" s="66"/>
      <c r="BIG40" s="66"/>
      <c r="BIH40" s="66"/>
      <c r="BII40" s="66"/>
      <c r="BIJ40" s="66"/>
      <c r="BIK40" s="66"/>
      <c r="BIL40" s="66"/>
      <c r="BIM40" s="66"/>
      <c r="BIN40" s="66"/>
      <c r="BIO40" s="66"/>
      <c r="BIP40" s="66"/>
      <c r="BIQ40" s="66"/>
      <c r="BIR40" s="66"/>
      <c r="BIS40" s="66"/>
      <c r="BIT40" s="66"/>
      <c r="BIU40" s="66"/>
      <c r="BIV40" s="66"/>
      <c r="BIW40" s="66"/>
      <c r="BIX40" s="66"/>
      <c r="BIY40" s="66"/>
      <c r="BIZ40" s="66"/>
      <c r="BJA40" s="66"/>
      <c r="BJB40" s="66"/>
      <c r="BJC40" s="66"/>
      <c r="BJD40" s="66"/>
      <c r="BJE40" s="66"/>
      <c r="BJF40" s="66"/>
      <c r="BJG40" s="66"/>
      <c r="BJH40" s="66"/>
      <c r="BJI40" s="66"/>
      <c r="BJJ40" s="66"/>
      <c r="BJK40" s="66"/>
      <c r="BJL40" s="66"/>
      <c r="BJM40" s="66"/>
      <c r="BJN40" s="66"/>
      <c r="BJO40" s="66"/>
      <c r="BJP40" s="66"/>
      <c r="BJQ40" s="66"/>
      <c r="BJR40" s="66"/>
      <c r="BJS40" s="66"/>
      <c r="BJT40" s="66"/>
      <c r="BJU40" s="66"/>
      <c r="BJV40" s="66"/>
      <c r="BJW40" s="66"/>
      <c r="BJX40" s="66"/>
      <c r="BJY40" s="66"/>
      <c r="BJZ40" s="66"/>
      <c r="BKA40" s="66"/>
      <c r="BKB40" s="66"/>
      <c r="BKC40" s="66"/>
      <c r="BKD40" s="66"/>
      <c r="BKE40" s="66"/>
      <c r="BKF40" s="66"/>
      <c r="BKG40" s="66"/>
      <c r="BKH40" s="66"/>
      <c r="BKI40" s="66"/>
      <c r="BKJ40" s="66"/>
      <c r="BKK40" s="66"/>
      <c r="BKL40" s="66"/>
      <c r="BKM40" s="66"/>
      <c r="BKN40" s="66"/>
      <c r="BKO40" s="66"/>
      <c r="BKP40" s="66"/>
      <c r="BKQ40" s="66"/>
      <c r="BKR40" s="66"/>
      <c r="BKS40" s="66"/>
      <c r="BKT40" s="66"/>
      <c r="BKU40" s="66"/>
      <c r="BKV40" s="66"/>
      <c r="BKW40" s="66"/>
      <c r="BKX40" s="66"/>
      <c r="BKY40" s="66"/>
      <c r="BKZ40" s="66"/>
      <c r="BLA40" s="66"/>
      <c r="BLB40" s="66"/>
      <c r="BLC40" s="66"/>
      <c r="BLD40" s="66"/>
      <c r="BLE40" s="66"/>
      <c r="BLF40" s="66"/>
      <c r="BLG40" s="66"/>
      <c r="BLH40" s="66"/>
      <c r="BLI40" s="66"/>
      <c r="BLJ40" s="66"/>
      <c r="BLK40" s="66"/>
      <c r="BLL40" s="66"/>
      <c r="BLM40" s="66"/>
      <c r="BLN40" s="66"/>
      <c r="BLO40" s="66"/>
      <c r="BLP40" s="66"/>
      <c r="BLQ40" s="66"/>
      <c r="BLR40" s="66"/>
      <c r="BLS40" s="66"/>
      <c r="BLT40" s="66"/>
      <c r="BLU40" s="66"/>
      <c r="BLV40" s="66"/>
      <c r="BLW40" s="66"/>
      <c r="BLX40" s="66"/>
      <c r="BLY40" s="66"/>
      <c r="BLZ40" s="66"/>
      <c r="BMA40" s="66"/>
      <c r="BMB40" s="66"/>
      <c r="BMC40" s="66"/>
      <c r="BMD40" s="66"/>
      <c r="BME40" s="66"/>
      <c r="BMF40" s="66"/>
      <c r="BMG40" s="66"/>
      <c r="BMH40" s="66"/>
      <c r="BMI40" s="66"/>
      <c r="BMJ40" s="66"/>
      <c r="BMK40" s="66"/>
      <c r="BML40" s="66"/>
      <c r="BMM40" s="66"/>
      <c r="BMN40" s="66"/>
      <c r="BMO40" s="66"/>
      <c r="BMP40" s="66"/>
      <c r="BMQ40" s="66"/>
      <c r="BMR40" s="66"/>
      <c r="BMS40" s="66"/>
      <c r="BMT40" s="66"/>
      <c r="BMU40" s="66"/>
      <c r="BMV40" s="66"/>
      <c r="BMW40" s="66"/>
      <c r="BMX40" s="66"/>
      <c r="BMY40" s="66"/>
      <c r="BMZ40" s="66"/>
      <c r="BNA40" s="66"/>
      <c r="BNB40" s="66"/>
      <c r="BNC40" s="66"/>
      <c r="BND40" s="66"/>
      <c r="BNE40" s="66"/>
      <c r="BNF40" s="66"/>
      <c r="BNG40" s="66"/>
      <c r="BNH40" s="66"/>
      <c r="BNI40" s="66"/>
      <c r="BNJ40" s="66"/>
      <c r="BNK40" s="66"/>
      <c r="BNL40" s="66"/>
      <c r="BNM40" s="66"/>
      <c r="BNN40" s="66"/>
      <c r="BNO40" s="66"/>
      <c r="BNP40" s="66"/>
      <c r="BNQ40" s="66"/>
      <c r="BNR40" s="66"/>
      <c r="BNS40" s="66"/>
      <c r="BNT40" s="66"/>
      <c r="BNU40" s="66"/>
      <c r="BNV40" s="66"/>
      <c r="BNW40" s="66"/>
      <c r="BNX40" s="66"/>
      <c r="BNY40" s="66"/>
      <c r="BNZ40" s="66"/>
      <c r="BOA40" s="66"/>
      <c r="BOB40" s="66"/>
      <c r="BOC40" s="66"/>
      <c r="BOD40" s="66"/>
      <c r="BOE40" s="66"/>
      <c r="BOF40" s="66"/>
      <c r="BOG40" s="66"/>
      <c r="BOH40" s="66"/>
      <c r="BOI40" s="66"/>
      <c r="BOJ40" s="66"/>
      <c r="BOK40" s="66"/>
      <c r="BOL40" s="66"/>
      <c r="BOM40" s="66"/>
      <c r="BON40" s="66"/>
      <c r="BOO40" s="66"/>
      <c r="BOP40" s="66"/>
      <c r="BOQ40" s="66"/>
      <c r="BOR40" s="66"/>
      <c r="BOS40" s="66"/>
      <c r="BOT40" s="66"/>
      <c r="BOU40" s="66"/>
      <c r="BOV40" s="66"/>
      <c r="BOW40" s="66"/>
      <c r="BOX40" s="66"/>
      <c r="BOY40" s="66"/>
      <c r="BOZ40" s="66"/>
      <c r="BPA40" s="66"/>
      <c r="BPB40" s="66"/>
      <c r="BPC40" s="66"/>
      <c r="BPD40" s="66"/>
      <c r="BPE40" s="66"/>
      <c r="BPF40" s="66"/>
      <c r="BPG40" s="66"/>
      <c r="BPH40" s="66"/>
      <c r="BPI40" s="66"/>
      <c r="BPJ40" s="66"/>
      <c r="BPK40" s="66"/>
      <c r="BPL40" s="66"/>
      <c r="BPM40" s="66"/>
      <c r="BPN40" s="66"/>
      <c r="BPO40" s="66"/>
      <c r="BPP40" s="66"/>
      <c r="BPQ40" s="66"/>
      <c r="BPR40" s="66"/>
      <c r="BPS40" s="66"/>
      <c r="BPT40" s="66"/>
      <c r="BPU40" s="66"/>
      <c r="BPV40" s="66"/>
      <c r="BPW40" s="66"/>
      <c r="BPX40" s="66"/>
      <c r="BPY40" s="66"/>
      <c r="BPZ40" s="66"/>
      <c r="BQA40" s="66"/>
      <c r="BQB40" s="66"/>
      <c r="BQC40" s="66"/>
      <c r="BQD40" s="66"/>
      <c r="BQE40" s="66"/>
      <c r="BQF40" s="66"/>
      <c r="BQG40" s="66"/>
      <c r="BQH40" s="66"/>
      <c r="BQI40" s="66"/>
      <c r="BQJ40" s="66"/>
      <c r="BQK40" s="66"/>
      <c r="BQL40" s="66"/>
      <c r="BQM40" s="66"/>
      <c r="BQN40" s="66"/>
      <c r="BQO40" s="66"/>
      <c r="BQP40" s="66"/>
      <c r="BQQ40" s="66"/>
      <c r="BQR40" s="66"/>
      <c r="BQS40" s="66"/>
      <c r="BQT40" s="66"/>
      <c r="BQU40" s="66"/>
      <c r="BQV40" s="66"/>
      <c r="BQW40" s="66"/>
      <c r="BQX40" s="66"/>
      <c r="BQY40" s="66"/>
      <c r="BQZ40" s="66"/>
      <c r="BRA40" s="66"/>
      <c r="BRB40" s="66"/>
      <c r="BRC40" s="66"/>
      <c r="BRD40" s="66"/>
      <c r="BRE40" s="66"/>
      <c r="BRF40" s="66"/>
      <c r="BRG40" s="66"/>
      <c r="BRH40" s="66"/>
      <c r="BRI40" s="66"/>
      <c r="BRJ40" s="66"/>
      <c r="BRK40" s="66"/>
      <c r="BRL40" s="66"/>
      <c r="BRM40" s="66"/>
      <c r="BRN40" s="66"/>
      <c r="BRO40" s="66"/>
      <c r="BRP40" s="66"/>
      <c r="BRQ40" s="66"/>
      <c r="BRR40" s="66"/>
      <c r="BRS40" s="66"/>
      <c r="BRT40" s="66"/>
      <c r="BRU40" s="66"/>
      <c r="BRV40" s="66"/>
      <c r="BRW40" s="66"/>
      <c r="BRX40" s="66"/>
      <c r="BRY40" s="66"/>
      <c r="BRZ40" s="66"/>
      <c r="BSA40" s="66"/>
      <c r="BSB40" s="66"/>
      <c r="BSC40" s="66"/>
      <c r="BSD40" s="66"/>
      <c r="BSE40" s="66"/>
      <c r="BSF40" s="66"/>
      <c r="BSG40" s="66"/>
      <c r="BSH40" s="66"/>
      <c r="BSI40" s="66"/>
      <c r="BSJ40" s="66"/>
      <c r="BSK40" s="66"/>
      <c r="BSL40" s="66"/>
      <c r="BSM40" s="66"/>
      <c r="BSN40" s="66"/>
      <c r="BSO40" s="66"/>
      <c r="BSP40" s="66"/>
      <c r="BSQ40" s="66"/>
      <c r="BSR40" s="66"/>
      <c r="BSS40" s="66"/>
      <c r="BST40" s="66"/>
      <c r="BSU40" s="66"/>
      <c r="BSV40" s="66"/>
      <c r="BSW40" s="66"/>
      <c r="BSX40" s="66"/>
      <c r="BSY40" s="66"/>
      <c r="BSZ40" s="66"/>
      <c r="BTA40" s="66"/>
      <c r="BTB40" s="66"/>
      <c r="BTC40" s="66"/>
      <c r="BTD40" s="66"/>
      <c r="BTE40" s="66"/>
      <c r="BTF40" s="66"/>
      <c r="BTG40" s="66"/>
      <c r="BTH40" s="66"/>
      <c r="BTI40" s="66"/>
      <c r="BTJ40" s="66"/>
      <c r="BTK40" s="66"/>
      <c r="BTL40" s="66"/>
      <c r="BTM40" s="66"/>
      <c r="BTN40" s="66"/>
      <c r="BTO40" s="66"/>
      <c r="BTP40" s="66"/>
      <c r="BTQ40" s="66"/>
      <c r="BTR40" s="66"/>
      <c r="BTS40" s="66"/>
      <c r="BTT40" s="66"/>
      <c r="BTU40" s="66"/>
      <c r="BTV40" s="66"/>
      <c r="BTW40" s="66"/>
      <c r="BTX40" s="66"/>
      <c r="BTY40" s="66"/>
      <c r="BTZ40" s="66"/>
      <c r="BUA40" s="66"/>
      <c r="BUB40" s="66"/>
      <c r="BUC40" s="66"/>
      <c r="BUD40" s="66"/>
      <c r="BUE40" s="66"/>
      <c r="BUF40" s="66"/>
      <c r="BUG40" s="66"/>
      <c r="BUH40" s="66"/>
      <c r="BUI40" s="66"/>
      <c r="BUJ40" s="66"/>
      <c r="BUK40" s="66"/>
      <c r="BUL40" s="66"/>
      <c r="BUM40" s="66"/>
      <c r="BUN40" s="66"/>
      <c r="BUO40" s="66"/>
      <c r="BUP40" s="66"/>
      <c r="BUQ40" s="66"/>
      <c r="BUR40" s="66"/>
      <c r="BUS40" s="66"/>
      <c r="BUT40" s="66"/>
      <c r="BUU40" s="66"/>
      <c r="BUV40" s="66"/>
      <c r="BUW40" s="66"/>
      <c r="BUX40" s="66"/>
      <c r="BUY40" s="66"/>
      <c r="BUZ40" s="66"/>
      <c r="BVA40" s="66"/>
      <c r="BVB40" s="66"/>
      <c r="BVC40" s="66"/>
      <c r="BVD40" s="66"/>
      <c r="BVE40" s="66"/>
      <c r="BVF40" s="66"/>
      <c r="BVG40" s="66"/>
      <c r="BVH40" s="66"/>
      <c r="BVI40" s="66"/>
      <c r="BVJ40" s="66"/>
      <c r="BVK40" s="66"/>
      <c r="BVL40" s="66"/>
      <c r="BVM40" s="66"/>
      <c r="BVN40" s="66"/>
      <c r="BVO40" s="66"/>
      <c r="BVP40" s="66"/>
      <c r="BVQ40" s="66"/>
      <c r="BVR40" s="66"/>
      <c r="BVS40" s="66"/>
      <c r="BVT40" s="66"/>
      <c r="BVU40" s="66"/>
      <c r="BVV40" s="66"/>
      <c r="BVW40" s="66"/>
      <c r="BVX40" s="66"/>
      <c r="BVY40" s="66"/>
      <c r="BVZ40" s="66"/>
      <c r="BWA40" s="66"/>
      <c r="BWB40" s="66"/>
      <c r="BWC40" s="66"/>
      <c r="BWD40" s="66"/>
      <c r="BWE40" s="66"/>
      <c r="BWF40" s="66"/>
      <c r="BWG40" s="66"/>
      <c r="BWH40" s="66"/>
      <c r="BWI40" s="66"/>
      <c r="BWJ40" s="66"/>
      <c r="BWK40" s="66"/>
      <c r="BWL40" s="66"/>
      <c r="BWM40" s="66"/>
      <c r="BWN40" s="66"/>
      <c r="BWO40" s="66"/>
      <c r="BWP40" s="66"/>
      <c r="BWQ40" s="66"/>
      <c r="BWR40" s="66"/>
      <c r="BWS40" s="66"/>
      <c r="BWT40" s="66"/>
      <c r="BWU40" s="66"/>
      <c r="BWV40" s="66"/>
      <c r="BWW40" s="66"/>
      <c r="BWX40" s="66"/>
      <c r="BWY40" s="66"/>
      <c r="BWZ40" s="66"/>
      <c r="BXA40" s="66"/>
      <c r="BXB40" s="66"/>
      <c r="BXC40" s="66"/>
      <c r="BXD40" s="66"/>
      <c r="BXE40" s="66"/>
      <c r="BXF40" s="66"/>
      <c r="BXG40" s="66"/>
      <c r="BXH40" s="66"/>
      <c r="BXI40" s="66"/>
      <c r="BXJ40" s="66"/>
      <c r="BXK40" s="66"/>
      <c r="BXL40" s="66"/>
      <c r="BXM40" s="66"/>
      <c r="BXN40" s="66"/>
      <c r="BXO40" s="66"/>
      <c r="BXP40" s="66"/>
      <c r="BXQ40" s="66"/>
      <c r="BXR40" s="66"/>
      <c r="BXS40" s="66"/>
      <c r="BXT40" s="66"/>
      <c r="BXU40" s="66"/>
      <c r="BXV40" s="66"/>
      <c r="BXW40" s="66"/>
      <c r="BXX40" s="66"/>
      <c r="BXY40" s="66"/>
      <c r="BXZ40" s="66"/>
      <c r="BYA40" s="66"/>
      <c r="BYB40" s="66"/>
      <c r="BYC40" s="66"/>
      <c r="BYD40" s="66"/>
      <c r="BYE40" s="66"/>
      <c r="BYF40" s="66"/>
      <c r="BYG40" s="66"/>
      <c r="BYH40" s="66"/>
      <c r="BYI40" s="66"/>
      <c r="BYJ40" s="66"/>
      <c r="BYK40" s="66"/>
      <c r="BYL40" s="66"/>
      <c r="BYM40" s="66"/>
      <c r="BYN40" s="66"/>
      <c r="BYO40" s="66"/>
      <c r="BYP40" s="66"/>
      <c r="BYQ40" s="66"/>
      <c r="BYR40" s="66"/>
      <c r="BYS40" s="66"/>
      <c r="BYT40" s="66"/>
      <c r="BYU40" s="66"/>
      <c r="BYV40" s="66"/>
      <c r="BYW40" s="66"/>
      <c r="BYX40" s="66"/>
      <c r="BYY40" s="66"/>
      <c r="BYZ40" s="66"/>
      <c r="BZA40" s="66"/>
      <c r="BZB40" s="66"/>
      <c r="BZC40" s="66"/>
      <c r="BZD40" s="66"/>
      <c r="BZE40" s="66"/>
      <c r="BZF40" s="66"/>
      <c r="BZG40" s="66"/>
      <c r="BZH40" s="66"/>
      <c r="BZI40" s="66"/>
      <c r="BZJ40" s="66"/>
      <c r="BZK40" s="66"/>
      <c r="BZL40" s="66"/>
      <c r="BZM40" s="66"/>
      <c r="BZN40" s="66"/>
      <c r="BZO40" s="66"/>
      <c r="BZP40" s="66"/>
      <c r="BZQ40" s="66"/>
      <c r="BZR40" s="66"/>
      <c r="BZS40" s="66"/>
      <c r="BZT40" s="66"/>
      <c r="BZU40" s="66"/>
      <c r="BZV40" s="66"/>
      <c r="BZW40" s="66"/>
      <c r="BZX40" s="66"/>
      <c r="BZY40" s="66"/>
      <c r="BZZ40" s="66"/>
      <c r="CAA40" s="66"/>
      <c r="CAB40" s="66"/>
      <c r="CAC40" s="66"/>
      <c r="CAD40" s="66"/>
      <c r="CAE40" s="66"/>
      <c r="CAF40" s="66"/>
      <c r="CAG40" s="66"/>
      <c r="CAH40" s="66"/>
      <c r="CAI40" s="66"/>
      <c r="CAJ40" s="66"/>
      <c r="CAK40" s="66"/>
      <c r="CAL40" s="66"/>
      <c r="CAM40" s="66"/>
      <c r="CAN40" s="66"/>
      <c r="CAO40" s="66"/>
      <c r="CAP40" s="66"/>
      <c r="CAQ40" s="66"/>
      <c r="CAR40" s="66"/>
      <c r="CAS40" s="66"/>
      <c r="CAT40" s="66"/>
      <c r="CAU40" s="66"/>
      <c r="CAV40" s="66"/>
      <c r="CAW40" s="66"/>
      <c r="CAX40" s="66"/>
      <c r="CAY40" s="66"/>
      <c r="CAZ40" s="66"/>
      <c r="CBA40" s="66"/>
      <c r="CBB40" s="66"/>
      <c r="CBC40" s="66"/>
      <c r="CBD40" s="66"/>
      <c r="CBE40" s="66"/>
      <c r="CBF40" s="66"/>
      <c r="CBG40" s="66"/>
      <c r="CBH40" s="66"/>
      <c r="CBI40" s="66"/>
      <c r="CBJ40" s="66"/>
      <c r="CBK40" s="66"/>
      <c r="CBL40" s="66"/>
      <c r="CBM40" s="66"/>
      <c r="CBN40" s="66"/>
      <c r="CBO40" s="66"/>
      <c r="CBP40" s="66"/>
      <c r="CBQ40" s="66"/>
      <c r="CBR40" s="66"/>
      <c r="CBS40" s="66"/>
      <c r="CBT40" s="66"/>
      <c r="CBU40" s="66"/>
      <c r="CBV40" s="66"/>
      <c r="CBW40" s="66"/>
      <c r="CBX40" s="66"/>
      <c r="CBY40" s="66"/>
      <c r="CBZ40" s="66"/>
      <c r="CCA40" s="66"/>
      <c r="CCB40" s="66"/>
      <c r="CCC40" s="66"/>
      <c r="CCD40" s="66"/>
      <c r="CCE40" s="66"/>
      <c r="CCF40" s="66"/>
      <c r="CCG40" s="66"/>
      <c r="CCH40" s="66"/>
      <c r="CCI40" s="66"/>
      <c r="CCJ40" s="66"/>
      <c r="CCK40" s="66"/>
      <c r="CCL40" s="66"/>
      <c r="CCM40" s="66"/>
      <c r="CCN40" s="66"/>
      <c r="CCO40" s="66"/>
      <c r="CCP40" s="66"/>
      <c r="CCQ40" s="66"/>
      <c r="CCR40" s="66"/>
      <c r="CCS40" s="66"/>
      <c r="CCT40" s="66"/>
      <c r="CCU40" s="66"/>
      <c r="CCV40" s="66"/>
      <c r="CCW40" s="66"/>
      <c r="CCX40" s="66"/>
      <c r="CCY40" s="66"/>
      <c r="CCZ40" s="66"/>
      <c r="CDA40" s="66"/>
      <c r="CDB40" s="66"/>
      <c r="CDC40" s="66"/>
      <c r="CDD40" s="66"/>
      <c r="CDE40" s="66"/>
      <c r="CDF40" s="66"/>
      <c r="CDG40" s="66"/>
      <c r="CDH40" s="66"/>
      <c r="CDI40" s="66"/>
      <c r="CDJ40" s="66"/>
      <c r="CDK40" s="66"/>
      <c r="CDL40" s="66"/>
      <c r="CDM40" s="66"/>
      <c r="CDN40" s="66"/>
      <c r="CDO40" s="66"/>
      <c r="CDP40" s="66"/>
      <c r="CDQ40" s="66"/>
      <c r="CDR40" s="66"/>
      <c r="CDS40" s="66"/>
      <c r="CDT40" s="66"/>
      <c r="CDU40" s="66"/>
      <c r="CDV40" s="66"/>
      <c r="CDW40" s="66"/>
      <c r="CDX40" s="66"/>
      <c r="CDY40" s="66"/>
      <c r="CDZ40" s="66"/>
      <c r="CEA40" s="66"/>
      <c r="CEB40" s="66"/>
      <c r="CEC40" s="66"/>
      <c r="CED40" s="66"/>
      <c r="CEE40" s="66"/>
      <c r="CEF40" s="66"/>
      <c r="CEG40" s="66"/>
      <c r="CEH40" s="66"/>
      <c r="CEI40" s="66"/>
      <c r="CEJ40" s="66"/>
      <c r="CEK40" s="66"/>
      <c r="CEL40" s="66"/>
      <c r="CEM40" s="66"/>
      <c r="CEN40" s="66"/>
      <c r="CEO40" s="66"/>
      <c r="CEP40" s="66"/>
      <c r="CEQ40" s="66"/>
      <c r="CER40" s="66"/>
      <c r="CES40" s="66"/>
      <c r="CET40" s="66"/>
      <c r="CEU40" s="66"/>
      <c r="CEV40" s="66"/>
      <c r="CEW40" s="66"/>
      <c r="CEX40" s="66"/>
      <c r="CEY40" s="66"/>
      <c r="CEZ40" s="66"/>
      <c r="CFA40" s="66"/>
      <c r="CFB40" s="66"/>
      <c r="CFC40" s="66"/>
      <c r="CFD40" s="66"/>
      <c r="CFE40" s="66"/>
      <c r="CFF40" s="66"/>
      <c r="CFG40" s="66"/>
      <c r="CFH40" s="66"/>
      <c r="CFI40" s="66"/>
      <c r="CFJ40" s="66"/>
      <c r="CFK40" s="66"/>
      <c r="CFL40" s="66"/>
      <c r="CFM40" s="66"/>
      <c r="CFN40" s="66"/>
      <c r="CFO40" s="66"/>
      <c r="CFP40" s="66"/>
      <c r="CFQ40" s="66"/>
      <c r="CFR40" s="66"/>
      <c r="CFS40" s="66"/>
      <c r="CFT40" s="66"/>
      <c r="CFU40" s="66"/>
      <c r="CFV40" s="66"/>
      <c r="CFW40" s="66"/>
      <c r="CFX40" s="66"/>
      <c r="CFY40" s="66"/>
      <c r="CFZ40" s="66"/>
      <c r="CGA40" s="66"/>
      <c r="CGB40" s="66"/>
      <c r="CGC40" s="66"/>
      <c r="CGD40" s="66"/>
      <c r="CGE40" s="66"/>
      <c r="CGF40" s="66"/>
      <c r="CGG40" s="66"/>
      <c r="CGH40" s="66"/>
      <c r="CGI40" s="66"/>
      <c r="CGJ40" s="66"/>
      <c r="CGK40" s="66"/>
      <c r="CGL40" s="66"/>
      <c r="CGM40" s="66"/>
      <c r="CGN40" s="66"/>
      <c r="CGO40" s="66"/>
      <c r="CGP40" s="66"/>
      <c r="CGQ40" s="66"/>
      <c r="CGR40" s="66"/>
      <c r="CGS40" s="66"/>
      <c r="CGT40" s="66"/>
      <c r="CGU40" s="66"/>
      <c r="CGV40" s="66"/>
      <c r="CGW40" s="66"/>
      <c r="CGX40" s="66"/>
      <c r="CGY40" s="66"/>
      <c r="CGZ40" s="66"/>
      <c r="CHA40" s="66"/>
      <c r="CHB40" s="66"/>
      <c r="CHC40" s="66"/>
      <c r="CHD40" s="66"/>
      <c r="CHE40" s="66"/>
      <c r="CHF40" s="66"/>
      <c r="CHG40" s="66"/>
      <c r="CHH40" s="66"/>
      <c r="CHI40" s="66"/>
      <c r="CHJ40" s="66"/>
      <c r="CHK40" s="66"/>
      <c r="CHL40" s="66"/>
      <c r="CHM40" s="66"/>
      <c r="CHN40" s="66"/>
      <c r="CHO40" s="66"/>
      <c r="CHP40" s="66"/>
      <c r="CHQ40" s="66"/>
      <c r="CHR40" s="66"/>
      <c r="CHS40" s="66"/>
      <c r="CHT40" s="66"/>
      <c r="CHU40" s="66"/>
      <c r="CHV40" s="66"/>
      <c r="CHW40" s="66"/>
      <c r="CHX40" s="66"/>
      <c r="CHY40" s="66"/>
      <c r="CHZ40" s="66"/>
      <c r="CIA40" s="66"/>
      <c r="CIB40" s="66"/>
      <c r="CIC40" s="66"/>
      <c r="CID40" s="66"/>
      <c r="CIE40" s="66"/>
      <c r="CIF40" s="66"/>
      <c r="CIG40" s="66"/>
      <c r="CIH40" s="66"/>
      <c r="CII40" s="66"/>
      <c r="CIJ40" s="66"/>
      <c r="CIK40" s="66"/>
      <c r="CIL40" s="66"/>
      <c r="CIM40" s="66"/>
      <c r="CIN40" s="66"/>
      <c r="CIO40" s="66"/>
      <c r="CIP40" s="66"/>
      <c r="CIQ40" s="66"/>
      <c r="CIR40" s="66"/>
      <c r="CIS40" s="66"/>
      <c r="CIT40" s="66"/>
      <c r="CIU40" s="66"/>
      <c r="CIV40" s="66"/>
      <c r="CIW40" s="66"/>
      <c r="CIX40" s="66"/>
      <c r="CIY40" s="66"/>
      <c r="CIZ40" s="66"/>
      <c r="CJA40" s="66"/>
      <c r="CJB40" s="66"/>
      <c r="CJC40" s="66"/>
      <c r="CJD40" s="66"/>
      <c r="CJE40" s="66"/>
      <c r="CJF40" s="66"/>
      <c r="CJG40" s="66"/>
      <c r="CJH40" s="66"/>
      <c r="CJI40" s="66"/>
      <c r="CJJ40" s="66"/>
      <c r="CJK40" s="66"/>
      <c r="CJL40" s="66"/>
      <c r="CJM40" s="66"/>
      <c r="CJN40" s="66"/>
      <c r="CJO40" s="66"/>
      <c r="CJP40" s="66"/>
      <c r="CJQ40" s="66"/>
      <c r="CJR40" s="66"/>
      <c r="CJS40" s="66"/>
      <c r="CJT40" s="66"/>
      <c r="CJU40" s="66"/>
      <c r="CJV40" s="66"/>
      <c r="CJW40" s="66"/>
      <c r="CJX40" s="66"/>
      <c r="CJY40" s="66"/>
      <c r="CJZ40" s="66"/>
      <c r="CKA40" s="66"/>
      <c r="CKB40" s="66"/>
      <c r="CKC40" s="66"/>
      <c r="CKD40" s="66"/>
      <c r="CKE40" s="66"/>
      <c r="CKF40" s="66"/>
      <c r="CKG40" s="66"/>
      <c r="CKH40" s="66"/>
      <c r="CKI40" s="66"/>
      <c r="CKJ40" s="66"/>
      <c r="CKK40" s="66"/>
      <c r="CKL40" s="66"/>
      <c r="CKM40" s="66"/>
      <c r="CKN40" s="66"/>
      <c r="CKO40" s="66"/>
      <c r="CKP40" s="66"/>
      <c r="CKQ40" s="66"/>
      <c r="CKR40" s="66"/>
      <c r="CKS40" s="66"/>
      <c r="CKT40" s="66"/>
      <c r="CKU40" s="66"/>
      <c r="CKV40" s="66"/>
      <c r="CKW40" s="66"/>
      <c r="CKX40" s="66"/>
      <c r="CKY40" s="66"/>
      <c r="CKZ40" s="66"/>
      <c r="CLA40" s="66"/>
      <c r="CLB40" s="66"/>
      <c r="CLC40" s="66"/>
      <c r="CLD40" s="66"/>
      <c r="CLE40" s="66"/>
      <c r="CLF40" s="66"/>
      <c r="CLG40" s="66"/>
      <c r="CLH40" s="66"/>
      <c r="CLI40" s="66"/>
      <c r="CLJ40" s="66"/>
      <c r="CLK40" s="66"/>
      <c r="CLL40" s="66"/>
      <c r="CLM40" s="66"/>
      <c r="CLN40" s="66"/>
      <c r="CLO40" s="66"/>
      <c r="CLP40" s="66"/>
      <c r="CLQ40" s="66"/>
      <c r="CLR40" s="66"/>
      <c r="CLS40" s="66"/>
      <c r="CLT40" s="66"/>
      <c r="CLU40" s="66"/>
      <c r="CLV40" s="66"/>
      <c r="CLW40" s="66"/>
      <c r="CLX40" s="66"/>
      <c r="CLY40" s="66"/>
      <c r="CLZ40" s="66"/>
      <c r="CMA40" s="66"/>
      <c r="CMB40" s="66"/>
      <c r="CMC40" s="66"/>
      <c r="CMD40" s="66"/>
      <c r="CME40" s="66"/>
      <c r="CMF40" s="66"/>
      <c r="CMG40" s="66"/>
      <c r="CMH40" s="66"/>
      <c r="CMI40" s="66"/>
      <c r="CMJ40" s="66"/>
      <c r="CMK40" s="66"/>
      <c r="CML40" s="66"/>
      <c r="CMM40" s="66"/>
      <c r="CMN40" s="66"/>
      <c r="CMO40" s="66"/>
      <c r="CMP40" s="66"/>
      <c r="CMQ40" s="66"/>
      <c r="CMR40" s="66"/>
      <c r="CMS40" s="66"/>
      <c r="CMT40" s="66"/>
      <c r="CMU40" s="66"/>
      <c r="CMV40" s="66"/>
      <c r="CMW40" s="66"/>
      <c r="CMX40" s="66"/>
      <c r="CMY40" s="66"/>
      <c r="CMZ40" s="66"/>
      <c r="CNA40" s="66"/>
      <c r="CNB40" s="66"/>
      <c r="CNC40" s="66"/>
      <c r="CND40" s="66"/>
      <c r="CNE40" s="66"/>
      <c r="CNF40" s="66"/>
      <c r="CNG40" s="66"/>
      <c r="CNH40" s="66"/>
      <c r="CNI40" s="66"/>
      <c r="CNJ40" s="66"/>
      <c r="CNK40" s="66"/>
      <c r="CNL40" s="66"/>
      <c r="CNM40" s="66"/>
      <c r="CNN40" s="66"/>
      <c r="CNO40" s="66"/>
      <c r="CNP40" s="66"/>
      <c r="CNQ40" s="66"/>
      <c r="CNR40" s="66"/>
      <c r="CNS40" s="66"/>
      <c r="CNT40" s="66"/>
      <c r="CNU40" s="66"/>
      <c r="CNV40" s="66"/>
      <c r="CNW40" s="66"/>
      <c r="CNX40" s="66"/>
      <c r="CNY40" s="66"/>
      <c r="CNZ40" s="66"/>
      <c r="COA40" s="66"/>
      <c r="COB40" s="66"/>
      <c r="COC40" s="66"/>
      <c r="COD40" s="66"/>
      <c r="COE40" s="66"/>
      <c r="COF40" s="66"/>
      <c r="COG40" s="66"/>
      <c r="COH40" s="66"/>
      <c r="COI40" s="66"/>
      <c r="COJ40" s="66"/>
      <c r="COK40" s="66"/>
      <c r="COL40" s="66"/>
      <c r="COM40" s="66"/>
      <c r="CON40" s="66"/>
      <c r="COO40" s="66"/>
      <c r="COP40" s="66"/>
      <c r="COQ40" s="66"/>
      <c r="COR40" s="66"/>
      <c r="COS40" s="66"/>
      <c r="COT40" s="66"/>
      <c r="COU40" s="66"/>
      <c r="COV40" s="66"/>
      <c r="COW40" s="66"/>
      <c r="COX40" s="66"/>
      <c r="COY40" s="66"/>
      <c r="COZ40" s="66"/>
      <c r="CPA40" s="66"/>
      <c r="CPB40" s="66"/>
      <c r="CPC40" s="66"/>
      <c r="CPD40" s="66"/>
      <c r="CPE40" s="66"/>
      <c r="CPF40" s="66"/>
      <c r="CPG40" s="66"/>
      <c r="CPH40" s="66"/>
      <c r="CPI40" s="66"/>
      <c r="CPJ40" s="66"/>
      <c r="CPK40" s="66"/>
      <c r="CPL40" s="66"/>
      <c r="CPM40" s="66"/>
      <c r="CPN40" s="66"/>
      <c r="CPO40" s="66"/>
      <c r="CPP40" s="66"/>
      <c r="CPQ40" s="66"/>
      <c r="CPR40" s="66"/>
      <c r="CPS40" s="66"/>
      <c r="CPT40" s="66"/>
      <c r="CPU40" s="66"/>
      <c r="CPV40" s="66"/>
      <c r="CPW40" s="66"/>
      <c r="CPX40" s="66"/>
      <c r="CPY40" s="66"/>
      <c r="CPZ40" s="66"/>
      <c r="CQA40" s="66"/>
      <c r="CQB40" s="66"/>
      <c r="CQC40" s="66"/>
      <c r="CQD40" s="66"/>
      <c r="CQE40" s="66"/>
      <c r="CQF40" s="66"/>
      <c r="CQG40" s="66"/>
      <c r="CQH40" s="66"/>
      <c r="CQI40" s="66"/>
      <c r="CQJ40" s="66"/>
      <c r="CQK40" s="66"/>
      <c r="CQL40" s="66"/>
      <c r="CQM40" s="66"/>
      <c r="CQN40" s="66"/>
      <c r="CQO40" s="66"/>
      <c r="CQP40" s="66"/>
      <c r="CQQ40" s="66"/>
      <c r="CQR40" s="66"/>
      <c r="CQS40" s="66"/>
      <c r="CQT40" s="66"/>
      <c r="CQU40" s="66"/>
      <c r="CQV40" s="66"/>
      <c r="CQW40" s="66"/>
      <c r="CQX40" s="66"/>
      <c r="CQY40" s="66"/>
      <c r="CQZ40" s="66"/>
      <c r="CRA40" s="66"/>
      <c r="CRB40" s="66"/>
      <c r="CRC40" s="66"/>
      <c r="CRD40" s="66"/>
      <c r="CRE40" s="66"/>
      <c r="CRF40" s="66"/>
      <c r="CRG40" s="66"/>
      <c r="CRH40" s="66"/>
      <c r="CRI40" s="66"/>
      <c r="CRJ40" s="66"/>
      <c r="CRK40" s="66"/>
      <c r="CRL40" s="66"/>
      <c r="CRM40" s="66"/>
      <c r="CRN40" s="66"/>
      <c r="CRO40" s="66"/>
      <c r="CRP40" s="66"/>
      <c r="CRQ40" s="66"/>
      <c r="CRR40" s="66"/>
      <c r="CRS40" s="66"/>
      <c r="CRT40" s="66"/>
      <c r="CRU40" s="66"/>
      <c r="CRV40" s="66"/>
      <c r="CRW40" s="66"/>
      <c r="CRX40" s="66"/>
      <c r="CRY40" s="66"/>
      <c r="CRZ40" s="66"/>
      <c r="CSA40" s="66"/>
      <c r="CSB40" s="66"/>
      <c r="CSC40" s="66"/>
      <c r="CSD40" s="66"/>
      <c r="CSE40" s="66"/>
      <c r="CSF40" s="66"/>
      <c r="CSG40" s="66"/>
      <c r="CSH40" s="66"/>
      <c r="CSI40" s="66"/>
      <c r="CSJ40" s="66"/>
      <c r="CSK40" s="66"/>
      <c r="CSL40" s="66"/>
      <c r="CSM40" s="66"/>
      <c r="CSN40" s="66"/>
      <c r="CSO40" s="66"/>
      <c r="CSP40" s="66"/>
      <c r="CSQ40" s="66"/>
      <c r="CSR40" s="66"/>
      <c r="CSS40" s="66"/>
      <c r="CST40" s="66"/>
      <c r="CSU40" s="66"/>
      <c r="CSV40" s="66"/>
      <c r="CSW40" s="66"/>
      <c r="CSX40" s="66"/>
      <c r="CSY40" s="66"/>
      <c r="CSZ40" s="66"/>
      <c r="CTA40" s="66"/>
      <c r="CTB40" s="66"/>
      <c r="CTC40" s="66"/>
      <c r="CTD40" s="66"/>
      <c r="CTE40" s="66"/>
      <c r="CTF40" s="66"/>
      <c r="CTG40" s="66"/>
      <c r="CTH40" s="66"/>
      <c r="CTI40" s="66"/>
      <c r="CTJ40" s="66"/>
      <c r="CTK40" s="66"/>
      <c r="CTL40" s="66"/>
      <c r="CTM40" s="66"/>
      <c r="CTN40" s="66"/>
      <c r="CTO40" s="66"/>
      <c r="CTP40" s="66"/>
      <c r="CTQ40" s="66"/>
      <c r="CTR40" s="66"/>
      <c r="CTS40" s="66"/>
      <c r="CTT40" s="66"/>
      <c r="CTU40" s="66"/>
      <c r="CTV40" s="66"/>
      <c r="CTW40" s="66"/>
      <c r="CTX40" s="66"/>
      <c r="CTY40" s="66"/>
      <c r="CTZ40" s="66"/>
      <c r="CUA40" s="66"/>
      <c r="CUB40" s="66"/>
      <c r="CUC40" s="66"/>
      <c r="CUD40" s="66"/>
      <c r="CUE40" s="66"/>
      <c r="CUF40" s="66"/>
      <c r="CUG40" s="66"/>
      <c r="CUH40" s="66"/>
      <c r="CUI40" s="66"/>
      <c r="CUJ40" s="66"/>
      <c r="CUK40" s="66"/>
      <c r="CUL40" s="66"/>
      <c r="CUM40" s="66"/>
      <c r="CUN40" s="66"/>
      <c r="CUO40" s="66"/>
      <c r="CUP40" s="66"/>
      <c r="CUQ40" s="66"/>
      <c r="CUR40" s="66"/>
      <c r="CUS40" s="66"/>
      <c r="CUT40" s="66"/>
      <c r="CUU40" s="66"/>
      <c r="CUV40" s="66"/>
      <c r="CUW40" s="66"/>
      <c r="CUX40" s="66"/>
      <c r="CUY40" s="66"/>
      <c r="CUZ40" s="66"/>
      <c r="CVA40" s="66"/>
      <c r="CVB40" s="66"/>
      <c r="CVC40" s="66"/>
      <c r="CVD40" s="66"/>
      <c r="CVE40" s="66"/>
      <c r="CVF40" s="66"/>
      <c r="CVG40" s="66"/>
      <c r="CVH40" s="66"/>
      <c r="CVI40" s="66"/>
      <c r="CVJ40" s="66"/>
      <c r="CVK40" s="66"/>
      <c r="CVL40" s="66"/>
      <c r="CVM40" s="66"/>
      <c r="CVN40" s="66"/>
      <c r="CVO40" s="66"/>
      <c r="CVP40" s="66"/>
      <c r="CVQ40" s="66"/>
      <c r="CVR40" s="66"/>
      <c r="CVS40" s="66"/>
      <c r="CVT40" s="66"/>
      <c r="CVU40" s="66"/>
      <c r="CVV40" s="66"/>
      <c r="CVW40" s="66"/>
      <c r="CVX40" s="66"/>
      <c r="CVY40" s="66"/>
      <c r="CVZ40" s="66"/>
      <c r="CWA40" s="66"/>
      <c r="CWB40" s="66"/>
      <c r="CWC40" s="66"/>
      <c r="CWD40" s="66"/>
      <c r="CWE40" s="66"/>
      <c r="CWF40" s="66"/>
      <c r="CWG40" s="66"/>
      <c r="CWH40" s="66"/>
      <c r="CWI40" s="66"/>
      <c r="CWJ40" s="66"/>
      <c r="CWK40" s="66"/>
      <c r="CWL40" s="66"/>
      <c r="CWM40" s="66"/>
      <c r="CWN40" s="66"/>
      <c r="CWO40" s="66"/>
      <c r="CWP40" s="66"/>
      <c r="CWQ40" s="66"/>
      <c r="CWR40" s="66"/>
      <c r="CWS40" s="66"/>
      <c r="CWT40" s="66"/>
      <c r="CWU40" s="66"/>
      <c r="CWV40" s="66"/>
      <c r="CWW40" s="66"/>
      <c r="CWX40" s="66"/>
      <c r="CWY40" s="66"/>
      <c r="CWZ40" s="66"/>
      <c r="CXA40" s="66"/>
      <c r="CXB40" s="66"/>
      <c r="CXC40" s="66"/>
      <c r="CXD40" s="66"/>
      <c r="CXE40" s="66"/>
      <c r="CXF40" s="66"/>
      <c r="CXG40" s="66"/>
      <c r="CXH40" s="66"/>
      <c r="CXI40" s="66"/>
      <c r="CXJ40" s="66"/>
      <c r="CXK40" s="66"/>
      <c r="CXL40" s="66"/>
      <c r="CXM40" s="66"/>
      <c r="CXN40" s="66"/>
      <c r="CXO40" s="66"/>
      <c r="CXP40" s="66"/>
      <c r="CXQ40" s="66"/>
      <c r="CXR40" s="66"/>
      <c r="CXS40" s="66"/>
      <c r="CXT40" s="66"/>
      <c r="CXU40" s="66"/>
      <c r="CXV40" s="66"/>
      <c r="CXW40" s="66"/>
      <c r="CXX40" s="66"/>
      <c r="CXY40" s="66"/>
      <c r="CXZ40" s="66"/>
      <c r="CYA40" s="66"/>
      <c r="CYB40" s="66"/>
      <c r="CYC40" s="66"/>
      <c r="CYD40" s="66"/>
      <c r="CYE40" s="66"/>
      <c r="CYF40" s="66"/>
      <c r="CYG40" s="66"/>
      <c r="CYH40" s="66"/>
      <c r="CYI40" s="66"/>
      <c r="CYJ40" s="66"/>
      <c r="CYK40" s="66"/>
      <c r="CYL40" s="66"/>
      <c r="CYM40" s="66"/>
      <c r="CYN40" s="66"/>
      <c r="CYO40" s="66"/>
      <c r="CYP40" s="66"/>
      <c r="CYQ40" s="66"/>
      <c r="CYR40" s="66"/>
      <c r="CYS40" s="66"/>
      <c r="CYT40" s="66"/>
      <c r="CYU40" s="66"/>
      <c r="CYV40" s="66"/>
      <c r="CYW40" s="66"/>
      <c r="CYX40" s="66"/>
      <c r="CYY40" s="66"/>
      <c r="CYZ40" s="66"/>
      <c r="CZA40" s="66"/>
      <c r="CZB40" s="66"/>
      <c r="CZC40" s="66"/>
      <c r="CZD40" s="66"/>
      <c r="CZE40" s="66"/>
      <c r="CZF40" s="66"/>
      <c r="CZG40" s="66"/>
      <c r="CZH40" s="66"/>
      <c r="CZI40" s="66"/>
      <c r="CZJ40" s="66"/>
      <c r="CZK40" s="66"/>
      <c r="CZL40" s="66"/>
      <c r="CZM40" s="66"/>
      <c r="CZN40" s="66"/>
      <c r="CZO40" s="66"/>
      <c r="CZP40" s="66"/>
      <c r="CZQ40" s="66"/>
      <c r="CZR40" s="66"/>
      <c r="CZS40" s="66"/>
      <c r="CZT40" s="66"/>
      <c r="CZU40" s="66"/>
      <c r="CZV40" s="66"/>
      <c r="CZW40" s="66"/>
      <c r="CZX40" s="66"/>
      <c r="CZY40" s="66"/>
      <c r="CZZ40" s="66"/>
      <c r="DAA40" s="66"/>
      <c r="DAB40" s="66"/>
      <c r="DAC40" s="66"/>
      <c r="DAD40" s="66"/>
      <c r="DAE40" s="66"/>
      <c r="DAF40" s="66"/>
      <c r="DAG40" s="66"/>
      <c r="DAH40" s="66"/>
      <c r="DAI40" s="66"/>
      <c r="DAJ40" s="66"/>
      <c r="DAK40" s="66"/>
      <c r="DAL40" s="66"/>
      <c r="DAM40" s="66"/>
      <c r="DAN40" s="66"/>
      <c r="DAO40" s="66"/>
      <c r="DAP40" s="66"/>
      <c r="DAQ40" s="66"/>
      <c r="DAR40" s="66"/>
      <c r="DAS40" s="66"/>
      <c r="DAT40" s="66"/>
      <c r="DAU40" s="66"/>
      <c r="DAV40" s="66"/>
      <c r="DAW40" s="66"/>
      <c r="DAX40" s="66"/>
      <c r="DAY40" s="66"/>
      <c r="DAZ40" s="66"/>
      <c r="DBA40" s="66"/>
      <c r="DBB40" s="66"/>
      <c r="DBC40" s="66"/>
      <c r="DBD40" s="66"/>
      <c r="DBE40" s="66"/>
      <c r="DBF40" s="66"/>
      <c r="DBG40" s="66"/>
      <c r="DBH40" s="66"/>
      <c r="DBI40" s="66"/>
      <c r="DBJ40" s="66"/>
      <c r="DBK40" s="66"/>
      <c r="DBL40" s="66"/>
      <c r="DBM40" s="66"/>
      <c r="DBN40" s="66"/>
      <c r="DBO40" s="66"/>
      <c r="DBP40" s="66"/>
      <c r="DBQ40" s="66"/>
      <c r="DBR40" s="66"/>
      <c r="DBS40" s="66"/>
      <c r="DBT40" s="66"/>
      <c r="DBU40" s="66"/>
      <c r="DBV40" s="66"/>
      <c r="DBW40" s="66"/>
      <c r="DBX40" s="66"/>
      <c r="DBY40" s="66"/>
      <c r="DBZ40" s="66"/>
      <c r="DCA40" s="66"/>
      <c r="DCB40" s="66"/>
      <c r="DCC40" s="66"/>
      <c r="DCD40" s="66"/>
      <c r="DCE40" s="66"/>
      <c r="DCF40" s="66"/>
      <c r="DCG40" s="66"/>
      <c r="DCH40" s="66"/>
      <c r="DCI40" s="66"/>
      <c r="DCJ40" s="66"/>
      <c r="DCK40" s="66"/>
      <c r="DCL40" s="66"/>
      <c r="DCM40" s="66"/>
      <c r="DCN40" s="66"/>
      <c r="DCO40" s="66"/>
      <c r="DCP40" s="66"/>
      <c r="DCQ40" s="66"/>
      <c r="DCR40" s="66"/>
      <c r="DCS40" s="66"/>
      <c r="DCT40" s="66"/>
      <c r="DCU40" s="66"/>
      <c r="DCV40" s="66"/>
      <c r="DCW40" s="66"/>
      <c r="DCX40" s="66"/>
      <c r="DCY40" s="66"/>
      <c r="DCZ40" s="66"/>
      <c r="DDA40" s="66"/>
      <c r="DDB40" s="66"/>
      <c r="DDC40" s="66"/>
      <c r="DDD40" s="66"/>
      <c r="DDE40" s="66"/>
      <c r="DDF40" s="66"/>
      <c r="DDG40" s="66"/>
      <c r="DDH40" s="66"/>
      <c r="DDI40" s="66"/>
      <c r="DDJ40" s="66"/>
      <c r="DDK40" s="66"/>
      <c r="DDL40" s="66"/>
      <c r="DDM40" s="66"/>
      <c r="DDN40" s="66"/>
      <c r="DDO40" s="66"/>
      <c r="DDP40" s="66"/>
      <c r="DDQ40" s="66"/>
      <c r="DDR40" s="66"/>
      <c r="DDS40" s="66"/>
      <c r="DDT40" s="66"/>
      <c r="DDU40" s="66"/>
      <c r="DDV40" s="66"/>
      <c r="DDW40" s="66"/>
      <c r="DDX40" s="66"/>
      <c r="DDY40" s="66"/>
      <c r="DDZ40" s="66"/>
      <c r="DEA40" s="66"/>
      <c r="DEB40" s="66"/>
      <c r="DEC40" s="66"/>
      <c r="DED40" s="66"/>
      <c r="DEE40" s="66"/>
      <c r="DEF40" s="66"/>
      <c r="DEG40" s="66"/>
      <c r="DEH40" s="66"/>
      <c r="DEI40" s="66"/>
      <c r="DEJ40" s="66"/>
      <c r="DEK40" s="66"/>
      <c r="DEL40" s="66"/>
      <c r="DEM40" s="66"/>
      <c r="DEN40" s="66"/>
      <c r="DEO40" s="66"/>
      <c r="DEP40" s="66"/>
      <c r="DEQ40" s="66"/>
      <c r="DER40" s="66"/>
      <c r="DES40" s="66"/>
      <c r="DET40" s="66"/>
      <c r="DEU40" s="66"/>
      <c r="DEV40" s="66"/>
      <c r="DEW40" s="66"/>
      <c r="DEX40" s="66"/>
      <c r="DEY40" s="66"/>
      <c r="DEZ40" s="66"/>
      <c r="DFA40" s="66"/>
      <c r="DFB40" s="66"/>
      <c r="DFC40" s="66"/>
      <c r="DFD40" s="66"/>
      <c r="DFE40" s="66"/>
      <c r="DFF40" s="66"/>
      <c r="DFG40" s="66"/>
      <c r="DFH40" s="66"/>
      <c r="DFI40" s="66"/>
      <c r="DFJ40" s="66"/>
      <c r="DFK40" s="66"/>
      <c r="DFL40" s="66"/>
      <c r="DFM40" s="66"/>
      <c r="DFN40" s="66"/>
      <c r="DFO40" s="66"/>
      <c r="DFP40" s="66"/>
      <c r="DFQ40" s="66"/>
      <c r="DFR40" s="66"/>
      <c r="DFS40" s="66"/>
      <c r="DFT40" s="66"/>
      <c r="DFU40" s="66"/>
      <c r="DFV40" s="66"/>
      <c r="DFW40" s="66"/>
      <c r="DFX40" s="66"/>
      <c r="DFY40" s="66"/>
      <c r="DFZ40" s="66"/>
      <c r="DGA40" s="66"/>
      <c r="DGB40" s="66"/>
      <c r="DGC40" s="66"/>
      <c r="DGD40" s="66"/>
      <c r="DGE40" s="66"/>
      <c r="DGF40" s="66"/>
      <c r="DGG40" s="66"/>
      <c r="DGH40" s="66"/>
      <c r="DGI40" s="66"/>
      <c r="DGJ40" s="66"/>
      <c r="DGK40" s="66"/>
      <c r="DGL40" s="66"/>
      <c r="DGM40" s="66"/>
      <c r="DGN40" s="66"/>
      <c r="DGO40" s="66"/>
      <c r="DGP40" s="66"/>
      <c r="DGQ40" s="66"/>
      <c r="DGR40" s="66"/>
      <c r="DGS40" s="66"/>
      <c r="DGT40" s="66"/>
      <c r="DGU40" s="66"/>
      <c r="DGV40" s="66"/>
      <c r="DGW40" s="66"/>
      <c r="DGX40" s="66"/>
      <c r="DGY40" s="66"/>
      <c r="DGZ40" s="66"/>
      <c r="DHA40" s="66"/>
      <c r="DHB40" s="66"/>
      <c r="DHC40" s="66"/>
      <c r="DHD40" s="66"/>
      <c r="DHE40" s="66"/>
      <c r="DHF40" s="66"/>
      <c r="DHG40" s="66"/>
      <c r="DHH40" s="66"/>
      <c r="DHI40" s="66"/>
      <c r="DHJ40" s="66"/>
      <c r="DHK40" s="66"/>
      <c r="DHL40" s="66"/>
      <c r="DHM40" s="66"/>
      <c r="DHN40" s="66"/>
      <c r="DHO40" s="66"/>
      <c r="DHP40" s="66"/>
      <c r="DHQ40" s="66"/>
      <c r="DHR40" s="66"/>
      <c r="DHS40" s="66"/>
      <c r="DHT40" s="66"/>
      <c r="DHU40" s="66"/>
      <c r="DHV40" s="66"/>
      <c r="DHW40" s="66"/>
      <c r="DHX40" s="66"/>
      <c r="DHY40" s="66"/>
      <c r="DHZ40" s="66"/>
      <c r="DIA40" s="66"/>
      <c r="DIB40" s="66"/>
      <c r="DIC40" s="66"/>
      <c r="DID40" s="66"/>
      <c r="DIE40" s="66"/>
      <c r="DIF40" s="66"/>
      <c r="DIG40" s="66"/>
      <c r="DIH40" s="66"/>
      <c r="DII40" s="66"/>
      <c r="DIJ40" s="66"/>
      <c r="DIK40" s="66"/>
      <c r="DIL40" s="66"/>
      <c r="DIM40" s="66"/>
      <c r="DIN40" s="66"/>
      <c r="DIO40" s="66"/>
      <c r="DIP40" s="66"/>
      <c r="DIQ40" s="66"/>
      <c r="DIR40" s="66"/>
      <c r="DIS40" s="66"/>
      <c r="DIT40" s="66"/>
      <c r="DIU40" s="66"/>
      <c r="DIV40" s="66"/>
      <c r="DIW40" s="66"/>
      <c r="DIX40" s="66"/>
      <c r="DIY40" s="66"/>
      <c r="DIZ40" s="66"/>
      <c r="DJA40" s="66"/>
      <c r="DJB40" s="66"/>
      <c r="DJC40" s="66"/>
      <c r="DJD40" s="66"/>
      <c r="DJE40" s="66"/>
      <c r="DJF40" s="66"/>
      <c r="DJG40" s="66"/>
      <c r="DJH40" s="66"/>
      <c r="DJI40" s="66"/>
      <c r="DJJ40" s="66"/>
      <c r="DJK40" s="66"/>
      <c r="DJL40" s="66"/>
      <c r="DJM40" s="66"/>
      <c r="DJN40" s="66"/>
      <c r="DJO40" s="66"/>
      <c r="DJP40" s="66"/>
      <c r="DJQ40" s="66"/>
      <c r="DJR40" s="66"/>
      <c r="DJS40" s="66"/>
      <c r="DJT40" s="66"/>
      <c r="DJU40" s="66"/>
      <c r="DJV40" s="66"/>
      <c r="DJW40" s="66"/>
      <c r="DJX40" s="66"/>
      <c r="DJY40" s="66"/>
      <c r="DJZ40" s="66"/>
      <c r="DKA40" s="66"/>
      <c r="DKB40" s="66"/>
      <c r="DKC40" s="66"/>
      <c r="DKD40" s="66"/>
      <c r="DKE40" s="66"/>
      <c r="DKF40" s="66"/>
      <c r="DKG40" s="66"/>
      <c r="DKH40" s="66"/>
      <c r="DKI40" s="66"/>
      <c r="DKJ40" s="66"/>
      <c r="DKK40" s="66"/>
      <c r="DKL40" s="66"/>
      <c r="DKM40" s="66"/>
      <c r="DKN40" s="66"/>
      <c r="DKO40" s="66"/>
      <c r="DKP40" s="66"/>
      <c r="DKQ40" s="66"/>
      <c r="DKR40" s="66"/>
      <c r="DKS40" s="66"/>
      <c r="DKT40" s="66"/>
      <c r="DKU40" s="66"/>
      <c r="DKV40" s="66"/>
      <c r="DKW40" s="66"/>
      <c r="DKX40" s="66"/>
      <c r="DKY40" s="66"/>
      <c r="DKZ40" s="66"/>
      <c r="DLA40" s="66"/>
      <c r="DLB40" s="66"/>
      <c r="DLC40" s="66"/>
      <c r="DLD40" s="66"/>
      <c r="DLE40" s="66"/>
      <c r="DLF40" s="66"/>
      <c r="DLG40" s="66"/>
      <c r="DLH40" s="66"/>
      <c r="DLI40" s="66"/>
      <c r="DLJ40" s="66"/>
      <c r="DLK40" s="66"/>
      <c r="DLL40" s="66"/>
      <c r="DLM40" s="66"/>
      <c r="DLN40" s="66"/>
      <c r="DLO40" s="66"/>
      <c r="DLP40" s="66"/>
      <c r="DLQ40" s="66"/>
      <c r="DLR40" s="66"/>
      <c r="DLS40" s="66"/>
      <c r="DLT40" s="66"/>
      <c r="DLU40" s="66"/>
      <c r="DLV40" s="66"/>
      <c r="DLW40" s="66"/>
      <c r="DLX40" s="66"/>
      <c r="DLY40" s="66"/>
      <c r="DLZ40" s="66"/>
      <c r="DMA40" s="66"/>
      <c r="DMB40" s="66"/>
      <c r="DMC40" s="66"/>
      <c r="DMD40" s="66"/>
      <c r="DME40" s="66"/>
      <c r="DMF40" s="66"/>
      <c r="DMG40" s="66"/>
      <c r="DMH40" s="66"/>
      <c r="DMI40" s="66"/>
      <c r="DMJ40" s="66"/>
      <c r="DMK40" s="66"/>
      <c r="DML40" s="66"/>
      <c r="DMM40" s="66"/>
      <c r="DMN40" s="66"/>
      <c r="DMO40" s="66"/>
      <c r="DMP40" s="66"/>
      <c r="DMQ40" s="66"/>
      <c r="DMR40" s="66"/>
      <c r="DMS40" s="66"/>
      <c r="DMT40" s="66"/>
      <c r="DMU40" s="66"/>
      <c r="DMV40" s="66"/>
      <c r="DMW40" s="66"/>
      <c r="DMX40" s="66"/>
      <c r="DMY40" s="66"/>
      <c r="DMZ40" s="66"/>
      <c r="DNA40" s="66"/>
      <c r="DNB40" s="66"/>
      <c r="DNC40" s="66"/>
      <c r="DND40" s="66"/>
      <c r="DNE40" s="66"/>
      <c r="DNF40" s="66"/>
      <c r="DNG40" s="66"/>
      <c r="DNH40" s="66"/>
      <c r="DNI40" s="66"/>
      <c r="DNJ40" s="66"/>
      <c r="DNK40" s="66"/>
      <c r="DNL40" s="66"/>
      <c r="DNM40" s="66"/>
      <c r="DNN40" s="66"/>
      <c r="DNO40" s="66"/>
      <c r="DNP40" s="66"/>
      <c r="DNQ40" s="66"/>
      <c r="DNR40" s="66"/>
      <c r="DNS40" s="66"/>
      <c r="DNT40" s="66"/>
      <c r="DNU40" s="66"/>
      <c r="DNV40" s="66"/>
      <c r="DNW40" s="66"/>
      <c r="DNX40" s="66"/>
      <c r="DNY40" s="66"/>
      <c r="DNZ40" s="66"/>
      <c r="DOA40" s="66"/>
      <c r="DOB40" s="66"/>
      <c r="DOC40" s="66"/>
      <c r="DOD40" s="66"/>
      <c r="DOE40" s="66"/>
      <c r="DOF40" s="66"/>
      <c r="DOG40" s="66"/>
      <c r="DOH40" s="66"/>
      <c r="DOI40" s="66"/>
      <c r="DOJ40" s="66"/>
      <c r="DOK40" s="66"/>
      <c r="DOL40" s="66"/>
      <c r="DOM40" s="66"/>
      <c r="DON40" s="66"/>
      <c r="DOO40" s="66"/>
      <c r="DOP40" s="66"/>
      <c r="DOQ40" s="66"/>
      <c r="DOR40" s="66"/>
      <c r="DOS40" s="66"/>
      <c r="DOT40" s="66"/>
      <c r="DOU40" s="66"/>
      <c r="DOV40" s="66"/>
      <c r="DOW40" s="66"/>
      <c r="DOX40" s="66"/>
      <c r="DOY40" s="66"/>
      <c r="DOZ40" s="66"/>
      <c r="DPA40" s="66"/>
      <c r="DPB40" s="66"/>
      <c r="DPC40" s="66"/>
      <c r="DPD40" s="66"/>
      <c r="DPE40" s="66"/>
      <c r="DPF40" s="66"/>
      <c r="DPG40" s="66"/>
      <c r="DPH40" s="66"/>
      <c r="DPI40" s="66"/>
      <c r="DPJ40" s="66"/>
      <c r="DPK40" s="66"/>
      <c r="DPL40" s="66"/>
      <c r="DPM40" s="66"/>
      <c r="DPN40" s="66"/>
      <c r="DPO40" s="66"/>
      <c r="DPP40" s="66"/>
      <c r="DPQ40" s="66"/>
      <c r="DPR40" s="66"/>
      <c r="DPS40" s="66"/>
      <c r="DPT40" s="66"/>
      <c r="DPU40" s="66"/>
      <c r="DPV40" s="66"/>
      <c r="DPW40" s="66"/>
      <c r="DPX40" s="66"/>
      <c r="DPY40" s="66"/>
      <c r="DPZ40" s="66"/>
      <c r="DQA40" s="66"/>
      <c r="DQB40" s="66"/>
      <c r="DQC40" s="66"/>
      <c r="DQD40" s="66"/>
      <c r="DQE40" s="66"/>
      <c r="DQF40" s="66"/>
      <c r="DQG40" s="66"/>
      <c r="DQH40" s="66"/>
      <c r="DQI40" s="66"/>
      <c r="DQJ40" s="66"/>
      <c r="DQK40" s="66"/>
      <c r="DQL40" s="66"/>
      <c r="DQM40" s="66"/>
      <c r="DQN40" s="66"/>
      <c r="DQO40" s="66"/>
      <c r="DQP40" s="66"/>
      <c r="DQQ40" s="66"/>
      <c r="DQR40" s="66"/>
      <c r="DQS40" s="66"/>
      <c r="DQT40" s="66"/>
      <c r="DQU40" s="66"/>
      <c r="DQV40" s="66"/>
      <c r="DQW40" s="66"/>
      <c r="DQX40" s="66"/>
      <c r="DQY40" s="66"/>
      <c r="DQZ40" s="66"/>
      <c r="DRA40" s="66"/>
      <c r="DRB40" s="66"/>
      <c r="DRC40" s="66"/>
      <c r="DRD40" s="66"/>
      <c r="DRE40" s="66"/>
      <c r="DRF40" s="66"/>
      <c r="DRG40" s="66"/>
      <c r="DRH40" s="66"/>
      <c r="DRI40" s="66"/>
      <c r="DRJ40" s="66"/>
      <c r="DRK40" s="66"/>
      <c r="DRL40" s="66"/>
      <c r="DRM40" s="66"/>
      <c r="DRN40" s="66"/>
      <c r="DRO40" s="66"/>
      <c r="DRP40" s="66"/>
      <c r="DRQ40" s="66"/>
      <c r="DRR40" s="66"/>
      <c r="DRS40" s="66"/>
      <c r="DRT40" s="66"/>
      <c r="DRU40" s="66"/>
      <c r="DRV40" s="66"/>
      <c r="DRW40" s="66"/>
      <c r="DRX40" s="66"/>
      <c r="DRY40" s="66"/>
      <c r="DRZ40" s="66"/>
      <c r="DSA40" s="66"/>
      <c r="DSB40" s="66"/>
      <c r="DSC40" s="66"/>
      <c r="DSD40" s="66"/>
      <c r="DSE40" s="66"/>
      <c r="DSF40" s="66"/>
      <c r="DSG40" s="66"/>
      <c r="DSH40" s="66"/>
      <c r="DSI40" s="66"/>
      <c r="DSJ40" s="66"/>
      <c r="DSK40" s="66"/>
      <c r="DSL40" s="66"/>
      <c r="DSM40" s="66"/>
      <c r="DSN40" s="66"/>
      <c r="DSO40" s="66"/>
      <c r="DSP40" s="66"/>
      <c r="DSQ40" s="66"/>
      <c r="DSR40" s="66"/>
      <c r="DSS40" s="66"/>
      <c r="DST40" s="66"/>
      <c r="DSU40" s="66"/>
      <c r="DSV40" s="66"/>
      <c r="DSW40" s="66"/>
      <c r="DSX40" s="66"/>
      <c r="DSY40" s="66"/>
      <c r="DSZ40" s="66"/>
      <c r="DTA40" s="66"/>
      <c r="DTB40" s="66"/>
      <c r="DTC40" s="66"/>
      <c r="DTD40" s="66"/>
      <c r="DTE40" s="66"/>
      <c r="DTF40" s="66"/>
      <c r="DTG40" s="66"/>
      <c r="DTH40" s="66"/>
      <c r="DTI40" s="66"/>
      <c r="DTJ40" s="66"/>
      <c r="DTK40" s="66"/>
      <c r="DTL40" s="66"/>
      <c r="DTM40" s="66"/>
      <c r="DTN40" s="66"/>
      <c r="DTO40" s="66"/>
      <c r="DTP40" s="66"/>
      <c r="DTQ40" s="66"/>
      <c r="DTR40" s="66"/>
      <c r="DTS40" s="66"/>
      <c r="DTT40" s="66"/>
      <c r="DTU40" s="66"/>
      <c r="DTV40" s="66"/>
      <c r="DTW40" s="66"/>
      <c r="DTX40" s="66"/>
      <c r="DTY40" s="66"/>
      <c r="DTZ40" s="66"/>
      <c r="DUA40" s="66"/>
      <c r="DUB40" s="66"/>
      <c r="DUC40" s="66"/>
      <c r="DUD40" s="66"/>
      <c r="DUE40" s="66"/>
      <c r="DUF40" s="66"/>
      <c r="DUG40" s="66"/>
      <c r="DUH40" s="66"/>
      <c r="DUI40" s="66"/>
      <c r="DUJ40" s="66"/>
      <c r="DUK40" s="66"/>
      <c r="DUL40" s="66"/>
      <c r="DUM40" s="66"/>
      <c r="DUN40" s="66"/>
      <c r="DUO40" s="66"/>
      <c r="DUP40" s="66"/>
      <c r="DUQ40" s="66"/>
      <c r="DUR40" s="66"/>
      <c r="DUS40" s="66"/>
      <c r="DUT40" s="66"/>
      <c r="DUU40" s="66"/>
      <c r="DUV40" s="66"/>
      <c r="DUW40" s="66"/>
      <c r="DUX40" s="66"/>
      <c r="DUY40" s="66"/>
      <c r="DUZ40" s="66"/>
      <c r="DVA40" s="66"/>
      <c r="DVB40" s="66"/>
      <c r="DVC40" s="66"/>
      <c r="DVD40" s="66"/>
      <c r="DVE40" s="66"/>
      <c r="DVF40" s="66"/>
      <c r="DVG40" s="66"/>
      <c r="DVH40" s="66"/>
      <c r="DVI40" s="66"/>
      <c r="DVJ40" s="66"/>
      <c r="DVK40" s="66"/>
      <c r="DVL40" s="66"/>
      <c r="DVM40" s="66"/>
      <c r="DVN40" s="66"/>
      <c r="DVO40" s="66"/>
      <c r="DVP40" s="66"/>
      <c r="DVQ40" s="66"/>
      <c r="DVR40" s="66"/>
      <c r="DVS40" s="66"/>
      <c r="DVT40" s="66"/>
      <c r="DVU40" s="66"/>
      <c r="DVV40" s="66"/>
      <c r="DVW40" s="66"/>
      <c r="DVX40" s="66"/>
      <c r="DVY40" s="66"/>
      <c r="DVZ40" s="66"/>
      <c r="DWA40" s="66"/>
      <c r="DWB40" s="66"/>
      <c r="DWC40" s="66"/>
      <c r="DWD40" s="66"/>
      <c r="DWE40" s="66"/>
      <c r="DWF40" s="66"/>
      <c r="DWG40" s="66"/>
      <c r="DWH40" s="66"/>
      <c r="DWI40" s="66"/>
      <c r="DWJ40" s="66"/>
      <c r="DWK40" s="66"/>
      <c r="DWL40" s="66"/>
      <c r="DWM40" s="66"/>
      <c r="DWN40" s="66"/>
      <c r="DWO40" s="66"/>
      <c r="DWP40" s="66"/>
      <c r="DWQ40" s="66"/>
      <c r="DWR40" s="66"/>
      <c r="DWS40" s="66"/>
      <c r="DWT40" s="66"/>
      <c r="DWU40" s="66"/>
      <c r="DWV40" s="66"/>
      <c r="DWW40" s="66"/>
      <c r="DWX40" s="66"/>
      <c r="DWY40" s="66"/>
      <c r="DWZ40" s="66"/>
      <c r="DXA40" s="66"/>
      <c r="DXB40" s="66"/>
      <c r="DXC40" s="66"/>
      <c r="DXD40" s="66"/>
      <c r="DXE40" s="66"/>
      <c r="DXF40" s="66"/>
      <c r="DXG40" s="66"/>
      <c r="DXH40" s="66"/>
      <c r="DXI40" s="66"/>
      <c r="DXJ40" s="66"/>
      <c r="DXK40" s="66"/>
      <c r="DXL40" s="66"/>
      <c r="DXM40" s="66"/>
      <c r="DXN40" s="66"/>
      <c r="DXO40" s="66"/>
      <c r="DXP40" s="66"/>
      <c r="DXQ40" s="66"/>
      <c r="DXR40" s="66"/>
      <c r="DXS40" s="66"/>
      <c r="DXT40" s="66"/>
      <c r="DXU40" s="66"/>
      <c r="DXV40" s="66"/>
      <c r="DXW40" s="66"/>
      <c r="DXX40" s="66"/>
      <c r="DXY40" s="66"/>
      <c r="DXZ40" s="66"/>
      <c r="DYA40" s="66"/>
      <c r="DYB40" s="66"/>
      <c r="DYC40" s="66"/>
      <c r="DYD40" s="66"/>
      <c r="DYE40" s="66"/>
      <c r="DYF40" s="66"/>
      <c r="DYG40" s="66"/>
      <c r="DYH40" s="66"/>
      <c r="DYI40" s="66"/>
      <c r="DYJ40" s="66"/>
      <c r="DYK40" s="66"/>
      <c r="DYL40" s="66"/>
      <c r="DYM40" s="66"/>
      <c r="DYN40" s="66"/>
      <c r="DYO40" s="66"/>
      <c r="DYP40" s="66"/>
      <c r="DYQ40" s="66"/>
      <c r="DYR40" s="66"/>
      <c r="DYS40" s="66"/>
      <c r="DYT40" s="66"/>
      <c r="DYU40" s="66"/>
      <c r="DYV40" s="66"/>
      <c r="DYW40" s="66"/>
      <c r="DYX40" s="66"/>
      <c r="DYY40" s="66"/>
      <c r="DYZ40" s="66"/>
      <c r="DZA40" s="66"/>
      <c r="DZB40" s="66"/>
      <c r="DZC40" s="66"/>
      <c r="DZD40" s="66"/>
      <c r="DZE40" s="66"/>
      <c r="DZF40" s="66"/>
      <c r="DZG40" s="66"/>
      <c r="DZH40" s="66"/>
      <c r="DZI40" s="66"/>
      <c r="DZJ40" s="66"/>
      <c r="DZK40" s="66"/>
      <c r="DZL40" s="66"/>
      <c r="DZM40" s="66"/>
      <c r="DZN40" s="66"/>
      <c r="DZO40" s="66"/>
      <c r="DZP40" s="66"/>
      <c r="DZQ40" s="66"/>
      <c r="DZR40" s="66"/>
      <c r="DZS40" s="66"/>
      <c r="DZT40" s="66"/>
      <c r="DZU40" s="66"/>
      <c r="DZV40" s="66"/>
      <c r="DZW40" s="66"/>
      <c r="DZX40" s="66"/>
      <c r="DZY40" s="66"/>
      <c r="DZZ40" s="66"/>
      <c r="EAA40" s="66"/>
      <c r="EAB40" s="66"/>
      <c r="EAC40" s="66"/>
      <c r="EAD40" s="66"/>
      <c r="EAE40" s="66"/>
      <c r="EAF40" s="66"/>
      <c r="EAG40" s="66"/>
      <c r="EAH40" s="66"/>
      <c r="EAI40" s="66"/>
      <c r="EAJ40" s="66"/>
      <c r="EAK40" s="66"/>
      <c r="EAL40" s="66"/>
      <c r="EAM40" s="66"/>
      <c r="EAN40" s="66"/>
      <c r="EAO40" s="66"/>
      <c r="EAP40" s="66"/>
      <c r="EAQ40" s="66"/>
      <c r="EAR40" s="66"/>
      <c r="EAS40" s="66"/>
      <c r="EAT40" s="66"/>
      <c r="EAU40" s="66"/>
      <c r="EAV40" s="66"/>
      <c r="EAW40" s="66"/>
      <c r="EAX40" s="66"/>
      <c r="EAY40" s="66"/>
      <c r="EAZ40" s="66"/>
      <c r="EBA40" s="66"/>
      <c r="EBB40" s="66"/>
      <c r="EBC40" s="66"/>
      <c r="EBD40" s="66"/>
      <c r="EBE40" s="66"/>
      <c r="EBF40" s="66"/>
      <c r="EBG40" s="66"/>
      <c r="EBH40" s="66"/>
      <c r="EBI40" s="66"/>
      <c r="EBJ40" s="66"/>
      <c r="EBK40" s="66"/>
      <c r="EBL40" s="66"/>
      <c r="EBM40" s="66"/>
      <c r="EBN40" s="66"/>
      <c r="EBO40" s="66"/>
      <c r="EBP40" s="66"/>
      <c r="EBQ40" s="66"/>
      <c r="EBR40" s="66"/>
      <c r="EBS40" s="66"/>
      <c r="EBT40" s="66"/>
      <c r="EBU40" s="66"/>
      <c r="EBV40" s="66"/>
      <c r="EBW40" s="66"/>
      <c r="EBX40" s="66"/>
      <c r="EBY40" s="66"/>
      <c r="EBZ40" s="66"/>
      <c r="ECA40" s="66"/>
      <c r="ECB40" s="66"/>
      <c r="ECC40" s="66"/>
      <c r="ECD40" s="66"/>
      <c r="ECE40" s="66"/>
      <c r="ECF40" s="66"/>
      <c r="ECG40" s="66"/>
      <c r="ECH40" s="66"/>
      <c r="ECI40" s="66"/>
      <c r="ECJ40" s="66"/>
      <c r="ECK40" s="66"/>
      <c r="ECL40" s="66"/>
      <c r="ECM40" s="66"/>
      <c r="ECN40" s="66"/>
      <c r="ECO40" s="66"/>
      <c r="ECP40" s="66"/>
      <c r="ECQ40" s="66"/>
      <c r="ECR40" s="66"/>
      <c r="ECS40" s="66"/>
      <c r="ECT40" s="66"/>
      <c r="ECU40" s="66"/>
      <c r="ECV40" s="66"/>
      <c r="ECW40" s="66"/>
      <c r="ECX40" s="66"/>
      <c r="ECY40" s="66"/>
      <c r="ECZ40" s="66"/>
      <c r="EDA40" s="66"/>
      <c r="EDB40" s="66"/>
      <c r="EDC40" s="66"/>
      <c r="EDD40" s="66"/>
      <c r="EDE40" s="66"/>
      <c r="EDF40" s="66"/>
      <c r="EDG40" s="66"/>
      <c r="EDH40" s="66"/>
      <c r="EDI40" s="66"/>
      <c r="EDJ40" s="66"/>
      <c r="EDK40" s="66"/>
      <c r="EDL40" s="66"/>
      <c r="EDM40" s="66"/>
      <c r="EDN40" s="66"/>
      <c r="EDO40" s="66"/>
      <c r="EDP40" s="66"/>
      <c r="EDQ40" s="66"/>
      <c r="EDR40" s="66"/>
      <c r="EDS40" s="66"/>
      <c r="EDT40" s="66"/>
      <c r="EDU40" s="66"/>
      <c r="EDV40" s="66"/>
      <c r="EDW40" s="66"/>
      <c r="EDX40" s="66"/>
      <c r="EDY40" s="66"/>
      <c r="EDZ40" s="66"/>
      <c r="EEA40" s="66"/>
      <c r="EEB40" s="66"/>
      <c r="EEC40" s="66"/>
      <c r="EED40" s="66"/>
      <c r="EEE40" s="66"/>
      <c r="EEF40" s="66"/>
      <c r="EEG40" s="66"/>
      <c r="EEH40" s="66"/>
      <c r="EEI40" s="66"/>
      <c r="EEJ40" s="66"/>
      <c r="EEK40" s="66"/>
      <c r="EEL40" s="66"/>
      <c r="EEM40" s="66"/>
      <c r="EEN40" s="66"/>
      <c r="EEO40" s="66"/>
      <c r="EEP40" s="66"/>
      <c r="EEQ40" s="66"/>
      <c r="EER40" s="66"/>
      <c r="EES40" s="66"/>
      <c r="EET40" s="66"/>
      <c r="EEU40" s="66"/>
      <c r="EEV40" s="66"/>
      <c r="EEW40" s="66"/>
      <c r="EEX40" s="66"/>
      <c r="EEY40" s="66"/>
      <c r="EEZ40" s="66"/>
      <c r="EFA40" s="66"/>
      <c r="EFB40" s="66"/>
      <c r="EFC40" s="66"/>
      <c r="EFD40" s="66"/>
      <c r="EFE40" s="66"/>
      <c r="EFF40" s="66"/>
      <c r="EFG40" s="66"/>
      <c r="EFH40" s="66"/>
      <c r="EFI40" s="66"/>
      <c r="EFJ40" s="66"/>
      <c r="EFK40" s="66"/>
      <c r="EFL40" s="66"/>
      <c r="EFM40" s="66"/>
      <c r="EFN40" s="66"/>
      <c r="EFO40" s="66"/>
      <c r="EFP40" s="66"/>
      <c r="EFQ40" s="66"/>
      <c r="EFR40" s="66"/>
      <c r="EFS40" s="66"/>
      <c r="EFT40" s="66"/>
      <c r="EFU40" s="66"/>
      <c r="EFV40" s="66"/>
      <c r="EFW40" s="66"/>
      <c r="EFX40" s="66"/>
      <c r="EFY40" s="66"/>
      <c r="EFZ40" s="66"/>
      <c r="EGA40" s="66"/>
      <c r="EGB40" s="66"/>
      <c r="EGC40" s="66"/>
      <c r="EGD40" s="66"/>
      <c r="EGE40" s="66"/>
      <c r="EGF40" s="66"/>
      <c r="EGG40" s="66"/>
      <c r="EGH40" s="66"/>
      <c r="EGI40" s="66"/>
      <c r="EGJ40" s="66"/>
      <c r="EGK40" s="66"/>
      <c r="EGL40" s="66"/>
      <c r="EGM40" s="66"/>
      <c r="EGN40" s="66"/>
      <c r="EGO40" s="66"/>
      <c r="EGP40" s="66"/>
      <c r="EGQ40" s="66"/>
      <c r="EGR40" s="66"/>
      <c r="EGS40" s="66"/>
      <c r="EGT40" s="66"/>
      <c r="EGU40" s="66"/>
      <c r="EGV40" s="66"/>
      <c r="EGW40" s="66"/>
      <c r="EGX40" s="66"/>
      <c r="EGY40" s="66"/>
      <c r="EGZ40" s="66"/>
      <c r="EHA40" s="66"/>
      <c r="EHB40" s="66"/>
      <c r="EHC40" s="66"/>
      <c r="EHD40" s="66"/>
      <c r="EHE40" s="66"/>
      <c r="EHF40" s="66"/>
      <c r="EHG40" s="66"/>
      <c r="EHH40" s="66"/>
      <c r="EHI40" s="66"/>
      <c r="EHJ40" s="66"/>
      <c r="EHK40" s="66"/>
      <c r="EHL40" s="66"/>
      <c r="EHM40" s="66"/>
      <c r="EHN40" s="66"/>
      <c r="EHO40" s="66"/>
      <c r="EHP40" s="66"/>
      <c r="EHQ40" s="66"/>
      <c r="EHR40" s="66"/>
      <c r="EHS40" s="66"/>
      <c r="EHT40" s="66"/>
      <c r="EHU40" s="66"/>
      <c r="EHV40" s="66"/>
      <c r="EHW40" s="66"/>
      <c r="EHX40" s="66"/>
      <c r="EHY40" s="66"/>
      <c r="EHZ40" s="66"/>
      <c r="EIA40" s="66"/>
      <c r="EIB40" s="66"/>
      <c r="EIC40" s="66"/>
      <c r="EID40" s="66"/>
      <c r="EIE40" s="66"/>
      <c r="EIF40" s="66"/>
      <c r="EIG40" s="66"/>
      <c r="EIH40" s="66"/>
      <c r="EII40" s="66"/>
      <c r="EIJ40" s="66"/>
      <c r="EIK40" s="66"/>
      <c r="EIL40" s="66"/>
      <c r="EIM40" s="66"/>
      <c r="EIN40" s="66"/>
      <c r="EIO40" s="66"/>
      <c r="EIP40" s="66"/>
      <c r="EIQ40" s="66"/>
      <c r="EIR40" s="66"/>
      <c r="EIS40" s="66"/>
      <c r="EIT40" s="66"/>
      <c r="EIU40" s="66"/>
      <c r="EIV40" s="66"/>
      <c r="EIW40" s="66"/>
      <c r="EIX40" s="66"/>
      <c r="EIY40" s="66"/>
      <c r="EIZ40" s="66"/>
      <c r="EJA40" s="66"/>
      <c r="EJB40" s="66"/>
      <c r="EJC40" s="66"/>
      <c r="EJD40" s="66"/>
      <c r="EJE40" s="66"/>
      <c r="EJF40" s="66"/>
      <c r="EJG40" s="66"/>
      <c r="EJH40" s="66"/>
      <c r="EJI40" s="66"/>
      <c r="EJJ40" s="66"/>
      <c r="EJK40" s="66"/>
      <c r="EJL40" s="66"/>
      <c r="EJM40" s="66"/>
      <c r="EJN40" s="66"/>
      <c r="EJO40" s="66"/>
      <c r="EJP40" s="66"/>
      <c r="EJQ40" s="66"/>
      <c r="EJR40" s="66"/>
      <c r="EJS40" s="66"/>
      <c r="EJT40" s="66"/>
      <c r="EJU40" s="66"/>
      <c r="EJV40" s="66"/>
      <c r="EJW40" s="66"/>
      <c r="EJX40" s="66"/>
      <c r="EJY40" s="66"/>
      <c r="EJZ40" s="66"/>
      <c r="EKA40" s="66"/>
      <c r="EKB40" s="66"/>
      <c r="EKC40" s="66"/>
      <c r="EKD40" s="66"/>
      <c r="EKE40" s="66"/>
      <c r="EKF40" s="66"/>
      <c r="EKG40" s="66"/>
      <c r="EKH40" s="66"/>
      <c r="EKI40" s="66"/>
      <c r="EKJ40" s="66"/>
      <c r="EKK40" s="66"/>
      <c r="EKL40" s="66"/>
      <c r="EKM40" s="66"/>
      <c r="EKN40" s="66"/>
      <c r="EKO40" s="66"/>
      <c r="EKP40" s="66"/>
      <c r="EKQ40" s="66"/>
      <c r="EKR40" s="66"/>
      <c r="EKS40" s="66"/>
      <c r="EKT40" s="66"/>
      <c r="EKU40" s="66"/>
      <c r="EKV40" s="66"/>
      <c r="EKW40" s="66"/>
      <c r="EKX40" s="66"/>
      <c r="EKY40" s="66"/>
      <c r="EKZ40" s="66"/>
      <c r="ELA40" s="66"/>
      <c r="ELB40" s="66"/>
      <c r="ELC40" s="66"/>
      <c r="ELD40" s="66"/>
      <c r="ELE40" s="66"/>
      <c r="ELF40" s="66"/>
      <c r="ELG40" s="66"/>
      <c r="ELH40" s="66"/>
      <c r="ELI40" s="66"/>
      <c r="ELJ40" s="66"/>
      <c r="ELK40" s="66"/>
      <c r="ELL40" s="66"/>
      <c r="ELM40" s="66"/>
      <c r="ELN40" s="66"/>
      <c r="ELO40" s="66"/>
      <c r="ELP40" s="66"/>
      <c r="ELQ40" s="66"/>
      <c r="ELR40" s="66"/>
      <c r="ELS40" s="66"/>
      <c r="ELT40" s="66"/>
      <c r="ELU40" s="66"/>
      <c r="ELV40" s="66"/>
      <c r="ELW40" s="66"/>
      <c r="ELX40" s="66"/>
      <c r="ELY40" s="66"/>
      <c r="ELZ40" s="66"/>
      <c r="EMA40" s="66"/>
      <c r="EMB40" s="66"/>
      <c r="EMC40" s="66"/>
      <c r="EMD40" s="66"/>
      <c r="EME40" s="66"/>
      <c r="EMF40" s="66"/>
      <c r="EMG40" s="66"/>
      <c r="EMH40" s="66"/>
      <c r="EMI40" s="66"/>
      <c r="EMJ40" s="66"/>
      <c r="EMK40" s="66"/>
      <c r="EML40" s="66"/>
      <c r="EMM40" s="66"/>
      <c r="EMN40" s="66"/>
      <c r="EMO40" s="66"/>
      <c r="EMP40" s="66"/>
      <c r="EMQ40" s="66"/>
      <c r="EMR40" s="66"/>
      <c r="EMS40" s="66"/>
      <c r="EMT40" s="66"/>
      <c r="EMU40" s="66"/>
      <c r="EMV40" s="66"/>
      <c r="EMW40" s="66"/>
      <c r="EMX40" s="66"/>
      <c r="EMY40" s="66"/>
      <c r="EMZ40" s="66"/>
      <c r="ENA40" s="66"/>
      <c r="ENB40" s="66"/>
      <c r="ENC40" s="66"/>
      <c r="END40" s="66"/>
      <c r="ENE40" s="66"/>
      <c r="ENF40" s="66"/>
      <c r="ENG40" s="66"/>
      <c r="ENH40" s="66"/>
      <c r="ENI40" s="66"/>
      <c r="ENJ40" s="66"/>
      <c r="ENK40" s="66"/>
      <c r="ENL40" s="66"/>
      <c r="ENM40" s="66"/>
      <c r="ENN40" s="66"/>
      <c r="ENO40" s="66"/>
      <c r="ENP40" s="66"/>
      <c r="ENQ40" s="66"/>
      <c r="ENR40" s="66"/>
      <c r="ENS40" s="66"/>
      <c r="ENT40" s="66"/>
      <c r="ENU40" s="66"/>
      <c r="ENV40" s="66"/>
      <c r="ENW40" s="66"/>
      <c r="ENX40" s="66"/>
      <c r="ENY40" s="66"/>
      <c r="ENZ40" s="66"/>
      <c r="EOA40" s="66"/>
      <c r="EOB40" s="66"/>
      <c r="EOC40" s="66"/>
      <c r="EOD40" s="66"/>
      <c r="EOE40" s="66"/>
      <c r="EOF40" s="66"/>
      <c r="EOG40" s="66"/>
      <c r="EOH40" s="66"/>
      <c r="EOI40" s="66"/>
      <c r="EOJ40" s="66"/>
      <c r="EOK40" s="66"/>
      <c r="EOL40" s="66"/>
      <c r="EOM40" s="66"/>
      <c r="EON40" s="66"/>
      <c r="EOO40" s="66"/>
      <c r="EOP40" s="66"/>
      <c r="EOQ40" s="66"/>
      <c r="EOR40" s="66"/>
      <c r="EOS40" s="66"/>
      <c r="EOT40" s="66"/>
      <c r="EOU40" s="66"/>
      <c r="EOV40" s="66"/>
      <c r="EOW40" s="66"/>
      <c r="EOX40" s="66"/>
      <c r="EOY40" s="66"/>
      <c r="EOZ40" s="66"/>
      <c r="EPA40" s="66"/>
      <c r="EPB40" s="66"/>
      <c r="EPC40" s="66"/>
      <c r="EPD40" s="66"/>
      <c r="EPE40" s="66"/>
      <c r="EPF40" s="66"/>
      <c r="EPG40" s="66"/>
      <c r="EPH40" s="66"/>
      <c r="EPI40" s="66"/>
      <c r="EPJ40" s="66"/>
      <c r="EPK40" s="66"/>
      <c r="EPL40" s="66"/>
      <c r="EPM40" s="66"/>
      <c r="EPN40" s="66"/>
      <c r="EPO40" s="66"/>
      <c r="EPP40" s="66"/>
      <c r="EPQ40" s="66"/>
      <c r="EPR40" s="66"/>
      <c r="EPS40" s="66"/>
      <c r="EPT40" s="66"/>
      <c r="EPU40" s="66"/>
      <c r="EPV40" s="66"/>
      <c r="EPW40" s="66"/>
      <c r="EPX40" s="66"/>
      <c r="EPY40" s="66"/>
      <c r="EPZ40" s="66"/>
      <c r="EQA40" s="66"/>
      <c r="EQB40" s="66"/>
      <c r="EQC40" s="66"/>
      <c r="EQD40" s="66"/>
      <c r="EQE40" s="66"/>
      <c r="EQF40" s="66"/>
      <c r="EQG40" s="66"/>
      <c r="EQH40" s="66"/>
      <c r="EQI40" s="66"/>
      <c r="EQJ40" s="66"/>
      <c r="EQK40" s="66"/>
      <c r="EQL40" s="66"/>
      <c r="EQM40" s="66"/>
      <c r="EQN40" s="66"/>
      <c r="EQO40" s="66"/>
      <c r="EQP40" s="66"/>
      <c r="EQQ40" s="66"/>
      <c r="EQR40" s="66"/>
      <c r="EQS40" s="66"/>
      <c r="EQT40" s="66"/>
      <c r="EQU40" s="66"/>
      <c r="EQV40" s="66"/>
      <c r="EQW40" s="66"/>
      <c r="EQX40" s="66"/>
      <c r="EQY40" s="66"/>
      <c r="EQZ40" s="66"/>
      <c r="ERA40" s="66"/>
      <c r="ERB40" s="66"/>
      <c r="ERC40" s="66"/>
      <c r="ERD40" s="66"/>
      <c r="ERE40" s="66"/>
      <c r="ERF40" s="66"/>
      <c r="ERG40" s="66"/>
      <c r="ERH40" s="66"/>
      <c r="ERI40" s="66"/>
      <c r="ERJ40" s="66"/>
      <c r="ERK40" s="66"/>
      <c r="ERL40" s="66"/>
      <c r="ERM40" s="66"/>
      <c r="ERN40" s="66"/>
      <c r="ERO40" s="66"/>
      <c r="ERP40" s="66"/>
      <c r="ERQ40" s="66"/>
      <c r="ERR40" s="66"/>
      <c r="ERS40" s="66"/>
      <c r="ERT40" s="66"/>
      <c r="ERU40" s="66"/>
      <c r="ERV40" s="66"/>
      <c r="ERW40" s="66"/>
      <c r="ERX40" s="66"/>
      <c r="ERY40" s="66"/>
      <c r="ERZ40" s="66"/>
      <c r="ESA40" s="66"/>
      <c r="ESB40" s="66"/>
      <c r="ESC40" s="66"/>
      <c r="ESD40" s="66"/>
      <c r="ESE40" s="66"/>
      <c r="ESF40" s="66"/>
      <c r="ESG40" s="66"/>
      <c r="ESH40" s="66"/>
      <c r="ESI40" s="66"/>
      <c r="ESJ40" s="66"/>
      <c r="ESK40" s="66"/>
      <c r="ESL40" s="66"/>
      <c r="ESM40" s="66"/>
      <c r="ESN40" s="66"/>
      <c r="ESO40" s="66"/>
      <c r="ESP40" s="66"/>
      <c r="ESQ40" s="66"/>
      <c r="ESR40" s="66"/>
      <c r="ESS40" s="66"/>
      <c r="EST40" s="66"/>
      <c r="ESU40" s="66"/>
      <c r="ESV40" s="66"/>
      <c r="ESW40" s="66"/>
      <c r="ESX40" s="66"/>
      <c r="ESY40" s="66"/>
      <c r="ESZ40" s="66"/>
      <c r="ETA40" s="66"/>
      <c r="ETB40" s="66"/>
      <c r="ETC40" s="66"/>
      <c r="ETD40" s="66"/>
      <c r="ETE40" s="66"/>
      <c r="ETF40" s="66"/>
      <c r="ETG40" s="66"/>
      <c r="ETH40" s="66"/>
      <c r="ETI40" s="66"/>
      <c r="ETJ40" s="66"/>
      <c r="ETK40" s="66"/>
      <c r="ETL40" s="66"/>
      <c r="ETM40" s="66"/>
      <c r="ETN40" s="66"/>
      <c r="ETO40" s="66"/>
      <c r="ETP40" s="66"/>
      <c r="ETQ40" s="66"/>
      <c r="ETR40" s="66"/>
      <c r="ETS40" s="66"/>
      <c r="ETT40" s="66"/>
      <c r="ETU40" s="66"/>
      <c r="ETV40" s="66"/>
      <c r="ETW40" s="66"/>
      <c r="ETX40" s="66"/>
      <c r="ETY40" s="66"/>
      <c r="ETZ40" s="66"/>
      <c r="EUA40" s="66"/>
      <c r="EUB40" s="66"/>
      <c r="EUC40" s="66"/>
      <c r="EUD40" s="66"/>
      <c r="EUE40" s="66"/>
      <c r="EUF40" s="66"/>
      <c r="EUG40" s="66"/>
      <c r="EUH40" s="66"/>
      <c r="EUI40" s="66"/>
      <c r="EUJ40" s="66"/>
      <c r="EUK40" s="66"/>
      <c r="EUL40" s="66"/>
      <c r="EUM40" s="66"/>
      <c r="EUN40" s="66"/>
      <c r="EUO40" s="66"/>
      <c r="EUP40" s="66"/>
      <c r="EUQ40" s="66"/>
      <c r="EUR40" s="66"/>
      <c r="EUS40" s="66"/>
      <c r="EUT40" s="66"/>
      <c r="EUU40" s="66"/>
      <c r="EUV40" s="66"/>
      <c r="EUW40" s="66"/>
      <c r="EUX40" s="66"/>
      <c r="EUY40" s="66"/>
      <c r="EUZ40" s="66"/>
      <c r="EVA40" s="66"/>
      <c r="EVB40" s="66"/>
      <c r="EVC40" s="66"/>
      <c r="EVD40" s="66"/>
      <c r="EVE40" s="66"/>
      <c r="EVF40" s="66"/>
      <c r="EVG40" s="66"/>
      <c r="EVH40" s="66"/>
      <c r="EVI40" s="66"/>
      <c r="EVJ40" s="66"/>
      <c r="EVK40" s="66"/>
      <c r="EVL40" s="66"/>
      <c r="EVM40" s="66"/>
      <c r="EVN40" s="66"/>
      <c r="EVO40" s="66"/>
      <c r="EVP40" s="66"/>
      <c r="EVQ40" s="66"/>
      <c r="EVR40" s="66"/>
      <c r="EVS40" s="66"/>
      <c r="EVT40" s="66"/>
      <c r="EVU40" s="66"/>
      <c r="EVV40" s="66"/>
      <c r="EVW40" s="66"/>
      <c r="EVX40" s="66"/>
      <c r="EVY40" s="66"/>
      <c r="EVZ40" s="66"/>
      <c r="EWA40" s="66"/>
      <c r="EWB40" s="66"/>
      <c r="EWC40" s="66"/>
      <c r="EWD40" s="66"/>
      <c r="EWE40" s="66"/>
      <c r="EWF40" s="66"/>
      <c r="EWG40" s="66"/>
      <c r="EWH40" s="66"/>
      <c r="EWI40" s="66"/>
      <c r="EWJ40" s="66"/>
      <c r="EWK40" s="66"/>
      <c r="EWL40" s="66"/>
      <c r="EWM40" s="66"/>
      <c r="EWN40" s="66"/>
      <c r="EWO40" s="66"/>
      <c r="EWP40" s="66"/>
      <c r="EWQ40" s="66"/>
      <c r="EWR40" s="66"/>
      <c r="EWS40" s="66"/>
      <c r="EWT40" s="66"/>
      <c r="EWU40" s="66"/>
      <c r="EWV40" s="66"/>
      <c r="EWW40" s="66"/>
      <c r="EWX40" s="66"/>
      <c r="EWY40" s="66"/>
      <c r="EWZ40" s="66"/>
      <c r="EXA40" s="66"/>
      <c r="EXB40" s="66"/>
      <c r="EXC40" s="66"/>
      <c r="EXD40" s="66"/>
      <c r="EXE40" s="66"/>
      <c r="EXF40" s="66"/>
      <c r="EXG40" s="66"/>
      <c r="EXH40" s="66"/>
      <c r="EXI40" s="66"/>
      <c r="EXJ40" s="66"/>
      <c r="EXK40" s="66"/>
      <c r="EXL40" s="66"/>
      <c r="EXM40" s="66"/>
      <c r="EXN40" s="66"/>
      <c r="EXO40" s="66"/>
      <c r="EXP40" s="66"/>
      <c r="EXQ40" s="66"/>
      <c r="EXR40" s="66"/>
      <c r="EXS40" s="66"/>
      <c r="EXT40" s="66"/>
      <c r="EXU40" s="66"/>
      <c r="EXV40" s="66"/>
      <c r="EXW40" s="66"/>
      <c r="EXX40" s="66"/>
      <c r="EXY40" s="66"/>
      <c r="EXZ40" s="66"/>
      <c r="EYA40" s="66"/>
      <c r="EYB40" s="66"/>
      <c r="EYC40" s="66"/>
      <c r="EYD40" s="66"/>
      <c r="EYE40" s="66"/>
      <c r="EYF40" s="66"/>
      <c r="EYG40" s="66"/>
      <c r="EYH40" s="66"/>
      <c r="EYI40" s="66"/>
      <c r="EYJ40" s="66"/>
      <c r="EYK40" s="66"/>
      <c r="EYL40" s="66"/>
      <c r="EYM40" s="66"/>
      <c r="EYN40" s="66"/>
      <c r="EYO40" s="66"/>
      <c r="EYP40" s="66"/>
      <c r="EYQ40" s="66"/>
      <c r="EYR40" s="66"/>
      <c r="EYS40" s="66"/>
      <c r="EYT40" s="66"/>
      <c r="EYU40" s="66"/>
      <c r="EYV40" s="66"/>
      <c r="EYW40" s="66"/>
      <c r="EYX40" s="66"/>
      <c r="EYY40" s="66"/>
      <c r="EYZ40" s="66"/>
      <c r="EZA40" s="66"/>
      <c r="EZB40" s="66"/>
      <c r="EZC40" s="66"/>
      <c r="EZD40" s="66"/>
      <c r="EZE40" s="66"/>
      <c r="EZF40" s="66"/>
      <c r="EZG40" s="66"/>
      <c r="EZH40" s="66"/>
      <c r="EZI40" s="66"/>
      <c r="EZJ40" s="66"/>
      <c r="EZK40" s="66"/>
      <c r="EZL40" s="66"/>
      <c r="EZM40" s="66"/>
      <c r="EZN40" s="66"/>
      <c r="EZO40" s="66"/>
      <c r="EZP40" s="66"/>
      <c r="EZQ40" s="66"/>
      <c r="EZR40" s="66"/>
      <c r="EZS40" s="66"/>
      <c r="EZT40" s="66"/>
      <c r="EZU40" s="66"/>
      <c r="EZV40" s="66"/>
      <c r="EZW40" s="66"/>
      <c r="EZX40" s="66"/>
      <c r="EZY40" s="66"/>
      <c r="EZZ40" s="66"/>
      <c r="FAA40" s="66"/>
      <c r="FAB40" s="66"/>
      <c r="FAC40" s="66"/>
      <c r="FAD40" s="66"/>
      <c r="FAE40" s="66"/>
      <c r="FAF40" s="66"/>
      <c r="FAG40" s="66"/>
      <c r="FAH40" s="66"/>
      <c r="FAI40" s="66"/>
      <c r="FAJ40" s="66"/>
      <c r="FAK40" s="66"/>
      <c r="FAL40" s="66"/>
      <c r="FAM40" s="66"/>
      <c r="FAN40" s="66"/>
      <c r="FAO40" s="66"/>
      <c r="FAP40" s="66"/>
      <c r="FAQ40" s="66"/>
      <c r="FAR40" s="66"/>
      <c r="FAS40" s="66"/>
      <c r="FAT40" s="66"/>
      <c r="FAU40" s="66"/>
      <c r="FAV40" s="66"/>
      <c r="FAW40" s="66"/>
      <c r="FAX40" s="66"/>
      <c r="FAY40" s="66"/>
      <c r="FAZ40" s="66"/>
      <c r="FBA40" s="66"/>
      <c r="FBB40" s="66"/>
      <c r="FBC40" s="66"/>
      <c r="FBD40" s="66"/>
      <c r="FBE40" s="66"/>
      <c r="FBF40" s="66"/>
      <c r="FBG40" s="66"/>
      <c r="FBH40" s="66"/>
      <c r="FBI40" s="66"/>
      <c r="FBJ40" s="66"/>
      <c r="FBK40" s="66"/>
      <c r="FBL40" s="66"/>
      <c r="FBM40" s="66"/>
      <c r="FBN40" s="66"/>
      <c r="FBO40" s="66"/>
      <c r="FBP40" s="66"/>
      <c r="FBQ40" s="66"/>
      <c r="FBR40" s="66"/>
      <c r="FBS40" s="66"/>
      <c r="FBT40" s="66"/>
      <c r="FBU40" s="66"/>
      <c r="FBV40" s="66"/>
      <c r="FBW40" s="66"/>
      <c r="FBX40" s="66"/>
      <c r="FBY40" s="66"/>
      <c r="FBZ40" s="66"/>
      <c r="FCA40" s="66"/>
      <c r="FCB40" s="66"/>
      <c r="FCC40" s="66"/>
      <c r="FCD40" s="66"/>
      <c r="FCE40" s="66"/>
      <c r="FCF40" s="66"/>
      <c r="FCG40" s="66"/>
      <c r="FCH40" s="66"/>
      <c r="FCI40" s="66"/>
      <c r="FCJ40" s="66"/>
      <c r="FCK40" s="66"/>
      <c r="FCL40" s="66"/>
      <c r="FCM40" s="66"/>
      <c r="FCN40" s="66"/>
      <c r="FCO40" s="66"/>
      <c r="FCP40" s="66"/>
      <c r="FCQ40" s="66"/>
      <c r="FCR40" s="66"/>
      <c r="FCS40" s="66"/>
      <c r="FCT40" s="66"/>
      <c r="FCU40" s="66"/>
      <c r="FCV40" s="66"/>
      <c r="FCW40" s="66"/>
      <c r="FCX40" s="66"/>
      <c r="FCY40" s="66"/>
      <c r="FCZ40" s="66"/>
      <c r="FDA40" s="66"/>
      <c r="FDB40" s="66"/>
      <c r="FDC40" s="66"/>
      <c r="FDD40" s="66"/>
      <c r="FDE40" s="66"/>
      <c r="FDF40" s="66"/>
      <c r="FDG40" s="66"/>
      <c r="FDH40" s="66"/>
      <c r="FDI40" s="66"/>
      <c r="FDJ40" s="66"/>
      <c r="FDK40" s="66"/>
      <c r="FDL40" s="66"/>
      <c r="FDM40" s="66"/>
      <c r="FDN40" s="66"/>
      <c r="FDO40" s="66"/>
      <c r="FDP40" s="66"/>
      <c r="FDQ40" s="66"/>
      <c r="FDR40" s="66"/>
      <c r="FDS40" s="66"/>
      <c r="FDT40" s="66"/>
      <c r="FDU40" s="66"/>
      <c r="FDV40" s="66"/>
      <c r="FDW40" s="66"/>
      <c r="FDX40" s="66"/>
      <c r="FDY40" s="66"/>
      <c r="FDZ40" s="66"/>
      <c r="FEA40" s="66"/>
      <c r="FEB40" s="66"/>
      <c r="FEC40" s="66"/>
      <c r="FED40" s="66"/>
      <c r="FEE40" s="66"/>
      <c r="FEF40" s="66"/>
      <c r="FEG40" s="66"/>
      <c r="FEH40" s="66"/>
      <c r="FEI40" s="66"/>
      <c r="FEJ40" s="66"/>
      <c r="FEK40" s="66"/>
      <c r="FEL40" s="66"/>
      <c r="FEM40" s="66"/>
      <c r="FEN40" s="66"/>
      <c r="FEO40" s="66"/>
      <c r="FEP40" s="66"/>
      <c r="FEQ40" s="66"/>
      <c r="FER40" s="66"/>
      <c r="FES40" s="66"/>
      <c r="FET40" s="66"/>
      <c r="FEU40" s="66"/>
      <c r="FEV40" s="66"/>
      <c r="FEW40" s="66"/>
      <c r="FEX40" s="66"/>
      <c r="FEY40" s="66"/>
      <c r="FEZ40" s="66"/>
      <c r="FFA40" s="66"/>
      <c r="FFB40" s="66"/>
      <c r="FFC40" s="66"/>
      <c r="FFD40" s="66"/>
      <c r="FFE40" s="66"/>
      <c r="FFF40" s="66"/>
      <c r="FFG40" s="66"/>
      <c r="FFH40" s="66"/>
      <c r="FFI40" s="66"/>
      <c r="FFJ40" s="66"/>
      <c r="FFK40" s="66"/>
      <c r="FFL40" s="66"/>
      <c r="FFM40" s="66"/>
      <c r="FFN40" s="66"/>
      <c r="FFO40" s="66"/>
      <c r="FFP40" s="66"/>
      <c r="FFQ40" s="66"/>
      <c r="FFR40" s="66"/>
      <c r="FFS40" s="66"/>
      <c r="FFT40" s="66"/>
      <c r="FFU40" s="66"/>
      <c r="FFV40" s="66"/>
      <c r="FFW40" s="66"/>
      <c r="FFX40" s="66"/>
      <c r="FFY40" s="66"/>
      <c r="FFZ40" s="66"/>
      <c r="FGA40" s="66"/>
      <c r="FGB40" s="66"/>
      <c r="FGC40" s="66"/>
      <c r="FGD40" s="66"/>
      <c r="FGE40" s="66"/>
      <c r="FGF40" s="66"/>
      <c r="FGG40" s="66"/>
      <c r="FGH40" s="66"/>
      <c r="FGI40" s="66"/>
      <c r="FGJ40" s="66"/>
      <c r="FGK40" s="66"/>
      <c r="FGL40" s="66"/>
      <c r="FGM40" s="66"/>
      <c r="FGN40" s="66"/>
      <c r="FGO40" s="66"/>
      <c r="FGP40" s="66"/>
      <c r="FGQ40" s="66"/>
      <c r="FGR40" s="66"/>
      <c r="FGS40" s="66"/>
      <c r="FGT40" s="66"/>
      <c r="FGU40" s="66"/>
      <c r="FGV40" s="66"/>
      <c r="FGW40" s="66"/>
      <c r="FGX40" s="66"/>
      <c r="FGY40" s="66"/>
      <c r="FGZ40" s="66"/>
      <c r="FHA40" s="66"/>
      <c r="FHB40" s="66"/>
      <c r="FHC40" s="66"/>
      <c r="FHD40" s="66"/>
      <c r="FHE40" s="66"/>
      <c r="FHF40" s="66"/>
      <c r="FHG40" s="66"/>
      <c r="FHH40" s="66"/>
      <c r="FHI40" s="66"/>
      <c r="FHJ40" s="66"/>
      <c r="FHK40" s="66"/>
      <c r="FHL40" s="66"/>
      <c r="FHM40" s="66"/>
      <c r="FHN40" s="66"/>
      <c r="FHO40" s="66"/>
      <c r="FHP40" s="66"/>
      <c r="FHQ40" s="66"/>
      <c r="FHR40" s="66"/>
      <c r="FHS40" s="66"/>
      <c r="FHT40" s="66"/>
      <c r="FHU40" s="66"/>
      <c r="FHV40" s="66"/>
      <c r="FHW40" s="66"/>
      <c r="FHX40" s="66"/>
      <c r="FHY40" s="66"/>
      <c r="FHZ40" s="66"/>
      <c r="FIA40" s="66"/>
      <c r="FIB40" s="66"/>
      <c r="FIC40" s="66"/>
      <c r="FID40" s="66"/>
      <c r="FIE40" s="66"/>
      <c r="FIF40" s="66"/>
      <c r="FIG40" s="66"/>
      <c r="FIH40" s="66"/>
      <c r="FII40" s="66"/>
      <c r="FIJ40" s="66"/>
      <c r="FIK40" s="66"/>
      <c r="FIL40" s="66"/>
      <c r="FIM40" s="66"/>
      <c r="FIN40" s="66"/>
      <c r="FIO40" s="66"/>
      <c r="FIP40" s="66"/>
      <c r="FIQ40" s="66"/>
      <c r="FIR40" s="66"/>
      <c r="FIS40" s="66"/>
      <c r="FIT40" s="66"/>
      <c r="FIU40" s="66"/>
      <c r="FIV40" s="66"/>
      <c r="FIW40" s="66"/>
      <c r="FIX40" s="66"/>
      <c r="FIY40" s="66"/>
      <c r="FIZ40" s="66"/>
      <c r="FJA40" s="66"/>
      <c r="FJB40" s="66"/>
      <c r="FJC40" s="66"/>
      <c r="FJD40" s="66"/>
      <c r="FJE40" s="66"/>
      <c r="FJF40" s="66"/>
      <c r="FJG40" s="66"/>
      <c r="FJH40" s="66"/>
      <c r="FJI40" s="66"/>
      <c r="FJJ40" s="66"/>
      <c r="FJK40" s="66"/>
      <c r="FJL40" s="66"/>
      <c r="FJM40" s="66"/>
      <c r="FJN40" s="66"/>
      <c r="FJO40" s="66"/>
      <c r="FJP40" s="66"/>
      <c r="FJQ40" s="66"/>
      <c r="FJR40" s="66"/>
      <c r="FJS40" s="66"/>
      <c r="FJT40" s="66"/>
      <c r="FJU40" s="66"/>
      <c r="FJV40" s="66"/>
      <c r="FJW40" s="66"/>
      <c r="FJX40" s="66"/>
      <c r="FJY40" s="66"/>
      <c r="FJZ40" s="66"/>
      <c r="FKA40" s="66"/>
      <c r="FKB40" s="66"/>
      <c r="FKC40" s="66"/>
      <c r="FKD40" s="66"/>
      <c r="FKE40" s="66"/>
      <c r="FKF40" s="66"/>
      <c r="FKG40" s="66"/>
      <c r="FKH40" s="66"/>
      <c r="FKI40" s="66"/>
      <c r="FKJ40" s="66"/>
      <c r="FKK40" s="66"/>
      <c r="FKL40" s="66"/>
      <c r="FKM40" s="66"/>
      <c r="FKN40" s="66"/>
      <c r="FKO40" s="66"/>
      <c r="FKP40" s="66"/>
      <c r="FKQ40" s="66"/>
      <c r="FKR40" s="66"/>
      <c r="FKS40" s="66"/>
      <c r="FKT40" s="66"/>
      <c r="FKU40" s="66"/>
      <c r="FKV40" s="66"/>
      <c r="FKW40" s="66"/>
      <c r="FKX40" s="66"/>
      <c r="FKY40" s="66"/>
      <c r="FKZ40" s="66"/>
      <c r="FLA40" s="66"/>
      <c r="FLB40" s="66"/>
      <c r="FLC40" s="66"/>
      <c r="FLD40" s="66"/>
      <c r="FLE40" s="66"/>
      <c r="FLF40" s="66"/>
      <c r="FLG40" s="66"/>
      <c r="FLH40" s="66"/>
      <c r="FLI40" s="66"/>
      <c r="FLJ40" s="66"/>
      <c r="FLK40" s="66"/>
      <c r="FLL40" s="66"/>
      <c r="FLM40" s="66"/>
      <c r="FLN40" s="66"/>
      <c r="FLO40" s="66"/>
      <c r="FLP40" s="66"/>
      <c r="FLQ40" s="66"/>
      <c r="FLR40" s="66"/>
      <c r="FLS40" s="66"/>
      <c r="FLT40" s="66"/>
      <c r="FLU40" s="66"/>
      <c r="FLV40" s="66"/>
      <c r="FLW40" s="66"/>
      <c r="FLX40" s="66"/>
      <c r="FLY40" s="66"/>
      <c r="FLZ40" s="66"/>
      <c r="FMA40" s="66"/>
      <c r="FMB40" s="66"/>
      <c r="FMC40" s="66"/>
      <c r="FMD40" s="66"/>
      <c r="FME40" s="66"/>
      <c r="FMF40" s="66"/>
      <c r="FMG40" s="66"/>
      <c r="FMH40" s="66"/>
      <c r="FMI40" s="66"/>
      <c r="FMJ40" s="66"/>
      <c r="FMK40" s="66"/>
      <c r="FML40" s="66"/>
      <c r="FMM40" s="66"/>
      <c r="FMN40" s="66"/>
      <c r="FMO40" s="66"/>
      <c r="FMP40" s="66"/>
      <c r="FMQ40" s="66"/>
      <c r="FMR40" s="66"/>
      <c r="FMS40" s="66"/>
      <c r="FMT40" s="66"/>
      <c r="FMU40" s="66"/>
      <c r="FMV40" s="66"/>
      <c r="FMW40" s="66"/>
      <c r="FMX40" s="66"/>
      <c r="FMY40" s="66"/>
      <c r="FMZ40" s="66"/>
      <c r="FNA40" s="66"/>
      <c r="FNB40" s="66"/>
      <c r="FNC40" s="66"/>
      <c r="FND40" s="66"/>
      <c r="FNE40" s="66"/>
      <c r="FNF40" s="66"/>
      <c r="FNG40" s="66"/>
      <c r="FNH40" s="66"/>
      <c r="FNI40" s="66"/>
      <c r="FNJ40" s="66"/>
      <c r="FNK40" s="66"/>
      <c r="FNL40" s="66"/>
      <c r="FNM40" s="66"/>
      <c r="FNN40" s="66"/>
      <c r="FNO40" s="66"/>
      <c r="FNP40" s="66"/>
      <c r="FNQ40" s="66"/>
      <c r="FNR40" s="66"/>
      <c r="FNS40" s="66"/>
      <c r="FNT40" s="66"/>
      <c r="FNU40" s="66"/>
      <c r="FNV40" s="66"/>
      <c r="FNW40" s="66"/>
      <c r="FNX40" s="66"/>
      <c r="FNY40" s="66"/>
      <c r="FNZ40" s="66"/>
      <c r="FOA40" s="66"/>
      <c r="FOB40" s="66"/>
      <c r="FOC40" s="66"/>
      <c r="FOD40" s="66"/>
      <c r="FOE40" s="66"/>
      <c r="FOF40" s="66"/>
      <c r="FOG40" s="66"/>
      <c r="FOH40" s="66"/>
      <c r="FOI40" s="66"/>
      <c r="FOJ40" s="66"/>
      <c r="FOK40" s="66"/>
      <c r="FOL40" s="66"/>
      <c r="FOM40" s="66"/>
      <c r="FON40" s="66"/>
      <c r="FOO40" s="66"/>
      <c r="FOP40" s="66"/>
      <c r="FOQ40" s="66"/>
      <c r="FOR40" s="66"/>
      <c r="FOS40" s="66"/>
      <c r="FOT40" s="66"/>
      <c r="FOU40" s="66"/>
      <c r="FOV40" s="66"/>
      <c r="FOW40" s="66"/>
      <c r="FOX40" s="66"/>
      <c r="FOY40" s="66"/>
      <c r="FOZ40" s="66"/>
      <c r="FPA40" s="66"/>
      <c r="FPB40" s="66"/>
      <c r="FPC40" s="66"/>
      <c r="FPD40" s="66"/>
      <c r="FPE40" s="66"/>
      <c r="FPF40" s="66"/>
      <c r="FPG40" s="66"/>
      <c r="FPH40" s="66"/>
      <c r="FPI40" s="66"/>
      <c r="FPJ40" s="66"/>
      <c r="FPK40" s="66"/>
      <c r="FPL40" s="66"/>
      <c r="FPM40" s="66"/>
      <c r="FPN40" s="66"/>
      <c r="FPO40" s="66"/>
      <c r="FPP40" s="66"/>
      <c r="FPQ40" s="66"/>
      <c r="FPR40" s="66"/>
      <c r="FPS40" s="66"/>
      <c r="FPT40" s="66"/>
      <c r="FPU40" s="66"/>
      <c r="FPV40" s="66"/>
      <c r="FPW40" s="66"/>
      <c r="FPX40" s="66"/>
      <c r="FPY40" s="66"/>
      <c r="FPZ40" s="66"/>
      <c r="FQA40" s="66"/>
      <c r="FQB40" s="66"/>
      <c r="FQC40" s="66"/>
      <c r="FQD40" s="66"/>
      <c r="FQE40" s="66"/>
      <c r="FQF40" s="66"/>
      <c r="FQG40" s="66"/>
      <c r="FQH40" s="66"/>
      <c r="FQI40" s="66"/>
      <c r="FQJ40" s="66"/>
      <c r="FQK40" s="66"/>
      <c r="FQL40" s="66"/>
      <c r="FQM40" s="66"/>
      <c r="FQN40" s="66"/>
      <c r="FQO40" s="66"/>
      <c r="FQP40" s="66"/>
      <c r="FQQ40" s="66"/>
      <c r="FQR40" s="66"/>
      <c r="FQS40" s="66"/>
      <c r="FQT40" s="66"/>
      <c r="FQU40" s="66"/>
      <c r="FQV40" s="66"/>
      <c r="FQW40" s="66"/>
      <c r="FQX40" s="66"/>
      <c r="FQY40" s="66"/>
      <c r="FQZ40" s="66"/>
      <c r="FRA40" s="66"/>
      <c r="FRB40" s="66"/>
      <c r="FRC40" s="66"/>
      <c r="FRD40" s="66"/>
      <c r="FRE40" s="66"/>
      <c r="FRF40" s="66"/>
      <c r="FRG40" s="66"/>
      <c r="FRH40" s="66"/>
      <c r="FRI40" s="66"/>
      <c r="FRJ40" s="66"/>
      <c r="FRK40" s="66"/>
      <c r="FRL40" s="66"/>
      <c r="FRM40" s="66"/>
      <c r="FRN40" s="66"/>
      <c r="FRO40" s="66"/>
      <c r="FRP40" s="66"/>
      <c r="FRQ40" s="66"/>
      <c r="FRR40" s="66"/>
      <c r="FRS40" s="66"/>
      <c r="FRT40" s="66"/>
      <c r="FRU40" s="66"/>
      <c r="FRV40" s="66"/>
      <c r="FRW40" s="66"/>
      <c r="FRX40" s="66"/>
      <c r="FRY40" s="66"/>
      <c r="FRZ40" s="66"/>
      <c r="FSA40" s="66"/>
      <c r="FSB40" s="66"/>
      <c r="FSC40" s="66"/>
      <c r="FSD40" s="66"/>
      <c r="FSE40" s="66"/>
      <c r="FSF40" s="66"/>
      <c r="FSG40" s="66"/>
      <c r="FSH40" s="66"/>
      <c r="FSI40" s="66"/>
      <c r="FSJ40" s="66"/>
      <c r="FSK40" s="66"/>
      <c r="FSL40" s="66"/>
      <c r="FSM40" s="66"/>
      <c r="FSN40" s="66"/>
      <c r="FSO40" s="66"/>
      <c r="FSP40" s="66"/>
      <c r="FSQ40" s="66"/>
      <c r="FSR40" s="66"/>
      <c r="FSS40" s="66"/>
      <c r="FST40" s="66"/>
      <c r="FSU40" s="66"/>
      <c r="FSV40" s="66"/>
      <c r="FSW40" s="66"/>
      <c r="FSX40" s="66"/>
      <c r="FSY40" s="66"/>
      <c r="FSZ40" s="66"/>
      <c r="FTA40" s="66"/>
      <c r="FTB40" s="66"/>
      <c r="FTC40" s="66"/>
      <c r="FTD40" s="66"/>
      <c r="FTE40" s="66"/>
      <c r="FTF40" s="66"/>
      <c r="FTG40" s="66"/>
      <c r="FTH40" s="66"/>
      <c r="FTI40" s="66"/>
      <c r="FTJ40" s="66"/>
      <c r="FTK40" s="66"/>
      <c r="FTL40" s="66"/>
      <c r="FTM40" s="66"/>
      <c r="FTN40" s="66"/>
      <c r="FTO40" s="66"/>
      <c r="FTP40" s="66"/>
      <c r="FTQ40" s="66"/>
      <c r="FTR40" s="66"/>
      <c r="FTS40" s="66"/>
      <c r="FTT40" s="66"/>
      <c r="FTU40" s="66"/>
      <c r="FTV40" s="66"/>
      <c r="FTW40" s="66"/>
      <c r="FTX40" s="66"/>
      <c r="FTY40" s="66"/>
      <c r="FTZ40" s="66"/>
      <c r="FUA40" s="66"/>
      <c r="FUB40" s="66"/>
      <c r="FUC40" s="66"/>
      <c r="FUD40" s="66"/>
      <c r="FUE40" s="66"/>
      <c r="FUF40" s="66"/>
      <c r="FUG40" s="66"/>
      <c r="FUH40" s="66"/>
      <c r="FUI40" s="66"/>
      <c r="FUJ40" s="66"/>
      <c r="FUK40" s="66"/>
      <c r="FUL40" s="66"/>
      <c r="FUM40" s="66"/>
      <c r="FUN40" s="66"/>
      <c r="FUO40" s="66"/>
      <c r="FUP40" s="66"/>
      <c r="FUQ40" s="66"/>
      <c r="FUR40" s="66"/>
      <c r="FUS40" s="66"/>
      <c r="FUT40" s="66"/>
      <c r="FUU40" s="66"/>
      <c r="FUV40" s="66"/>
      <c r="FUW40" s="66"/>
      <c r="FUX40" s="66"/>
      <c r="FUY40" s="66"/>
      <c r="FUZ40" s="66"/>
      <c r="FVA40" s="66"/>
      <c r="FVB40" s="66"/>
      <c r="FVC40" s="66"/>
      <c r="FVD40" s="66"/>
      <c r="FVE40" s="66"/>
      <c r="FVF40" s="66"/>
      <c r="FVG40" s="66"/>
      <c r="FVH40" s="66"/>
      <c r="FVI40" s="66"/>
      <c r="FVJ40" s="66"/>
      <c r="FVK40" s="66"/>
      <c r="FVL40" s="66"/>
      <c r="FVM40" s="66"/>
      <c r="FVN40" s="66"/>
      <c r="FVO40" s="66"/>
      <c r="FVP40" s="66"/>
      <c r="FVQ40" s="66"/>
      <c r="FVR40" s="66"/>
      <c r="FVS40" s="66"/>
      <c r="FVT40" s="66"/>
      <c r="FVU40" s="66"/>
      <c r="FVV40" s="66"/>
      <c r="FVW40" s="66"/>
      <c r="FVX40" s="66"/>
      <c r="FVY40" s="66"/>
      <c r="FVZ40" s="66"/>
      <c r="FWA40" s="66"/>
      <c r="FWB40" s="66"/>
      <c r="FWC40" s="66"/>
      <c r="FWD40" s="66"/>
      <c r="FWE40" s="66"/>
      <c r="FWF40" s="66"/>
      <c r="FWG40" s="66"/>
      <c r="FWH40" s="66"/>
      <c r="FWI40" s="66"/>
      <c r="FWJ40" s="66"/>
      <c r="FWK40" s="66"/>
      <c r="FWL40" s="66"/>
      <c r="FWM40" s="66"/>
      <c r="FWN40" s="66"/>
      <c r="FWO40" s="66"/>
      <c r="FWP40" s="66"/>
      <c r="FWQ40" s="66"/>
      <c r="FWR40" s="66"/>
      <c r="FWS40" s="66"/>
      <c r="FWT40" s="66"/>
      <c r="FWU40" s="66"/>
      <c r="FWV40" s="66"/>
      <c r="FWW40" s="66"/>
      <c r="FWX40" s="66"/>
      <c r="FWY40" s="66"/>
      <c r="FWZ40" s="66"/>
      <c r="FXA40" s="66"/>
      <c r="FXB40" s="66"/>
      <c r="FXC40" s="66"/>
      <c r="FXD40" s="66"/>
      <c r="FXE40" s="66"/>
      <c r="FXF40" s="66"/>
      <c r="FXG40" s="66"/>
      <c r="FXH40" s="66"/>
      <c r="FXI40" s="66"/>
      <c r="FXJ40" s="66"/>
      <c r="FXK40" s="66"/>
      <c r="FXL40" s="66"/>
      <c r="FXM40" s="66"/>
      <c r="FXN40" s="66"/>
      <c r="FXO40" s="66"/>
      <c r="FXP40" s="66"/>
      <c r="FXQ40" s="66"/>
      <c r="FXR40" s="66"/>
      <c r="FXS40" s="66"/>
      <c r="FXT40" s="66"/>
      <c r="FXU40" s="66"/>
      <c r="FXV40" s="66"/>
      <c r="FXW40" s="66"/>
      <c r="FXX40" s="66"/>
      <c r="FXY40" s="66"/>
      <c r="FXZ40" s="66"/>
      <c r="FYA40" s="66"/>
      <c r="FYB40" s="66"/>
      <c r="FYC40" s="66"/>
      <c r="FYD40" s="66"/>
      <c r="FYE40" s="66"/>
      <c r="FYF40" s="66"/>
      <c r="FYG40" s="66"/>
      <c r="FYH40" s="66"/>
      <c r="FYI40" s="66"/>
      <c r="FYJ40" s="66"/>
      <c r="FYK40" s="66"/>
      <c r="FYL40" s="66"/>
      <c r="FYM40" s="66"/>
      <c r="FYN40" s="66"/>
      <c r="FYO40" s="66"/>
      <c r="FYP40" s="66"/>
      <c r="FYQ40" s="66"/>
      <c r="FYR40" s="66"/>
      <c r="FYS40" s="66"/>
      <c r="FYT40" s="66"/>
      <c r="FYU40" s="66"/>
      <c r="FYV40" s="66"/>
      <c r="FYW40" s="66"/>
      <c r="FYX40" s="66"/>
      <c r="FYY40" s="66"/>
      <c r="FYZ40" s="66"/>
      <c r="FZA40" s="66"/>
      <c r="FZB40" s="66"/>
      <c r="FZC40" s="66"/>
      <c r="FZD40" s="66"/>
      <c r="FZE40" s="66"/>
      <c r="FZF40" s="66"/>
      <c r="FZG40" s="66"/>
      <c r="FZH40" s="66"/>
      <c r="FZI40" s="66"/>
      <c r="FZJ40" s="66"/>
      <c r="FZK40" s="66"/>
      <c r="FZL40" s="66"/>
      <c r="FZM40" s="66"/>
      <c r="FZN40" s="66"/>
      <c r="FZO40" s="66"/>
      <c r="FZP40" s="66"/>
      <c r="FZQ40" s="66"/>
      <c r="FZR40" s="66"/>
      <c r="FZS40" s="66"/>
      <c r="FZT40" s="66"/>
      <c r="FZU40" s="66"/>
      <c r="FZV40" s="66"/>
      <c r="FZW40" s="66"/>
      <c r="FZX40" s="66"/>
      <c r="FZY40" s="66"/>
      <c r="FZZ40" s="66"/>
      <c r="GAA40" s="66"/>
      <c r="GAB40" s="66"/>
      <c r="GAC40" s="66"/>
      <c r="GAD40" s="66"/>
      <c r="GAE40" s="66"/>
      <c r="GAF40" s="66"/>
      <c r="GAG40" s="66"/>
      <c r="GAH40" s="66"/>
      <c r="GAI40" s="66"/>
      <c r="GAJ40" s="66"/>
      <c r="GAK40" s="66"/>
      <c r="GAL40" s="66"/>
      <c r="GAM40" s="66"/>
      <c r="GAN40" s="66"/>
      <c r="GAO40" s="66"/>
      <c r="GAP40" s="66"/>
      <c r="GAQ40" s="66"/>
      <c r="GAR40" s="66"/>
      <c r="GAS40" s="66"/>
      <c r="GAT40" s="66"/>
      <c r="GAU40" s="66"/>
      <c r="GAV40" s="66"/>
      <c r="GAW40" s="66"/>
      <c r="GAX40" s="66"/>
      <c r="GAY40" s="66"/>
      <c r="GAZ40" s="66"/>
      <c r="GBA40" s="66"/>
      <c r="GBB40" s="66"/>
      <c r="GBC40" s="66"/>
      <c r="GBD40" s="66"/>
      <c r="GBE40" s="66"/>
      <c r="GBF40" s="66"/>
      <c r="GBG40" s="66"/>
      <c r="GBH40" s="66"/>
      <c r="GBI40" s="66"/>
      <c r="GBJ40" s="66"/>
      <c r="GBK40" s="66"/>
      <c r="GBL40" s="66"/>
      <c r="GBM40" s="66"/>
      <c r="GBN40" s="66"/>
      <c r="GBO40" s="66"/>
      <c r="GBP40" s="66"/>
      <c r="GBQ40" s="66"/>
      <c r="GBR40" s="66"/>
      <c r="GBS40" s="66"/>
      <c r="GBT40" s="66"/>
      <c r="GBU40" s="66"/>
      <c r="GBV40" s="66"/>
      <c r="GBW40" s="66"/>
      <c r="GBX40" s="66"/>
      <c r="GBY40" s="66"/>
      <c r="GBZ40" s="66"/>
      <c r="GCA40" s="66"/>
      <c r="GCB40" s="66"/>
      <c r="GCC40" s="66"/>
      <c r="GCD40" s="66"/>
      <c r="GCE40" s="66"/>
      <c r="GCF40" s="66"/>
      <c r="GCG40" s="66"/>
      <c r="GCH40" s="66"/>
      <c r="GCI40" s="66"/>
      <c r="GCJ40" s="66"/>
      <c r="GCK40" s="66"/>
      <c r="GCL40" s="66"/>
      <c r="GCM40" s="66"/>
      <c r="GCN40" s="66"/>
      <c r="GCO40" s="66"/>
      <c r="GCP40" s="66"/>
      <c r="GCQ40" s="66"/>
      <c r="GCR40" s="66"/>
      <c r="GCS40" s="66"/>
      <c r="GCT40" s="66"/>
      <c r="GCU40" s="66"/>
      <c r="GCV40" s="66"/>
      <c r="GCW40" s="66"/>
      <c r="GCX40" s="66"/>
      <c r="GCY40" s="66"/>
      <c r="GCZ40" s="66"/>
      <c r="GDA40" s="66"/>
      <c r="GDB40" s="66"/>
      <c r="GDC40" s="66"/>
      <c r="GDD40" s="66"/>
      <c r="GDE40" s="66"/>
      <c r="GDF40" s="66"/>
      <c r="GDG40" s="66"/>
      <c r="GDH40" s="66"/>
      <c r="GDI40" s="66"/>
      <c r="GDJ40" s="66"/>
      <c r="GDK40" s="66"/>
      <c r="GDL40" s="66"/>
      <c r="GDM40" s="66"/>
      <c r="GDN40" s="66"/>
      <c r="GDO40" s="66"/>
      <c r="GDP40" s="66"/>
      <c r="GDQ40" s="66"/>
      <c r="GDR40" s="66"/>
      <c r="GDS40" s="66"/>
      <c r="GDT40" s="66"/>
      <c r="GDU40" s="66"/>
      <c r="GDV40" s="66"/>
      <c r="GDW40" s="66"/>
      <c r="GDX40" s="66"/>
      <c r="GDY40" s="66"/>
      <c r="GDZ40" s="66"/>
      <c r="GEA40" s="66"/>
      <c r="GEB40" s="66"/>
      <c r="GEC40" s="66"/>
      <c r="GED40" s="66"/>
      <c r="GEE40" s="66"/>
      <c r="GEF40" s="66"/>
      <c r="GEG40" s="66"/>
      <c r="GEH40" s="66"/>
      <c r="GEI40" s="66"/>
      <c r="GEJ40" s="66"/>
      <c r="GEK40" s="66"/>
      <c r="GEL40" s="66"/>
      <c r="GEM40" s="66"/>
      <c r="GEN40" s="66"/>
      <c r="GEO40" s="66"/>
      <c r="GEP40" s="66"/>
      <c r="GEQ40" s="66"/>
      <c r="GER40" s="66"/>
      <c r="GES40" s="66"/>
      <c r="GET40" s="66"/>
      <c r="GEU40" s="66"/>
      <c r="GEV40" s="66"/>
      <c r="GEW40" s="66"/>
      <c r="GEX40" s="66"/>
      <c r="GEY40" s="66"/>
      <c r="GEZ40" s="66"/>
      <c r="GFA40" s="66"/>
      <c r="GFB40" s="66"/>
      <c r="GFC40" s="66"/>
      <c r="GFD40" s="66"/>
      <c r="GFE40" s="66"/>
      <c r="GFF40" s="66"/>
      <c r="GFG40" s="66"/>
      <c r="GFH40" s="66"/>
      <c r="GFI40" s="66"/>
      <c r="GFJ40" s="66"/>
      <c r="GFK40" s="66"/>
      <c r="GFL40" s="66"/>
      <c r="GFM40" s="66"/>
      <c r="GFN40" s="66"/>
      <c r="GFO40" s="66"/>
      <c r="GFP40" s="66"/>
      <c r="GFQ40" s="66"/>
      <c r="GFR40" s="66"/>
      <c r="GFS40" s="66"/>
      <c r="GFT40" s="66"/>
      <c r="GFU40" s="66"/>
      <c r="GFV40" s="66"/>
      <c r="GFW40" s="66"/>
      <c r="GFX40" s="66"/>
      <c r="GFY40" s="66"/>
      <c r="GFZ40" s="66"/>
      <c r="GGA40" s="66"/>
      <c r="GGB40" s="66"/>
      <c r="GGC40" s="66"/>
      <c r="GGD40" s="66"/>
      <c r="GGE40" s="66"/>
      <c r="GGF40" s="66"/>
      <c r="GGG40" s="66"/>
      <c r="GGH40" s="66"/>
      <c r="GGI40" s="66"/>
      <c r="GGJ40" s="66"/>
      <c r="GGK40" s="66"/>
      <c r="GGL40" s="66"/>
      <c r="GGM40" s="66"/>
      <c r="GGN40" s="66"/>
      <c r="GGO40" s="66"/>
      <c r="GGP40" s="66"/>
      <c r="GGQ40" s="66"/>
      <c r="GGR40" s="66"/>
      <c r="GGS40" s="66"/>
      <c r="GGT40" s="66"/>
      <c r="GGU40" s="66"/>
      <c r="GGV40" s="66"/>
      <c r="GGW40" s="66"/>
      <c r="GGX40" s="66"/>
      <c r="GGY40" s="66"/>
      <c r="GGZ40" s="66"/>
      <c r="GHA40" s="66"/>
      <c r="GHB40" s="66"/>
      <c r="GHC40" s="66"/>
      <c r="GHD40" s="66"/>
      <c r="GHE40" s="66"/>
      <c r="GHF40" s="66"/>
      <c r="GHG40" s="66"/>
      <c r="GHH40" s="66"/>
      <c r="GHI40" s="66"/>
      <c r="GHJ40" s="66"/>
      <c r="GHK40" s="66"/>
      <c r="GHL40" s="66"/>
      <c r="GHM40" s="66"/>
      <c r="GHN40" s="66"/>
      <c r="GHO40" s="66"/>
      <c r="GHP40" s="66"/>
      <c r="GHQ40" s="66"/>
      <c r="GHR40" s="66"/>
      <c r="GHS40" s="66"/>
      <c r="GHT40" s="66"/>
      <c r="GHU40" s="66"/>
      <c r="GHV40" s="66"/>
      <c r="GHW40" s="66"/>
      <c r="GHX40" s="66"/>
      <c r="GHY40" s="66"/>
      <c r="GHZ40" s="66"/>
      <c r="GIA40" s="66"/>
      <c r="GIB40" s="66"/>
      <c r="GIC40" s="66"/>
      <c r="GID40" s="66"/>
      <c r="GIE40" s="66"/>
      <c r="GIF40" s="66"/>
      <c r="GIG40" s="66"/>
      <c r="GIH40" s="66"/>
      <c r="GII40" s="66"/>
      <c r="GIJ40" s="66"/>
      <c r="GIK40" s="66"/>
      <c r="GIL40" s="66"/>
      <c r="GIM40" s="66"/>
      <c r="GIN40" s="66"/>
      <c r="GIO40" s="66"/>
      <c r="GIP40" s="66"/>
      <c r="GIQ40" s="66"/>
      <c r="GIR40" s="66"/>
      <c r="GIS40" s="66"/>
      <c r="GIT40" s="66"/>
      <c r="GIU40" s="66"/>
      <c r="GIV40" s="66"/>
      <c r="GIW40" s="66"/>
      <c r="GIX40" s="66"/>
      <c r="GIY40" s="66"/>
      <c r="GIZ40" s="66"/>
      <c r="GJA40" s="66"/>
      <c r="GJB40" s="66"/>
      <c r="GJC40" s="66"/>
      <c r="GJD40" s="66"/>
      <c r="GJE40" s="66"/>
      <c r="GJF40" s="66"/>
      <c r="GJG40" s="66"/>
      <c r="GJH40" s="66"/>
      <c r="GJI40" s="66"/>
      <c r="GJJ40" s="66"/>
      <c r="GJK40" s="66"/>
      <c r="GJL40" s="66"/>
      <c r="GJM40" s="66"/>
      <c r="GJN40" s="66"/>
      <c r="GJO40" s="66"/>
      <c r="GJP40" s="66"/>
      <c r="GJQ40" s="66"/>
      <c r="GJR40" s="66"/>
      <c r="GJS40" s="66"/>
      <c r="GJT40" s="66"/>
      <c r="GJU40" s="66"/>
      <c r="GJV40" s="66"/>
      <c r="GJW40" s="66"/>
      <c r="GJX40" s="66"/>
      <c r="GJY40" s="66"/>
      <c r="GJZ40" s="66"/>
      <c r="GKA40" s="66"/>
      <c r="GKB40" s="66"/>
      <c r="GKC40" s="66"/>
      <c r="GKD40" s="66"/>
      <c r="GKE40" s="66"/>
      <c r="GKF40" s="66"/>
      <c r="GKG40" s="66"/>
      <c r="GKH40" s="66"/>
      <c r="GKI40" s="66"/>
      <c r="GKJ40" s="66"/>
      <c r="GKK40" s="66"/>
      <c r="GKL40" s="66"/>
      <c r="GKM40" s="66"/>
      <c r="GKN40" s="66"/>
      <c r="GKO40" s="66"/>
      <c r="GKP40" s="66"/>
      <c r="GKQ40" s="66"/>
      <c r="GKR40" s="66"/>
      <c r="GKS40" s="66"/>
      <c r="GKT40" s="66"/>
      <c r="GKU40" s="66"/>
      <c r="GKV40" s="66"/>
      <c r="GKW40" s="66"/>
      <c r="GKX40" s="66"/>
      <c r="GKY40" s="66"/>
      <c r="GKZ40" s="66"/>
      <c r="GLA40" s="66"/>
      <c r="GLB40" s="66"/>
      <c r="GLC40" s="66"/>
      <c r="GLD40" s="66"/>
      <c r="GLE40" s="66"/>
      <c r="GLF40" s="66"/>
      <c r="GLG40" s="66"/>
      <c r="GLH40" s="66"/>
      <c r="GLI40" s="66"/>
      <c r="GLJ40" s="66"/>
      <c r="GLK40" s="66"/>
      <c r="GLL40" s="66"/>
      <c r="GLM40" s="66"/>
      <c r="GLN40" s="66"/>
      <c r="GLO40" s="66"/>
      <c r="GLP40" s="66"/>
      <c r="GLQ40" s="66"/>
      <c r="GLR40" s="66"/>
      <c r="GLS40" s="66"/>
      <c r="GLT40" s="66"/>
      <c r="GLU40" s="66"/>
      <c r="GLV40" s="66"/>
      <c r="GLW40" s="66"/>
      <c r="GLX40" s="66"/>
      <c r="GLY40" s="66"/>
      <c r="GLZ40" s="66"/>
      <c r="GMA40" s="66"/>
      <c r="GMB40" s="66"/>
      <c r="GMC40" s="66"/>
      <c r="GMD40" s="66"/>
      <c r="GME40" s="66"/>
      <c r="GMF40" s="66"/>
      <c r="GMG40" s="66"/>
      <c r="GMH40" s="66"/>
      <c r="GMI40" s="66"/>
      <c r="GMJ40" s="66"/>
      <c r="GMK40" s="66"/>
      <c r="GML40" s="66"/>
      <c r="GMM40" s="66"/>
      <c r="GMN40" s="66"/>
      <c r="GMO40" s="66"/>
      <c r="GMP40" s="66"/>
      <c r="GMQ40" s="66"/>
      <c r="GMR40" s="66"/>
      <c r="GMS40" s="66"/>
      <c r="GMT40" s="66"/>
      <c r="GMU40" s="66"/>
      <c r="GMV40" s="66"/>
      <c r="GMW40" s="66"/>
      <c r="GMX40" s="66"/>
      <c r="GMY40" s="66"/>
      <c r="GMZ40" s="66"/>
      <c r="GNA40" s="66"/>
      <c r="GNB40" s="66"/>
      <c r="GNC40" s="66"/>
      <c r="GND40" s="66"/>
      <c r="GNE40" s="66"/>
      <c r="GNF40" s="66"/>
      <c r="GNG40" s="66"/>
      <c r="GNH40" s="66"/>
      <c r="GNI40" s="66"/>
      <c r="GNJ40" s="66"/>
      <c r="GNK40" s="66"/>
      <c r="GNL40" s="66"/>
      <c r="GNM40" s="66"/>
      <c r="GNN40" s="66"/>
      <c r="GNO40" s="66"/>
      <c r="GNP40" s="66"/>
      <c r="GNQ40" s="66"/>
      <c r="GNR40" s="66"/>
      <c r="GNS40" s="66"/>
      <c r="GNT40" s="66"/>
      <c r="GNU40" s="66"/>
      <c r="GNV40" s="66"/>
      <c r="GNW40" s="66"/>
      <c r="GNX40" s="66"/>
      <c r="GNY40" s="66"/>
      <c r="GNZ40" s="66"/>
      <c r="GOA40" s="66"/>
      <c r="GOB40" s="66"/>
      <c r="GOC40" s="66"/>
      <c r="GOD40" s="66"/>
      <c r="GOE40" s="66"/>
      <c r="GOF40" s="66"/>
      <c r="GOG40" s="66"/>
      <c r="GOH40" s="66"/>
      <c r="GOI40" s="66"/>
      <c r="GOJ40" s="66"/>
      <c r="GOK40" s="66"/>
      <c r="GOL40" s="66"/>
      <c r="GOM40" s="66"/>
      <c r="GON40" s="66"/>
      <c r="GOO40" s="66"/>
      <c r="GOP40" s="66"/>
      <c r="GOQ40" s="66"/>
      <c r="GOR40" s="66"/>
      <c r="GOS40" s="66"/>
      <c r="GOT40" s="66"/>
      <c r="GOU40" s="66"/>
      <c r="GOV40" s="66"/>
      <c r="GOW40" s="66"/>
      <c r="GOX40" s="66"/>
      <c r="GOY40" s="66"/>
      <c r="GOZ40" s="66"/>
      <c r="GPA40" s="66"/>
      <c r="GPB40" s="66"/>
      <c r="GPC40" s="66"/>
      <c r="GPD40" s="66"/>
      <c r="GPE40" s="66"/>
      <c r="GPF40" s="66"/>
      <c r="GPG40" s="66"/>
      <c r="GPH40" s="66"/>
      <c r="GPI40" s="66"/>
      <c r="GPJ40" s="66"/>
      <c r="GPK40" s="66"/>
      <c r="GPL40" s="66"/>
      <c r="GPM40" s="66"/>
      <c r="GPN40" s="66"/>
      <c r="GPO40" s="66"/>
      <c r="GPP40" s="66"/>
      <c r="GPQ40" s="66"/>
      <c r="GPR40" s="66"/>
      <c r="GPS40" s="66"/>
      <c r="GPT40" s="66"/>
      <c r="GPU40" s="66"/>
      <c r="GPV40" s="66"/>
      <c r="GPW40" s="66"/>
      <c r="GPX40" s="66"/>
      <c r="GPY40" s="66"/>
      <c r="GPZ40" s="66"/>
      <c r="GQA40" s="66"/>
      <c r="GQB40" s="66"/>
      <c r="GQC40" s="66"/>
      <c r="GQD40" s="66"/>
      <c r="GQE40" s="66"/>
      <c r="GQF40" s="66"/>
      <c r="GQG40" s="66"/>
      <c r="GQH40" s="66"/>
      <c r="GQI40" s="66"/>
      <c r="GQJ40" s="66"/>
      <c r="GQK40" s="66"/>
      <c r="GQL40" s="66"/>
      <c r="GQM40" s="66"/>
      <c r="GQN40" s="66"/>
      <c r="GQO40" s="66"/>
      <c r="GQP40" s="66"/>
      <c r="GQQ40" s="66"/>
      <c r="GQR40" s="66"/>
      <c r="GQS40" s="66"/>
      <c r="GQT40" s="66"/>
      <c r="GQU40" s="66"/>
      <c r="GQV40" s="66"/>
      <c r="GQW40" s="66"/>
      <c r="GQX40" s="66"/>
      <c r="GQY40" s="66"/>
      <c r="GQZ40" s="66"/>
      <c r="GRA40" s="66"/>
      <c r="GRB40" s="66"/>
      <c r="GRC40" s="66"/>
      <c r="GRD40" s="66"/>
      <c r="GRE40" s="66"/>
      <c r="GRF40" s="66"/>
      <c r="GRG40" s="66"/>
      <c r="GRH40" s="66"/>
      <c r="GRI40" s="66"/>
      <c r="GRJ40" s="66"/>
      <c r="GRK40" s="66"/>
      <c r="GRL40" s="66"/>
      <c r="GRM40" s="66"/>
      <c r="GRN40" s="66"/>
      <c r="GRO40" s="66"/>
      <c r="GRP40" s="66"/>
      <c r="GRQ40" s="66"/>
      <c r="GRR40" s="66"/>
      <c r="GRS40" s="66"/>
      <c r="GRT40" s="66"/>
      <c r="GRU40" s="66"/>
      <c r="GRV40" s="66"/>
      <c r="GRW40" s="66"/>
      <c r="GRX40" s="66"/>
      <c r="GRY40" s="66"/>
      <c r="GRZ40" s="66"/>
      <c r="GSA40" s="66"/>
      <c r="GSB40" s="66"/>
      <c r="GSC40" s="66"/>
      <c r="GSD40" s="66"/>
      <c r="GSE40" s="66"/>
      <c r="GSF40" s="66"/>
      <c r="GSG40" s="66"/>
      <c r="GSH40" s="66"/>
      <c r="GSI40" s="66"/>
      <c r="GSJ40" s="66"/>
      <c r="GSK40" s="66"/>
      <c r="GSL40" s="66"/>
      <c r="GSM40" s="66"/>
      <c r="GSN40" s="66"/>
      <c r="GSO40" s="66"/>
      <c r="GSP40" s="66"/>
      <c r="GSQ40" s="66"/>
      <c r="GSR40" s="66"/>
      <c r="GSS40" s="66"/>
      <c r="GST40" s="66"/>
      <c r="GSU40" s="66"/>
      <c r="GSV40" s="66"/>
      <c r="GSW40" s="66"/>
      <c r="GSX40" s="66"/>
      <c r="GSY40" s="66"/>
      <c r="GSZ40" s="66"/>
      <c r="GTA40" s="66"/>
      <c r="GTB40" s="66"/>
      <c r="GTC40" s="66"/>
      <c r="GTD40" s="66"/>
      <c r="GTE40" s="66"/>
      <c r="GTF40" s="66"/>
      <c r="GTG40" s="66"/>
      <c r="GTH40" s="66"/>
      <c r="GTI40" s="66"/>
      <c r="GTJ40" s="66"/>
      <c r="GTK40" s="66"/>
      <c r="GTL40" s="66"/>
      <c r="GTM40" s="66"/>
      <c r="GTN40" s="66"/>
      <c r="GTO40" s="66"/>
      <c r="GTP40" s="66"/>
      <c r="GTQ40" s="66"/>
      <c r="GTR40" s="66"/>
      <c r="GTS40" s="66"/>
      <c r="GTT40" s="66"/>
      <c r="GTU40" s="66"/>
      <c r="GTV40" s="66"/>
      <c r="GTW40" s="66"/>
      <c r="GTX40" s="66"/>
      <c r="GTY40" s="66"/>
      <c r="GTZ40" s="66"/>
      <c r="GUA40" s="66"/>
      <c r="GUB40" s="66"/>
      <c r="GUC40" s="66"/>
      <c r="GUD40" s="66"/>
      <c r="GUE40" s="66"/>
      <c r="GUF40" s="66"/>
      <c r="GUG40" s="66"/>
      <c r="GUH40" s="66"/>
      <c r="GUI40" s="66"/>
      <c r="GUJ40" s="66"/>
      <c r="GUK40" s="66"/>
      <c r="GUL40" s="66"/>
      <c r="GUM40" s="66"/>
      <c r="GUN40" s="66"/>
      <c r="GUO40" s="66"/>
      <c r="GUP40" s="66"/>
      <c r="GUQ40" s="66"/>
      <c r="GUR40" s="66"/>
      <c r="GUS40" s="66"/>
      <c r="GUT40" s="66"/>
      <c r="GUU40" s="66"/>
      <c r="GUV40" s="66"/>
      <c r="GUW40" s="66"/>
      <c r="GUX40" s="66"/>
      <c r="GUY40" s="66"/>
      <c r="GUZ40" s="66"/>
      <c r="GVA40" s="66"/>
      <c r="GVB40" s="66"/>
      <c r="GVC40" s="66"/>
      <c r="GVD40" s="66"/>
      <c r="GVE40" s="66"/>
      <c r="GVF40" s="66"/>
      <c r="GVG40" s="66"/>
      <c r="GVH40" s="66"/>
      <c r="GVI40" s="66"/>
      <c r="GVJ40" s="66"/>
      <c r="GVK40" s="66"/>
      <c r="GVL40" s="66"/>
      <c r="GVM40" s="66"/>
      <c r="GVN40" s="66"/>
      <c r="GVO40" s="66"/>
      <c r="GVP40" s="66"/>
      <c r="GVQ40" s="66"/>
      <c r="GVR40" s="66"/>
      <c r="GVS40" s="66"/>
      <c r="GVT40" s="66"/>
      <c r="GVU40" s="66"/>
      <c r="GVV40" s="66"/>
      <c r="GVW40" s="66"/>
      <c r="GVX40" s="66"/>
      <c r="GVY40" s="66"/>
      <c r="GVZ40" s="66"/>
      <c r="GWA40" s="66"/>
      <c r="GWB40" s="66"/>
      <c r="GWC40" s="66"/>
      <c r="GWD40" s="66"/>
      <c r="GWE40" s="66"/>
      <c r="GWF40" s="66"/>
      <c r="GWG40" s="66"/>
      <c r="GWH40" s="66"/>
      <c r="GWI40" s="66"/>
      <c r="GWJ40" s="66"/>
      <c r="GWK40" s="66"/>
      <c r="GWL40" s="66"/>
      <c r="GWM40" s="66"/>
      <c r="GWN40" s="66"/>
      <c r="GWO40" s="66"/>
      <c r="GWP40" s="66"/>
      <c r="GWQ40" s="66"/>
      <c r="GWR40" s="66"/>
      <c r="GWS40" s="66"/>
      <c r="GWT40" s="66"/>
      <c r="GWU40" s="66"/>
      <c r="GWV40" s="66"/>
      <c r="GWW40" s="66"/>
      <c r="GWX40" s="66"/>
      <c r="GWY40" s="66"/>
      <c r="GWZ40" s="66"/>
      <c r="GXA40" s="66"/>
      <c r="GXB40" s="66"/>
      <c r="GXC40" s="66"/>
      <c r="GXD40" s="66"/>
      <c r="GXE40" s="66"/>
      <c r="GXF40" s="66"/>
      <c r="GXG40" s="66"/>
      <c r="GXH40" s="66"/>
      <c r="GXI40" s="66"/>
      <c r="GXJ40" s="66"/>
      <c r="GXK40" s="66"/>
      <c r="GXL40" s="66"/>
      <c r="GXM40" s="66"/>
      <c r="GXN40" s="66"/>
      <c r="GXO40" s="66"/>
      <c r="GXP40" s="66"/>
      <c r="GXQ40" s="66"/>
      <c r="GXR40" s="66"/>
      <c r="GXS40" s="66"/>
      <c r="GXT40" s="66"/>
      <c r="GXU40" s="66"/>
      <c r="GXV40" s="66"/>
      <c r="GXW40" s="66"/>
      <c r="GXX40" s="66"/>
      <c r="GXY40" s="66"/>
      <c r="GXZ40" s="66"/>
      <c r="GYA40" s="66"/>
      <c r="GYB40" s="66"/>
      <c r="GYC40" s="66"/>
      <c r="GYD40" s="66"/>
      <c r="GYE40" s="66"/>
      <c r="GYF40" s="66"/>
      <c r="GYG40" s="66"/>
      <c r="GYH40" s="66"/>
      <c r="GYI40" s="66"/>
      <c r="GYJ40" s="66"/>
      <c r="GYK40" s="66"/>
      <c r="GYL40" s="66"/>
      <c r="GYM40" s="66"/>
      <c r="GYN40" s="66"/>
      <c r="GYO40" s="66"/>
      <c r="GYP40" s="66"/>
      <c r="GYQ40" s="66"/>
      <c r="GYR40" s="66"/>
      <c r="GYS40" s="66"/>
      <c r="GYT40" s="66"/>
      <c r="GYU40" s="66"/>
      <c r="GYV40" s="66"/>
      <c r="GYW40" s="66"/>
      <c r="GYX40" s="66"/>
      <c r="GYY40" s="66"/>
      <c r="GYZ40" s="66"/>
      <c r="GZA40" s="66"/>
      <c r="GZB40" s="66"/>
      <c r="GZC40" s="66"/>
      <c r="GZD40" s="66"/>
      <c r="GZE40" s="66"/>
      <c r="GZF40" s="66"/>
      <c r="GZG40" s="66"/>
      <c r="GZH40" s="66"/>
      <c r="GZI40" s="66"/>
      <c r="GZJ40" s="66"/>
      <c r="GZK40" s="66"/>
      <c r="GZL40" s="66"/>
      <c r="GZM40" s="66"/>
      <c r="GZN40" s="66"/>
      <c r="GZO40" s="66"/>
      <c r="GZP40" s="66"/>
      <c r="GZQ40" s="66"/>
      <c r="GZR40" s="66"/>
      <c r="GZS40" s="66"/>
      <c r="GZT40" s="66"/>
      <c r="GZU40" s="66"/>
      <c r="GZV40" s="66"/>
      <c r="GZW40" s="66"/>
      <c r="GZX40" s="66"/>
      <c r="GZY40" s="66"/>
      <c r="GZZ40" s="66"/>
      <c r="HAA40" s="66"/>
      <c r="HAB40" s="66"/>
      <c r="HAC40" s="66"/>
      <c r="HAD40" s="66"/>
      <c r="HAE40" s="66"/>
      <c r="HAF40" s="66"/>
      <c r="HAG40" s="66"/>
      <c r="HAH40" s="66"/>
      <c r="HAI40" s="66"/>
      <c r="HAJ40" s="66"/>
      <c r="HAK40" s="66"/>
      <c r="HAL40" s="66"/>
      <c r="HAM40" s="66"/>
      <c r="HAN40" s="66"/>
      <c r="HAO40" s="66"/>
      <c r="HAP40" s="66"/>
      <c r="HAQ40" s="66"/>
      <c r="HAR40" s="66"/>
      <c r="HAS40" s="66"/>
      <c r="HAT40" s="66"/>
      <c r="HAU40" s="66"/>
      <c r="HAV40" s="66"/>
      <c r="HAW40" s="66"/>
      <c r="HAX40" s="66"/>
      <c r="HAY40" s="66"/>
      <c r="HAZ40" s="66"/>
      <c r="HBA40" s="66"/>
      <c r="HBB40" s="66"/>
      <c r="HBC40" s="66"/>
      <c r="HBD40" s="66"/>
      <c r="HBE40" s="66"/>
      <c r="HBF40" s="66"/>
      <c r="HBG40" s="66"/>
      <c r="HBH40" s="66"/>
      <c r="HBI40" s="66"/>
      <c r="HBJ40" s="66"/>
      <c r="HBK40" s="66"/>
      <c r="HBL40" s="66"/>
      <c r="HBM40" s="66"/>
      <c r="HBN40" s="66"/>
      <c r="HBO40" s="66"/>
      <c r="HBP40" s="66"/>
      <c r="HBQ40" s="66"/>
      <c r="HBR40" s="66"/>
      <c r="HBS40" s="66"/>
      <c r="HBT40" s="66"/>
      <c r="HBU40" s="66"/>
      <c r="HBV40" s="66"/>
      <c r="HBW40" s="66"/>
      <c r="HBX40" s="66"/>
      <c r="HBY40" s="66"/>
      <c r="HBZ40" s="66"/>
      <c r="HCA40" s="66"/>
      <c r="HCB40" s="66"/>
      <c r="HCC40" s="66"/>
      <c r="HCD40" s="66"/>
      <c r="HCE40" s="66"/>
      <c r="HCF40" s="66"/>
      <c r="HCG40" s="66"/>
      <c r="HCH40" s="66"/>
      <c r="HCI40" s="66"/>
      <c r="HCJ40" s="66"/>
      <c r="HCK40" s="66"/>
      <c r="HCL40" s="66"/>
      <c r="HCM40" s="66"/>
      <c r="HCN40" s="66"/>
      <c r="HCO40" s="66"/>
      <c r="HCP40" s="66"/>
      <c r="HCQ40" s="66"/>
      <c r="HCR40" s="66"/>
      <c r="HCS40" s="66"/>
      <c r="HCT40" s="66"/>
      <c r="HCU40" s="66"/>
      <c r="HCV40" s="66"/>
      <c r="HCW40" s="66"/>
      <c r="HCX40" s="66"/>
      <c r="HCY40" s="66"/>
      <c r="HCZ40" s="66"/>
      <c r="HDA40" s="66"/>
      <c r="HDB40" s="66"/>
      <c r="HDC40" s="66"/>
      <c r="HDD40" s="66"/>
      <c r="HDE40" s="66"/>
      <c r="HDF40" s="66"/>
      <c r="HDG40" s="66"/>
      <c r="HDH40" s="66"/>
      <c r="HDI40" s="66"/>
      <c r="HDJ40" s="66"/>
      <c r="HDK40" s="66"/>
      <c r="HDL40" s="66"/>
      <c r="HDM40" s="66"/>
      <c r="HDN40" s="66"/>
      <c r="HDO40" s="66"/>
      <c r="HDP40" s="66"/>
      <c r="HDQ40" s="66"/>
      <c r="HDR40" s="66"/>
      <c r="HDS40" s="66"/>
      <c r="HDT40" s="66"/>
      <c r="HDU40" s="66"/>
      <c r="HDV40" s="66"/>
      <c r="HDW40" s="66"/>
      <c r="HDX40" s="66"/>
      <c r="HDY40" s="66"/>
      <c r="HDZ40" s="66"/>
      <c r="HEA40" s="66"/>
      <c r="HEB40" s="66"/>
      <c r="HEC40" s="66"/>
      <c r="HED40" s="66"/>
      <c r="HEE40" s="66"/>
      <c r="HEF40" s="66"/>
      <c r="HEG40" s="66"/>
      <c r="HEH40" s="66"/>
      <c r="HEI40" s="66"/>
      <c r="HEJ40" s="66"/>
      <c r="HEK40" s="66"/>
      <c r="HEL40" s="66"/>
      <c r="HEM40" s="66"/>
      <c r="HEN40" s="66"/>
      <c r="HEO40" s="66"/>
      <c r="HEP40" s="66"/>
      <c r="HEQ40" s="66"/>
      <c r="HER40" s="66"/>
      <c r="HES40" s="66"/>
      <c r="HET40" s="66"/>
      <c r="HEU40" s="66"/>
      <c r="HEV40" s="66"/>
      <c r="HEW40" s="66"/>
      <c r="HEX40" s="66"/>
      <c r="HEY40" s="66"/>
      <c r="HEZ40" s="66"/>
      <c r="HFA40" s="66"/>
      <c r="HFB40" s="66"/>
      <c r="HFC40" s="66"/>
      <c r="HFD40" s="66"/>
      <c r="HFE40" s="66"/>
      <c r="HFF40" s="66"/>
      <c r="HFG40" s="66"/>
      <c r="HFH40" s="66"/>
      <c r="HFI40" s="66"/>
      <c r="HFJ40" s="66"/>
      <c r="HFK40" s="66"/>
      <c r="HFL40" s="66"/>
      <c r="HFM40" s="66"/>
      <c r="HFN40" s="66"/>
      <c r="HFO40" s="66"/>
      <c r="HFP40" s="66"/>
      <c r="HFQ40" s="66"/>
      <c r="HFR40" s="66"/>
      <c r="HFS40" s="66"/>
      <c r="HFT40" s="66"/>
      <c r="HFU40" s="66"/>
      <c r="HFV40" s="66"/>
      <c r="HFW40" s="66"/>
      <c r="HFX40" s="66"/>
      <c r="HFY40" s="66"/>
      <c r="HFZ40" s="66"/>
      <c r="HGA40" s="66"/>
      <c r="HGB40" s="66"/>
      <c r="HGC40" s="66"/>
      <c r="HGD40" s="66"/>
      <c r="HGE40" s="66"/>
      <c r="HGF40" s="66"/>
      <c r="HGG40" s="66"/>
      <c r="HGH40" s="66"/>
      <c r="HGI40" s="66"/>
      <c r="HGJ40" s="66"/>
      <c r="HGK40" s="66"/>
      <c r="HGL40" s="66"/>
      <c r="HGM40" s="66"/>
      <c r="HGN40" s="66"/>
      <c r="HGO40" s="66"/>
      <c r="HGP40" s="66"/>
      <c r="HGQ40" s="66"/>
      <c r="HGR40" s="66"/>
      <c r="HGS40" s="66"/>
      <c r="HGT40" s="66"/>
      <c r="HGU40" s="66"/>
      <c r="HGV40" s="66"/>
      <c r="HGW40" s="66"/>
      <c r="HGX40" s="66"/>
      <c r="HGY40" s="66"/>
      <c r="HGZ40" s="66"/>
      <c r="HHA40" s="66"/>
      <c r="HHB40" s="66"/>
      <c r="HHC40" s="66"/>
      <c r="HHD40" s="66"/>
      <c r="HHE40" s="66"/>
      <c r="HHF40" s="66"/>
      <c r="HHG40" s="66"/>
      <c r="HHH40" s="66"/>
      <c r="HHI40" s="66"/>
      <c r="HHJ40" s="66"/>
      <c r="HHK40" s="66"/>
      <c r="HHL40" s="66"/>
      <c r="HHM40" s="66"/>
      <c r="HHN40" s="66"/>
      <c r="HHO40" s="66"/>
      <c r="HHP40" s="66"/>
      <c r="HHQ40" s="66"/>
      <c r="HHR40" s="66"/>
      <c r="HHS40" s="66"/>
      <c r="HHT40" s="66"/>
      <c r="HHU40" s="66"/>
      <c r="HHV40" s="66"/>
      <c r="HHW40" s="66"/>
      <c r="HHX40" s="66"/>
      <c r="HHY40" s="66"/>
      <c r="HHZ40" s="66"/>
      <c r="HIA40" s="66"/>
      <c r="HIB40" s="66"/>
      <c r="HIC40" s="66"/>
      <c r="HID40" s="66"/>
      <c r="HIE40" s="66"/>
      <c r="HIF40" s="66"/>
      <c r="HIG40" s="66"/>
      <c r="HIH40" s="66"/>
      <c r="HII40" s="66"/>
      <c r="HIJ40" s="66"/>
      <c r="HIK40" s="66"/>
      <c r="HIL40" s="66"/>
      <c r="HIM40" s="66"/>
      <c r="HIN40" s="66"/>
      <c r="HIO40" s="66"/>
      <c r="HIP40" s="66"/>
      <c r="HIQ40" s="66"/>
      <c r="HIR40" s="66"/>
      <c r="HIS40" s="66"/>
      <c r="HIT40" s="66"/>
      <c r="HIU40" s="66"/>
      <c r="HIV40" s="66"/>
      <c r="HIW40" s="66"/>
      <c r="HIX40" s="66"/>
      <c r="HIY40" s="66"/>
      <c r="HIZ40" s="66"/>
      <c r="HJA40" s="66"/>
      <c r="HJB40" s="66"/>
      <c r="HJC40" s="66"/>
      <c r="HJD40" s="66"/>
      <c r="HJE40" s="66"/>
      <c r="HJF40" s="66"/>
      <c r="HJG40" s="66"/>
      <c r="HJH40" s="66"/>
      <c r="HJI40" s="66"/>
      <c r="HJJ40" s="66"/>
      <c r="HJK40" s="66"/>
      <c r="HJL40" s="66"/>
      <c r="HJM40" s="66"/>
      <c r="HJN40" s="66"/>
      <c r="HJO40" s="66"/>
      <c r="HJP40" s="66"/>
      <c r="HJQ40" s="66"/>
      <c r="HJR40" s="66"/>
      <c r="HJS40" s="66"/>
      <c r="HJT40" s="66"/>
      <c r="HJU40" s="66"/>
      <c r="HJV40" s="66"/>
      <c r="HJW40" s="66"/>
      <c r="HJX40" s="66"/>
      <c r="HJY40" s="66"/>
      <c r="HJZ40" s="66"/>
      <c r="HKA40" s="66"/>
      <c r="HKB40" s="66"/>
      <c r="HKC40" s="66"/>
      <c r="HKD40" s="66"/>
      <c r="HKE40" s="66"/>
      <c r="HKF40" s="66"/>
      <c r="HKG40" s="66"/>
      <c r="HKH40" s="66"/>
      <c r="HKI40" s="66"/>
      <c r="HKJ40" s="66"/>
      <c r="HKK40" s="66"/>
      <c r="HKL40" s="66"/>
      <c r="HKM40" s="66"/>
      <c r="HKN40" s="66"/>
      <c r="HKO40" s="66"/>
      <c r="HKP40" s="66"/>
      <c r="HKQ40" s="66"/>
      <c r="HKR40" s="66"/>
      <c r="HKS40" s="66"/>
      <c r="HKT40" s="66"/>
      <c r="HKU40" s="66"/>
      <c r="HKV40" s="66"/>
      <c r="HKW40" s="66"/>
      <c r="HKX40" s="66"/>
      <c r="HKY40" s="66"/>
      <c r="HKZ40" s="66"/>
      <c r="HLA40" s="66"/>
      <c r="HLB40" s="66"/>
      <c r="HLC40" s="66"/>
      <c r="HLD40" s="66"/>
      <c r="HLE40" s="66"/>
      <c r="HLF40" s="66"/>
      <c r="HLG40" s="66"/>
      <c r="HLH40" s="66"/>
      <c r="HLI40" s="66"/>
      <c r="HLJ40" s="66"/>
      <c r="HLK40" s="66"/>
      <c r="HLL40" s="66"/>
      <c r="HLM40" s="66"/>
      <c r="HLN40" s="66"/>
      <c r="HLO40" s="66"/>
      <c r="HLP40" s="66"/>
      <c r="HLQ40" s="66"/>
      <c r="HLR40" s="66"/>
      <c r="HLS40" s="66"/>
      <c r="HLT40" s="66"/>
      <c r="HLU40" s="66"/>
      <c r="HLV40" s="66"/>
      <c r="HLW40" s="66"/>
      <c r="HLX40" s="66"/>
      <c r="HLY40" s="66"/>
      <c r="HLZ40" s="66"/>
      <c r="HMA40" s="66"/>
      <c r="HMB40" s="66"/>
      <c r="HMC40" s="66"/>
      <c r="HMD40" s="66"/>
      <c r="HME40" s="66"/>
      <c r="HMF40" s="66"/>
      <c r="HMG40" s="66"/>
      <c r="HMH40" s="66"/>
      <c r="HMI40" s="66"/>
      <c r="HMJ40" s="66"/>
      <c r="HMK40" s="66"/>
      <c r="HML40" s="66"/>
      <c r="HMM40" s="66"/>
      <c r="HMN40" s="66"/>
      <c r="HMO40" s="66"/>
      <c r="HMP40" s="66"/>
      <c r="HMQ40" s="66"/>
      <c r="HMR40" s="66"/>
      <c r="HMS40" s="66"/>
      <c r="HMT40" s="66"/>
      <c r="HMU40" s="66"/>
      <c r="HMV40" s="66"/>
      <c r="HMW40" s="66"/>
      <c r="HMX40" s="66"/>
      <c r="HMY40" s="66"/>
      <c r="HMZ40" s="66"/>
      <c r="HNA40" s="66"/>
      <c r="HNB40" s="66"/>
      <c r="HNC40" s="66"/>
      <c r="HND40" s="66"/>
      <c r="HNE40" s="66"/>
      <c r="HNF40" s="66"/>
      <c r="HNG40" s="66"/>
      <c r="HNH40" s="66"/>
      <c r="HNI40" s="66"/>
      <c r="HNJ40" s="66"/>
      <c r="HNK40" s="66"/>
      <c r="HNL40" s="66"/>
      <c r="HNM40" s="66"/>
      <c r="HNN40" s="66"/>
      <c r="HNO40" s="66"/>
      <c r="HNP40" s="66"/>
      <c r="HNQ40" s="66"/>
      <c r="HNR40" s="66"/>
      <c r="HNS40" s="66"/>
      <c r="HNT40" s="66"/>
      <c r="HNU40" s="66"/>
      <c r="HNV40" s="66"/>
      <c r="HNW40" s="66"/>
      <c r="HNX40" s="66"/>
      <c r="HNY40" s="66"/>
      <c r="HNZ40" s="66"/>
      <c r="HOA40" s="66"/>
      <c r="HOB40" s="66"/>
      <c r="HOC40" s="66"/>
      <c r="HOD40" s="66"/>
      <c r="HOE40" s="66"/>
      <c r="HOF40" s="66"/>
      <c r="HOG40" s="66"/>
      <c r="HOH40" s="66"/>
      <c r="HOI40" s="66"/>
      <c r="HOJ40" s="66"/>
      <c r="HOK40" s="66"/>
      <c r="HOL40" s="66"/>
      <c r="HOM40" s="66"/>
      <c r="HON40" s="66"/>
      <c r="HOO40" s="66"/>
      <c r="HOP40" s="66"/>
      <c r="HOQ40" s="66"/>
      <c r="HOR40" s="66"/>
      <c r="HOS40" s="66"/>
      <c r="HOT40" s="66"/>
      <c r="HOU40" s="66"/>
      <c r="HOV40" s="66"/>
      <c r="HOW40" s="66"/>
      <c r="HOX40" s="66"/>
      <c r="HOY40" s="66"/>
      <c r="HOZ40" s="66"/>
      <c r="HPA40" s="66"/>
      <c r="HPB40" s="66"/>
      <c r="HPC40" s="66"/>
      <c r="HPD40" s="66"/>
      <c r="HPE40" s="66"/>
      <c r="HPF40" s="66"/>
      <c r="HPG40" s="66"/>
      <c r="HPH40" s="66"/>
      <c r="HPI40" s="66"/>
      <c r="HPJ40" s="66"/>
      <c r="HPK40" s="66"/>
      <c r="HPL40" s="66"/>
      <c r="HPM40" s="66"/>
      <c r="HPN40" s="66"/>
      <c r="HPO40" s="66"/>
      <c r="HPP40" s="66"/>
      <c r="HPQ40" s="66"/>
      <c r="HPR40" s="66"/>
      <c r="HPS40" s="66"/>
      <c r="HPT40" s="66"/>
      <c r="HPU40" s="66"/>
      <c r="HPV40" s="66"/>
      <c r="HPW40" s="66"/>
      <c r="HPX40" s="66"/>
      <c r="HPY40" s="66"/>
      <c r="HPZ40" s="66"/>
      <c r="HQA40" s="66"/>
      <c r="HQB40" s="66"/>
      <c r="HQC40" s="66"/>
      <c r="HQD40" s="66"/>
      <c r="HQE40" s="66"/>
      <c r="HQF40" s="66"/>
      <c r="HQG40" s="66"/>
      <c r="HQH40" s="66"/>
      <c r="HQI40" s="66"/>
      <c r="HQJ40" s="66"/>
      <c r="HQK40" s="66"/>
      <c r="HQL40" s="66"/>
      <c r="HQM40" s="66"/>
      <c r="HQN40" s="66"/>
      <c r="HQO40" s="66"/>
      <c r="HQP40" s="66"/>
      <c r="HQQ40" s="66"/>
      <c r="HQR40" s="66"/>
      <c r="HQS40" s="66"/>
      <c r="HQT40" s="66"/>
      <c r="HQU40" s="66"/>
      <c r="HQV40" s="66"/>
      <c r="HQW40" s="66"/>
      <c r="HQX40" s="66"/>
      <c r="HQY40" s="66"/>
      <c r="HQZ40" s="66"/>
      <c r="HRA40" s="66"/>
      <c r="HRB40" s="66"/>
      <c r="HRC40" s="66"/>
      <c r="HRD40" s="66"/>
      <c r="HRE40" s="66"/>
      <c r="HRF40" s="66"/>
      <c r="HRG40" s="66"/>
      <c r="HRH40" s="66"/>
      <c r="HRI40" s="66"/>
      <c r="HRJ40" s="66"/>
      <c r="HRK40" s="66"/>
      <c r="HRL40" s="66"/>
      <c r="HRM40" s="66"/>
      <c r="HRN40" s="66"/>
      <c r="HRO40" s="66"/>
      <c r="HRP40" s="66"/>
      <c r="HRQ40" s="66"/>
      <c r="HRR40" s="66"/>
      <c r="HRS40" s="66"/>
      <c r="HRT40" s="66"/>
      <c r="HRU40" s="66"/>
      <c r="HRV40" s="66"/>
      <c r="HRW40" s="66"/>
      <c r="HRX40" s="66"/>
      <c r="HRY40" s="66"/>
      <c r="HRZ40" s="66"/>
      <c r="HSA40" s="66"/>
      <c r="HSB40" s="66"/>
      <c r="HSC40" s="66"/>
      <c r="HSD40" s="66"/>
      <c r="HSE40" s="66"/>
      <c r="HSF40" s="66"/>
      <c r="HSG40" s="66"/>
      <c r="HSH40" s="66"/>
      <c r="HSI40" s="66"/>
      <c r="HSJ40" s="66"/>
      <c r="HSK40" s="66"/>
      <c r="HSL40" s="66"/>
      <c r="HSM40" s="66"/>
      <c r="HSN40" s="66"/>
      <c r="HSO40" s="66"/>
      <c r="HSP40" s="66"/>
      <c r="HSQ40" s="66"/>
      <c r="HSR40" s="66"/>
      <c r="HSS40" s="66"/>
      <c r="HST40" s="66"/>
      <c r="HSU40" s="66"/>
      <c r="HSV40" s="66"/>
      <c r="HSW40" s="66"/>
      <c r="HSX40" s="66"/>
      <c r="HSY40" s="66"/>
      <c r="HSZ40" s="66"/>
      <c r="HTA40" s="66"/>
      <c r="HTB40" s="66"/>
      <c r="HTC40" s="66"/>
      <c r="HTD40" s="66"/>
      <c r="HTE40" s="66"/>
      <c r="HTF40" s="66"/>
      <c r="HTG40" s="66"/>
      <c r="HTH40" s="66"/>
      <c r="HTI40" s="66"/>
      <c r="HTJ40" s="66"/>
      <c r="HTK40" s="66"/>
      <c r="HTL40" s="66"/>
      <c r="HTM40" s="66"/>
      <c r="HTN40" s="66"/>
      <c r="HTO40" s="66"/>
      <c r="HTP40" s="66"/>
      <c r="HTQ40" s="66"/>
      <c r="HTR40" s="66"/>
      <c r="HTS40" s="66"/>
      <c r="HTT40" s="66"/>
      <c r="HTU40" s="66"/>
      <c r="HTV40" s="66"/>
      <c r="HTW40" s="66"/>
      <c r="HTX40" s="66"/>
      <c r="HTY40" s="66"/>
      <c r="HTZ40" s="66"/>
      <c r="HUA40" s="66"/>
      <c r="HUB40" s="66"/>
      <c r="HUC40" s="66"/>
      <c r="HUD40" s="66"/>
      <c r="HUE40" s="66"/>
      <c r="HUF40" s="66"/>
      <c r="HUG40" s="66"/>
      <c r="HUH40" s="66"/>
      <c r="HUI40" s="66"/>
      <c r="HUJ40" s="66"/>
      <c r="HUK40" s="66"/>
      <c r="HUL40" s="66"/>
      <c r="HUM40" s="66"/>
      <c r="HUN40" s="66"/>
      <c r="HUO40" s="66"/>
      <c r="HUP40" s="66"/>
      <c r="HUQ40" s="66"/>
      <c r="HUR40" s="66"/>
      <c r="HUS40" s="66"/>
      <c r="HUT40" s="66"/>
      <c r="HUU40" s="66"/>
      <c r="HUV40" s="66"/>
      <c r="HUW40" s="66"/>
      <c r="HUX40" s="66"/>
      <c r="HUY40" s="66"/>
      <c r="HUZ40" s="66"/>
      <c r="HVA40" s="66"/>
      <c r="HVB40" s="66"/>
      <c r="HVC40" s="66"/>
      <c r="HVD40" s="66"/>
      <c r="HVE40" s="66"/>
      <c r="HVF40" s="66"/>
      <c r="HVG40" s="66"/>
      <c r="HVH40" s="66"/>
      <c r="HVI40" s="66"/>
      <c r="HVJ40" s="66"/>
      <c r="HVK40" s="66"/>
      <c r="HVL40" s="66"/>
      <c r="HVM40" s="66"/>
      <c r="HVN40" s="66"/>
      <c r="HVO40" s="66"/>
      <c r="HVP40" s="66"/>
      <c r="HVQ40" s="66"/>
      <c r="HVR40" s="66"/>
      <c r="HVS40" s="66"/>
      <c r="HVT40" s="66"/>
      <c r="HVU40" s="66"/>
      <c r="HVV40" s="66"/>
      <c r="HVW40" s="66"/>
      <c r="HVX40" s="66"/>
      <c r="HVY40" s="66"/>
      <c r="HVZ40" s="66"/>
      <c r="HWA40" s="66"/>
      <c r="HWB40" s="66"/>
      <c r="HWC40" s="66"/>
      <c r="HWD40" s="66"/>
      <c r="HWE40" s="66"/>
      <c r="HWF40" s="66"/>
      <c r="HWG40" s="66"/>
      <c r="HWH40" s="66"/>
      <c r="HWI40" s="66"/>
      <c r="HWJ40" s="66"/>
      <c r="HWK40" s="66"/>
      <c r="HWL40" s="66"/>
      <c r="HWM40" s="66"/>
      <c r="HWN40" s="66"/>
      <c r="HWO40" s="66"/>
      <c r="HWP40" s="66"/>
      <c r="HWQ40" s="66"/>
      <c r="HWR40" s="66"/>
      <c r="HWS40" s="66"/>
      <c r="HWT40" s="66"/>
      <c r="HWU40" s="66"/>
      <c r="HWV40" s="66"/>
      <c r="HWW40" s="66"/>
      <c r="HWX40" s="66"/>
      <c r="HWY40" s="66"/>
      <c r="HWZ40" s="66"/>
      <c r="HXA40" s="66"/>
      <c r="HXB40" s="66"/>
      <c r="HXC40" s="66"/>
      <c r="HXD40" s="66"/>
      <c r="HXE40" s="66"/>
      <c r="HXF40" s="66"/>
      <c r="HXG40" s="66"/>
      <c r="HXH40" s="66"/>
      <c r="HXI40" s="66"/>
      <c r="HXJ40" s="66"/>
      <c r="HXK40" s="66"/>
      <c r="HXL40" s="66"/>
      <c r="HXM40" s="66"/>
      <c r="HXN40" s="66"/>
      <c r="HXO40" s="66"/>
      <c r="HXP40" s="66"/>
      <c r="HXQ40" s="66"/>
      <c r="HXR40" s="66"/>
      <c r="HXS40" s="66"/>
      <c r="HXT40" s="66"/>
      <c r="HXU40" s="66"/>
      <c r="HXV40" s="66"/>
      <c r="HXW40" s="66"/>
      <c r="HXX40" s="66"/>
      <c r="HXY40" s="66"/>
      <c r="HXZ40" s="66"/>
      <c r="HYA40" s="66"/>
      <c r="HYB40" s="66"/>
      <c r="HYC40" s="66"/>
      <c r="HYD40" s="66"/>
      <c r="HYE40" s="66"/>
      <c r="HYF40" s="66"/>
      <c r="HYG40" s="66"/>
      <c r="HYH40" s="66"/>
      <c r="HYI40" s="66"/>
      <c r="HYJ40" s="66"/>
      <c r="HYK40" s="66"/>
      <c r="HYL40" s="66"/>
      <c r="HYM40" s="66"/>
      <c r="HYN40" s="66"/>
      <c r="HYO40" s="66"/>
      <c r="HYP40" s="66"/>
      <c r="HYQ40" s="66"/>
      <c r="HYR40" s="66"/>
      <c r="HYS40" s="66"/>
      <c r="HYT40" s="66"/>
      <c r="HYU40" s="66"/>
      <c r="HYV40" s="66"/>
      <c r="HYW40" s="66"/>
      <c r="HYX40" s="66"/>
      <c r="HYY40" s="66"/>
      <c r="HYZ40" s="66"/>
      <c r="HZA40" s="66"/>
      <c r="HZB40" s="66"/>
      <c r="HZC40" s="66"/>
      <c r="HZD40" s="66"/>
      <c r="HZE40" s="66"/>
      <c r="HZF40" s="66"/>
      <c r="HZG40" s="66"/>
      <c r="HZH40" s="66"/>
      <c r="HZI40" s="66"/>
      <c r="HZJ40" s="66"/>
      <c r="HZK40" s="66"/>
      <c r="HZL40" s="66"/>
      <c r="HZM40" s="66"/>
      <c r="HZN40" s="66"/>
      <c r="HZO40" s="66"/>
      <c r="HZP40" s="66"/>
      <c r="HZQ40" s="66"/>
      <c r="HZR40" s="66"/>
      <c r="HZS40" s="66"/>
      <c r="HZT40" s="66"/>
      <c r="HZU40" s="66"/>
      <c r="HZV40" s="66"/>
      <c r="HZW40" s="66"/>
      <c r="HZX40" s="66"/>
      <c r="HZY40" s="66"/>
      <c r="HZZ40" s="66"/>
      <c r="IAA40" s="66"/>
      <c r="IAB40" s="66"/>
      <c r="IAC40" s="66"/>
      <c r="IAD40" s="66"/>
      <c r="IAE40" s="66"/>
      <c r="IAF40" s="66"/>
      <c r="IAG40" s="66"/>
      <c r="IAH40" s="66"/>
      <c r="IAI40" s="66"/>
      <c r="IAJ40" s="66"/>
      <c r="IAK40" s="66"/>
      <c r="IAL40" s="66"/>
      <c r="IAM40" s="66"/>
      <c r="IAN40" s="66"/>
      <c r="IAO40" s="66"/>
      <c r="IAP40" s="66"/>
      <c r="IAQ40" s="66"/>
      <c r="IAR40" s="66"/>
      <c r="IAS40" s="66"/>
      <c r="IAT40" s="66"/>
      <c r="IAU40" s="66"/>
      <c r="IAV40" s="66"/>
      <c r="IAW40" s="66"/>
      <c r="IAX40" s="66"/>
      <c r="IAY40" s="66"/>
      <c r="IAZ40" s="66"/>
      <c r="IBA40" s="66"/>
      <c r="IBB40" s="66"/>
      <c r="IBC40" s="66"/>
      <c r="IBD40" s="66"/>
      <c r="IBE40" s="66"/>
      <c r="IBF40" s="66"/>
      <c r="IBG40" s="66"/>
      <c r="IBH40" s="66"/>
      <c r="IBI40" s="66"/>
      <c r="IBJ40" s="66"/>
      <c r="IBK40" s="66"/>
      <c r="IBL40" s="66"/>
      <c r="IBM40" s="66"/>
      <c r="IBN40" s="66"/>
      <c r="IBO40" s="66"/>
      <c r="IBP40" s="66"/>
      <c r="IBQ40" s="66"/>
      <c r="IBR40" s="66"/>
      <c r="IBS40" s="66"/>
      <c r="IBT40" s="66"/>
      <c r="IBU40" s="66"/>
      <c r="IBV40" s="66"/>
      <c r="IBW40" s="66"/>
      <c r="IBX40" s="66"/>
      <c r="IBY40" s="66"/>
      <c r="IBZ40" s="66"/>
      <c r="ICA40" s="66"/>
      <c r="ICB40" s="66"/>
      <c r="ICC40" s="66"/>
      <c r="ICD40" s="66"/>
      <c r="ICE40" s="66"/>
      <c r="ICF40" s="66"/>
      <c r="ICG40" s="66"/>
      <c r="ICH40" s="66"/>
      <c r="ICI40" s="66"/>
      <c r="ICJ40" s="66"/>
      <c r="ICK40" s="66"/>
      <c r="ICL40" s="66"/>
      <c r="ICM40" s="66"/>
      <c r="ICN40" s="66"/>
      <c r="ICO40" s="66"/>
      <c r="ICP40" s="66"/>
      <c r="ICQ40" s="66"/>
      <c r="ICR40" s="66"/>
      <c r="ICS40" s="66"/>
      <c r="ICT40" s="66"/>
      <c r="ICU40" s="66"/>
      <c r="ICV40" s="66"/>
      <c r="ICW40" s="66"/>
      <c r="ICX40" s="66"/>
      <c r="ICY40" s="66"/>
      <c r="ICZ40" s="66"/>
      <c r="IDA40" s="66"/>
      <c r="IDB40" s="66"/>
      <c r="IDC40" s="66"/>
      <c r="IDD40" s="66"/>
      <c r="IDE40" s="66"/>
      <c r="IDF40" s="66"/>
      <c r="IDG40" s="66"/>
      <c r="IDH40" s="66"/>
      <c r="IDI40" s="66"/>
      <c r="IDJ40" s="66"/>
      <c r="IDK40" s="66"/>
      <c r="IDL40" s="66"/>
      <c r="IDM40" s="66"/>
      <c r="IDN40" s="66"/>
      <c r="IDO40" s="66"/>
      <c r="IDP40" s="66"/>
      <c r="IDQ40" s="66"/>
      <c r="IDR40" s="66"/>
      <c r="IDS40" s="66"/>
      <c r="IDT40" s="66"/>
      <c r="IDU40" s="66"/>
      <c r="IDV40" s="66"/>
      <c r="IDW40" s="66"/>
      <c r="IDX40" s="66"/>
      <c r="IDY40" s="66"/>
      <c r="IDZ40" s="66"/>
      <c r="IEA40" s="66"/>
      <c r="IEB40" s="66"/>
      <c r="IEC40" s="66"/>
      <c r="IED40" s="66"/>
      <c r="IEE40" s="66"/>
      <c r="IEF40" s="66"/>
      <c r="IEG40" s="66"/>
      <c r="IEH40" s="66"/>
      <c r="IEI40" s="66"/>
      <c r="IEJ40" s="66"/>
      <c r="IEK40" s="66"/>
      <c r="IEL40" s="66"/>
      <c r="IEM40" s="66"/>
      <c r="IEN40" s="66"/>
      <c r="IEO40" s="66"/>
      <c r="IEP40" s="66"/>
      <c r="IEQ40" s="66"/>
      <c r="IER40" s="66"/>
      <c r="IES40" s="66"/>
      <c r="IET40" s="66"/>
      <c r="IEU40" s="66"/>
      <c r="IEV40" s="66"/>
      <c r="IEW40" s="66"/>
      <c r="IEX40" s="66"/>
      <c r="IEY40" s="66"/>
      <c r="IEZ40" s="66"/>
      <c r="IFA40" s="66"/>
      <c r="IFB40" s="66"/>
      <c r="IFC40" s="66"/>
      <c r="IFD40" s="66"/>
      <c r="IFE40" s="66"/>
      <c r="IFF40" s="66"/>
      <c r="IFG40" s="66"/>
      <c r="IFH40" s="66"/>
      <c r="IFI40" s="66"/>
      <c r="IFJ40" s="66"/>
      <c r="IFK40" s="66"/>
      <c r="IFL40" s="66"/>
      <c r="IFM40" s="66"/>
      <c r="IFN40" s="66"/>
      <c r="IFO40" s="66"/>
      <c r="IFP40" s="66"/>
      <c r="IFQ40" s="66"/>
      <c r="IFR40" s="66"/>
      <c r="IFS40" s="66"/>
      <c r="IFT40" s="66"/>
      <c r="IFU40" s="66"/>
      <c r="IFV40" s="66"/>
      <c r="IFW40" s="66"/>
      <c r="IFX40" s="66"/>
      <c r="IFY40" s="66"/>
      <c r="IFZ40" s="66"/>
      <c r="IGA40" s="66"/>
      <c r="IGB40" s="66"/>
      <c r="IGC40" s="66"/>
      <c r="IGD40" s="66"/>
      <c r="IGE40" s="66"/>
      <c r="IGF40" s="66"/>
      <c r="IGG40" s="66"/>
      <c r="IGH40" s="66"/>
      <c r="IGI40" s="66"/>
      <c r="IGJ40" s="66"/>
      <c r="IGK40" s="66"/>
      <c r="IGL40" s="66"/>
      <c r="IGM40" s="66"/>
      <c r="IGN40" s="66"/>
      <c r="IGO40" s="66"/>
      <c r="IGP40" s="66"/>
      <c r="IGQ40" s="66"/>
      <c r="IGR40" s="66"/>
      <c r="IGS40" s="66"/>
      <c r="IGT40" s="66"/>
      <c r="IGU40" s="66"/>
      <c r="IGV40" s="66"/>
      <c r="IGW40" s="66"/>
      <c r="IGX40" s="66"/>
      <c r="IGY40" s="66"/>
      <c r="IGZ40" s="66"/>
      <c r="IHA40" s="66"/>
      <c r="IHB40" s="66"/>
      <c r="IHC40" s="66"/>
      <c r="IHD40" s="66"/>
      <c r="IHE40" s="66"/>
      <c r="IHF40" s="66"/>
      <c r="IHG40" s="66"/>
      <c r="IHH40" s="66"/>
      <c r="IHI40" s="66"/>
      <c r="IHJ40" s="66"/>
      <c r="IHK40" s="66"/>
      <c r="IHL40" s="66"/>
      <c r="IHM40" s="66"/>
      <c r="IHN40" s="66"/>
      <c r="IHO40" s="66"/>
      <c r="IHP40" s="66"/>
      <c r="IHQ40" s="66"/>
      <c r="IHR40" s="66"/>
      <c r="IHS40" s="66"/>
      <c r="IHT40" s="66"/>
      <c r="IHU40" s="66"/>
      <c r="IHV40" s="66"/>
      <c r="IHW40" s="66"/>
      <c r="IHX40" s="66"/>
      <c r="IHY40" s="66"/>
      <c r="IHZ40" s="66"/>
      <c r="IIA40" s="66"/>
      <c r="IIB40" s="66"/>
      <c r="IIC40" s="66"/>
      <c r="IID40" s="66"/>
      <c r="IIE40" s="66"/>
      <c r="IIF40" s="66"/>
      <c r="IIG40" s="66"/>
      <c r="IIH40" s="66"/>
      <c r="III40" s="66"/>
      <c r="IIJ40" s="66"/>
      <c r="IIK40" s="66"/>
      <c r="IIL40" s="66"/>
      <c r="IIM40" s="66"/>
      <c r="IIN40" s="66"/>
      <c r="IIO40" s="66"/>
      <c r="IIP40" s="66"/>
      <c r="IIQ40" s="66"/>
      <c r="IIR40" s="66"/>
      <c r="IIS40" s="66"/>
      <c r="IIT40" s="66"/>
      <c r="IIU40" s="66"/>
      <c r="IIV40" s="66"/>
      <c r="IIW40" s="66"/>
      <c r="IIX40" s="66"/>
      <c r="IIY40" s="66"/>
      <c r="IIZ40" s="66"/>
      <c r="IJA40" s="66"/>
      <c r="IJB40" s="66"/>
      <c r="IJC40" s="66"/>
      <c r="IJD40" s="66"/>
      <c r="IJE40" s="66"/>
      <c r="IJF40" s="66"/>
      <c r="IJG40" s="66"/>
      <c r="IJH40" s="66"/>
      <c r="IJI40" s="66"/>
      <c r="IJJ40" s="66"/>
      <c r="IJK40" s="66"/>
      <c r="IJL40" s="66"/>
      <c r="IJM40" s="66"/>
      <c r="IJN40" s="66"/>
      <c r="IJO40" s="66"/>
      <c r="IJP40" s="66"/>
      <c r="IJQ40" s="66"/>
      <c r="IJR40" s="66"/>
      <c r="IJS40" s="66"/>
      <c r="IJT40" s="66"/>
      <c r="IJU40" s="66"/>
      <c r="IJV40" s="66"/>
      <c r="IJW40" s="66"/>
      <c r="IJX40" s="66"/>
      <c r="IJY40" s="66"/>
      <c r="IJZ40" s="66"/>
      <c r="IKA40" s="66"/>
      <c r="IKB40" s="66"/>
      <c r="IKC40" s="66"/>
      <c r="IKD40" s="66"/>
      <c r="IKE40" s="66"/>
      <c r="IKF40" s="66"/>
      <c r="IKG40" s="66"/>
      <c r="IKH40" s="66"/>
      <c r="IKI40" s="66"/>
      <c r="IKJ40" s="66"/>
      <c r="IKK40" s="66"/>
      <c r="IKL40" s="66"/>
      <c r="IKM40" s="66"/>
      <c r="IKN40" s="66"/>
      <c r="IKO40" s="66"/>
      <c r="IKP40" s="66"/>
      <c r="IKQ40" s="66"/>
      <c r="IKR40" s="66"/>
      <c r="IKS40" s="66"/>
      <c r="IKT40" s="66"/>
      <c r="IKU40" s="66"/>
      <c r="IKV40" s="66"/>
      <c r="IKW40" s="66"/>
      <c r="IKX40" s="66"/>
      <c r="IKY40" s="66"/>
      <c r="IKZ40" s="66"/>
      <c r="ILA40" s="66"/>
      <c r="ILB40" s="66"/>
      <c r="ILC40" s="66"/>
      <c r="ILD40" s="66"/>
      <c r="ILE40" s="66"/>
      <c r="ILF40" s="66"/>
      <c r="ILG40" s="66"/>
      <c r="ILH40" s="66"/>
      <c r="ILI40" s="66"/>
      <c r="ILJ40" s="66"/>
      <c r="ILK40" s="66"/>
      <c r="ILL40" s="66"/>
      <c r="ILM40" s="66"/>
      <c r="ILN40" s="66"/>
      <c r="ILO40" s="66"/>
      <c r="ILP40" s="66"/>
      <c r="ILQ40" s="66"/>
      <c r="ILR40" s="66"/>
      <c r="ILS40" s="66"/>
      <c r="ILT40" s="66"/>
      <c r="ILU40" s="66"/>
      <c r="ILV40" s="66"/>
      <c r="ILW40" s="66"/>
      <c r="ILX40" s="66"/>
      <c r="ILY40" s="66"/>
      <c r="ILZ40" s="66"/>
      <c r="IMA40" s="66"/>
      <c r="IMB40" s="66"/>
      <c r="IMC40" s="66"/>
      <c r="IMD40" s="66"/>
      <c r="IME40" s="66"/>
      <c r="IMF40" s="66"/>
      <c r="IMG40" s="66"/>
      <c r="IMH40" s="66"/>
      <c r="IMI40" s="66"/>
      <c r="IMJ40" s="66"/>
      <c r="IMK40" s="66"/>
      <c r="IML40" s="66"/>
      <c r="IMM40" s="66"/>
      <c r="IMN40" s="66"/>
      <c r="IMO40" s="66"/>
      <c r="IMP40" s="66"/>
      <c r="IMQ40" s="66"/>
      <c r="IMR40" s="66"/>
      <c r="IMS40" s="66"/>
      <c r="IMT40" s="66"/>
      <c r="IMU40" s="66"/>
      <c r="IMV40" s="66"/>
      <c r="IMW40" s="66"/>
      <c r="IMX40" s="66"/>
      <c r="IMY40" s="66"/>
      <c r="IMZ40" s="66"/>
      <c r="INA40" s="66"/>
      <c r="INB40" s="66"/>
      <c r="INC40" s="66"/>
      <c r="IND40" s="66"/>
      <c r="INE40" s="66"/>
      <c r="INF40" s="66"/>
      <c r="ING40" s="66"/>
      <c r="INH40" s="66"/>
      <c r="INI40" s="66"/>
      <c r="INJ40" s="66"/>
      <c r="INK40" s="66"/>
      <c r="INL40" s="66"/>
      <c r="INM40" s="66"/>
      <c r="INN40" s="66"/>
      <c r="INO40" s="66"/>
      <c r="INP40" s="66"/>
      <c r="INQ40" s="66"/>
      <c r="INR40" s="66"/>
      <c r="INS40" s="66"/>
      <c r="INT40" s="66"/>
      <c r="INU40" s="66"/>
      <c r="INV40" s="66"/>
      <c r="INW40" s="66"/>
      <c r="INX40" s="66"/>
      <c r="INY40" s="66"/>
      <c r="INZ40" s="66"/>
      <c r="IOA40" s="66"/>
      <c r="IOB40" s="66"/>
      <c r="IOC40" s="66"/>
      <c r="IOD40" s="66"/>
      <c r="IOE40" s="66"/>
      <c r="IOF40" s="66"/>
      <c r="IOG40" s="66"/>
      <c r="IOH40" s="66"/>
      <c r="IOI40" s="66"/>
      <c r="IOJ40" s="66"/>
      <c r="IOK40" s="66"/>
      <c r="IOL40" s="66"/>
      <c r="IOM40" s="66"/>
      <c r="ION40" s="66"/>
      <c r="IOO40" s="66"/>
      <c r="IOP40" s="66"/>
      <c r="IOQ40" s="66"/>
      <c r="IOR40" s="66"/>
      <c r="IOS40" s="66"/>
      <c r="IOT40" s="66"/>
      <c r="IOU40" s="66"/>
      <c r="IOV40" s="66"/>
      <c r="IOW40" s="66"/>
      <c r="IOX40" s="66"/>
      <c r="IOY40" s="66"/>
      <c r="IOZ40" s="66"/>
      <c r="IPA40" s="66"/>
      <c r="IPB40" s="66"/>
      <c r="IPC40" s="66"/>
      <c r="IPD40" s="66"/>
      <c r="IPE40" s="66"/>
      <c r="IPF40" s="66"/>
      <c r="IPG40" s="66"/>
      <c r="IPH40" s="66"/>
      <c r="IPI40" s="66"/>
      <c r="IPJ40" s="66"/>
      <c r="IPK40" s="66"/>
      <c r="IPL40" s="66"/>
      <c r="IPM40" s="66"/>
      <c r="IPN40" s="66"/>
      <c r="IPO40" s="66"/>
      <c r="IPP40" s="66"/>
      <c r="IPQ40" s="66"/>
      <c r="IPR40" s="66"/>
      <c r="IPS40" s="66"/>
      <c r="IPT40" s="66"/>
      <c r="IPU40" s="66"/>
      <c r="IPV40" s="66"/>
      <c r="IPW40" s="66"/>
      <c r="IPX40" s="66"/>
      <c r="IPY40" s="66"/>
      <c r="IPZ40" s="66"/>
      <c r="IQA40" s="66"/>
      <c r="IQB40" s="66"/>
      <c r="IQC40" s="66"/>
      <c r="IQD40" s="66"/>
      <c r="IQE40" s="66"/>
      <c r="IQF40" s="66"/>
      <c r="IQG40" s="66"/>
      <c r="IQH40" s="66"/>
      <c r="IQI40" s="66"/>
      <c r="IQJ40" s="66"/>
      <c r="IQK40" s="66"/>
      <c r="IQL40" s="66"/>
      <c r="IQM40" s="66"/>
      <c r="IQN40" s="66"/>
      <c r="IQO40" s="66"/>
      <c r="IQP40" s="66"/>
      <c r="IQQ40" s="66"/>
      <c r="IQR40" s="66"/>
      <c r="IQS40" s="66"/>
      <c r="IQT40" s="66"/>
      <c r="IQU40" s="66"/>
      <c r="IQV40" s="66"/>
      <c r="IQW40" s="66"/>
      <c r="IQX40" s="66"/>
      <c r="IQY40" s="66"/>
      <c r="IQZ40" s="66"/>
      <c r="IRA40" s="66"/>
      <c r="IRB40" s="66"/>
      <c r="IRC40" s="66"/>
      <c r="IRD40" s="66"/>
      <c r="IRE40" s="66"/>
      <c r="IRF40" s="66"/>
      <c r="IRG40" s="66"/>
      <c r="IRH40" s="66"/>
      <c r="IRI40" s="66"/>
      <c r="IRJ40" s="66"/>
      <c r="IRK40" s="66"/>
      <c r="IRL40" s="66"/>
      <c r="IRM40" s="66"/>
      <c r="IRN40" s="66"/>
      <c r="IRO40" s="66"/>
      <c r="IRP40" s="66"/>
      <c r="IRQ40" s="66"/>
      <c r="IRR40" s="66"/>
      <c r="IRS40" s="66"/>
      <c r="IRT40" s="66"/>
      <c r="IRU40" s="66"/>
      <c r="IRV40" s="66"/>
      <c r="IRW40" s="66"/>
      <c r="IRX40" s="66"/>
      <c r="IRY40" s="66"/>
      <c r="IRZ40" s="66"/>
      <c r="ISA40" s="66"/>
      <c r="ISB40" s="66"/>
      <c r="ISC40" s="66"/>
      <c r="ISD40" s="66"/>
      <c r="ISE40" s="66"/>
      <c r="ISF40" s="66"/>
      <c r="ISG40" s="66"/>
      <c r="ISH40" s="66"/>
      <c r="ISI40" s="66"/>
      <c r="ISJ40" s="66"/>
      <c r="ISK40" s="66"/>
      <c r="ISL40" s="66"/>
      <c r="ISM40" s="66"/>
      <c r="ISN40" s="66"/>
      <c r="ISO40" s="66"/>
      <c r="ISP40" s="66"/>
      <c r="ISQ40" s="66"/>
      <c r="ISR40" s="66"/>
      <c r="ISS40" s="66"/>
      <c r="IST40" s="66"/>
      <c r="ISU40" s="66"/>
      <c r="ISV40" s="66"/>
      <c r="ISW40" s="66"/>
      <c r="ISX40" s="66"/>
      <c r="ISY40" s="66"/>
      <c r="ISZ40" s="66"/>
      <c r="ITA40" s="66"/>
      <c r="ITB40" s="66"/>
      <c r="ITC40" s="66"/>
      <c r="ITD40" s="66"/>
      <c r="ITE40" s="66"/>
      <c r="ITF40" s="66"/>
      <c r="ITG40" s="66"/>
      <c r="ITH40" s="66"/>
      <c r="ITI40" s="66"/>
      <c r="ITJ40" s="66"/>
      <c r="ITK40" s="66"/>
      <c r="ITL40" s="66"/>
      <c r="ITM40" s="66"/>
      <c r="ITN40" s="66"/>
      <c r="ITO40" s="66"/>
      <c r="ITP40" s="66"/>
      <c r="ITQ40" s="66"/>
      <c r="ITR40" s="66"/>
      <c r="ITS40" s="66"/>
      <c r="ITT40" s="66"/>
      <c r="ITU40" s="66"/>
      <c r="ITV40" s="66"/>
      <c r="ITW40" s="66"/>
      <c r="ITX40" s="66"/>
      <c r="ITY40" s="66"/>
      <c r="ITZ40" s="66"/>
      <c r="IUA40" s="66"/>
      <c r="IUB40" s="66"/>
      <c r="IUC40" s="66"/>
      <c r="IUD40" s="66"/>
      <c r="IUE40" s="66"/>
      <c r="IUF40" s="66"/>
      <c r="IUG40" s="66"/>
      <c r="IUH40" s="66"/>
      <c r="IUI40" s="66"/>
      <c r="IUJ40" s="66"/>
      <c r="IUK40" s="66"/>
      <c r="IUL40" s="66"/>
      <c r="IUM40" s="66"/>
      <c r="IUN40" s="66"/>
      <c r="IUO40" s="66"/>
      <c r="IUP40" s="66"/>
      <c r="IUQ40" s="66"/>
      <c r="IUR40" s="66"/>
      <c r="IUS40" s="66"/>
      <c r="IUT40" s="66"/>
      <c r="IUU40" s="66"/>
      <c r="IUV40" s="66"/>
      <c r="IUW40" s="66"/>
      <c r="IUX40" s="66"/>
      <c r="IUY40" s="66"/>
      <c r="IUZ40" s="66"/>
      <c r="IVA40" s="66"/>
      <c r="IVB40" s="66"/>
      <c r="IVC40" s="66"/>
      <c r="IVD40" s="66"/>
      <c r="IVE40" s="66"/>
      <c r="IVF40" s="66"/>
      <c r="IVG40" s="66"/>
      <c r="IVH40" s="66"/>
      <c r="IVI40" s="66"/>
      <c r="IVJ40" s="66"/>
      <c r="IVK40" s="66"/>
      <c r="IVL40" s="66"/>
      <c r="IVM40" s="66"/>
      <c r="IVN40" s="66"/>
      <c r="IVO40" s="66"/>
      <c r="IVP40" s="66"/>
      <c r="IVQ40" s="66"/>
      <c r="IVR40" s="66"/>
      <c r="IVS40" s="66"/>
      <c r="IVT40" s="66"/>
      <c r="IVU40" s="66"/>
      <c r="IVV40" s="66"/>
      <c r="IVW40" s="66"/>
      <c r="IVX40" s="66"/>
      <c r="IVY40" s="66"/>
      <c r="IVZ40" s="66"/>
      <c r="IWA40" s="66"/>
      <c r="IWB40" s="66"/>
      <c r="IWC40" s="66"/>
      <c r="IWD40" s="66"/>
      <c r="IWE40" s="66"/>
      <c r="IWF40" s="66"/>
      <c r="IWG40" s="66"/>
      <c r="IWH40" s="66"/>
      <c r="IWI40" s="66"/>
      <c r="IWJ40" s="66"/>
      <c r="IWK40" s="66"/>
      <c r="IWL40" s="66"/>
      <c r="IWM40" s="66"/>
      <c r="IWN40" s="66"/>
      <c r="IWO40" s="66"/>
      <c r="IWP40" s="66"/>
      <c r="IWQ40" s="66"/>
      <c r="IWR40" s="66"/>
      <c r="IWS40" s="66"/>
      <c r="IWT40" s="66"/>
      <c r="IWU40" s="66"/>
      <c r="IWV40" s="66"/>
      <c r="IWW40" s="66"/>
      <c r="IWX40" s="66"/>
      <c r="IWY40" s="66"/>
      <c r="IWZ40" s="66"/>
      <c r="IXA40" s="66"/>
      <c r="IXB40" s="66"/>
      <c r="IXC40" s="66"/>
      <c r="IXD40" s="66"/>
      <c r="IXE40" s="66"/>
      <c r="IXF40" s="66"/>
      <c r="IXG40" s="66"/>
      <c r="IXH40" s="66"/>
      <c r="IXI40" s="66"/>
      <c r="IXJ40" s="66"/>
      <c r="IXK40" s="66"/>
      <c r="IXL40" s="66"/>
      <c r="IXM40" s="66"/>
      <c r="IXN40" s="66"/>
      <c r="IXO40" s="66"/>
      <c r="IXP40" s="66"/>
      <c r="IXQ40" s="66"/>
      <c r="IXR40" s="66"/>
      <c r="IXS40" s="66"/>
      <c r="IXT40" s="66"/>
      <c r="IXU40" s="66"/>
      <c r="IXV40" s="66"/>
      <c r="IXW40" s="66"/>
      <c r="IXX40" s="66"/>
      <c r="IXY40" s="66"/>
      <c r="IXZ40" s="66"/>
      <c r="IYA40" s="66"/>
      <c r="IYB40" s="66"/>
      <c r="IYC40" s="66"/>
      <c r="IYD40" s="66"/>
      <c r="IYE40" s="66"/>
      <c r="IYF40" s="66"/>
      <c r="IYG40" s="66"/>
      <c r="IYH40" s="66"/>
      <c r="IYI40" s="66"/>
      <c r="IYJ40" s="66"/>
      <c r="IYK40" s="66"/>
      <c r="IYL40" s="66"/>
      <c r="IYM40" s="66"/>
      <c r="IYN40" s="66"/>
      <c r="IYO40" s="66"/>
      <c r="IYP40" s="66"/>
      <c r="IYQ40" s="66"/>
      <c r="IYR40" s="66"/>
      <c r="IYS40" s="66"/>
      <c r="IYT40" s="66"/>
      <c r="IYU40" s="66"/>
      <c r="IYV40" s="66"/>
      <c r="IYW40" s="66"/>
      <c r="IYX40" s="66"/>
      <c r="IYY40" s="66"/>
      <c r="IYZ40" s="66"/>
      <c r="IZA40" s="66"/>
      <c r="IZB40" s="66"/>
      <c r="IZC40" s="66"/>
      <c r="IZD40" s="66"/>
      <c r="IZE40" s="66"/>
      <c r="IZF40" s="66"/>
      <c r="IZG40" s="66"/>
      <c r="IZH40" s="66"/>
      <c r="IZI40" s="66"/>
      <c r="IZJ40" s="66"/>
      <c r="IZK40" s="66"/>
      <c r="IZL40" s="66"/>
      <c r="IZM40" s="66"/>
      <c r="IZN40" s="66"/>
      <c r="IZO40" s="66"/>
      <c r="IZP40" s="66"/>
      <c r="IZQ40" s="66"/>
      <c r="IZR40" s="66"/>
      <c r="IZS40" s="66"/>
      <c r="IZT40" s="66"/>
      <c r="IZU40" s="66"/>
      <c r="IZV40" s="66"/>
      <c r="IZW40" s="66"/>
      <c r="IZX40" s="66"/>
      <c r="IZY40" s="66"/>
      <c r="IZZ40" s="66"/>
      <c r="JAA40" s="66"/>
      <c r="JAB40" s="66"/>
      <c r="JAC40" s="66"/>
      <c r="JAD40" s="66"/>
      <c r="JAE40" s="66"/>
      <c r="JAF40" s="66"/>
      <c r="JAG40" s="66"/>
      <c r="JAH40" s="66"/>
      <c r="JAI40" s="66"/>
      <c r="JAJ40" s="66"/>
      <c r="JAK40" s="66"/>
      <c r="JAL40" s="66"/>
      <c r="JAM40" s="66"/>
      <c r="JAN40" s="66"/>
      <c r="JAO40" s="66"/>
      <c r="JAP40" s="66"/>
      <c r="JAQ40" s="66"/>
      <c r="JAR40" s="66"/>
      <c r="JAS40" s="66"/>
      <c r="JAT40" s="66"/>
      <c r="JAU40" s="66"/>
      <c r="JAV40" s="66"/>
      <c r="JAW40" s="66"/>
      <c r="JAX40" s="66"/>
      <c r="JAY40" s="66"/>
      <c r="JAZ40" s="66"/>
      <c r="JBA40" s="66"/>
      <c r="JBB40" s="66"/>
      <c r="JBC40" s="66"/>
      <c r="JBD40" s="66"/>
      <c r="JBE40" s="66"/>
      <c r="JBF40" s="66"/>
      <c r="JBG40" s="66"/>
      <c r="JBH40" s="66"/>
      <c r="JBI40" s="66"/>
      <c r="JBJ40" s="66"/>
      <c r="JBK40" s="66"/>
      <c r="JBL40" s="66"/>
      <c r="JBM40" s="66"/>
      <c r="JBN40" s="66"/>
      <c r="JBO40" s="66"/>
      <c r="JBP40" s="66"/>
      <c r="JBQ40" s="66"/>
      <c r="JBR40" s="66"/>
      <c r="JBS40" s="66"/>
      <c r="JBT40" s="66"/>
      <c r="JBU40" s="66"/>
      <c r="JBV40" s="66"/>
      <c r="JBW40" s="66"/>
      <c r="JBX40" s="66"/>
      <c r="JBY40" s="66"/>
      <c r="JBZ40" s="66"/>
      <c r="JCA40" s="66"/>
      <c r="JCB40" s="66"/>
      <c r="JCC40" s="66"/>
      <c r="JCD40" s="66"/>
      <c r="JCE40" s="66"/>
      <c r="JCF40" s="66"/>
      <c r="JCG40" s="66"/>
      <c r="JCH40" s="66"/>
      <c r="JCI40" s="66"/>
      <c r="JCJ40" s="66"/>
      <c r="JCK40" s="66"/>
      <c r="JCL40" s="66"/>
      <c r="JCM40" s="66"/>
      <c r="JCN40" s="66"/>
      <c r="JCO40" s="66"/>
      <c r="JCP40" s="66"/>
      <c r="JCQ40" s="66"/>
      <c r="JCR40" s="66"/>
      <c r="JCS40" s="66"/>
      <c r="JCT40" s="66"/>
      <c r="JCU40" s="66"/>
      <c r="JCV40" s="66"/>
      <c r="JCW40" s="66"/>
      <c r="JCX40" s="66"/>
      <c r="JCY40" s="66"/>
      <c r="JCZ40" s="66"/>
      <c r="JDA40" s="66"/>
      <c r="JDB40" s="66"/>
      <c r="JDC40" s="66"/>
      <c r="JDD40" s="66"/>
      <c r="JDE40" s="66"/>
      <c r="JDF40" s="66"/>
      <c r="JDG40" s="66"/>
      <c r="JDH40" s="66"/>
      <c r="JDI40" s="66"/>
      <c r="JDJ40" s="66"/>
      <c r="JDK40" s="66"/>
      <c r="JDL40" s="66"/>
      <c r="JDM40" s="66"/>
      <c r="JDN40" s="66"/>
      <c r="JDO40" s="66"/>
      <c r="JDP40" s="66"/>
      <c r="JDQ40" s="66"/>
      <c r="JDR40" s="66"/>
      <c r="JDS40" s="66"/>
      <c r="JDT40" s="66"/>
      <c r="JDU40" s="66"/>
      <c r="JDV40" s="66"/>
      <c r="JDW40" s="66"/>
      <c r="JDX40" s="66"/>
      <c r="JDY40" s="66"/>
      <c r="JDZ40" s="66"/>
      <c r="JEA40" s="66"/>
      <c r="JEB40" s="66"/>
      <c r="JEC40" s="66"/>
      <c r="JED40" s="66"/>
      <c r="JEE40" s="66"/>
      <c r="JEF40" s="66"/>
      <c r="JEG40" s="66"/>
      <c r="JEH40" s="66"/>
      <c r="JEI40" s="66"/>
      <c r="JEJ40" s="66"/>
      <c r="JEK40" s="66"/>
      <c r="JEL40" s="66"/>
      <c r="JEM40" s="66"/>
      <c r="JEN40" s="66"/>
      <c r="JEO40" s="66"/>
      <c r="JEP40" s="66"/>
      <c r="JEQ40" s="66"/>
      <c r="JER40" s="66"/>
      <c r="JES40" s="66"/>
      <c r="JET40" s="66"/>
      <c r="JEU40" s="66"/>
      <c r="JEV40" s="66"/>
      <c r="JEW40" s="66"/>
      <c r="JEX40" s="66"/>
      <c r="JEY40" s="66"/>
      <c r="JEZ40" s="66"/>
      <c r="JFA40" s="66"/>
      <c r="JFB40" s="66"/>
      <c r="JFC40" s="66"/>
      <c r="JFD40" s="66"/>
      <c r="JFE40" s="66"/>
      <c r="JFF40" s="66"/>
      <c r="JFG40" s="66"/>
      <c r="JFH40" s="66"/>
      <c r="JFI40" s="66"/>
      <c r="JFJ40" s="66"/>
      <c r="JFK40" s="66"/>
      <c r="JFL40" s="66"/>
      <c r="JFM40" s="66"/>
      <c r="JFN40" s="66"/>
      <c r="JFO40" s="66"/>
      <c r="JFP40" s="66"/>
      <c r="JFQ40" s="66"/>
      <c r="JFR40" s="66"/>
      <c r="JFS40" s="66"/>
      <c r="JFT40" s="66"/>
      <c r="JFU40" s="66"/>
      <c r="JFV40" s="66"/>
      <c r="JFW40" s="66"/>
      <c r="JFX40" s="66"/>
      <c r="JFY40" s="66"/>
      <c r="JFZ40" s="66"/>
      <c r="JGA40" s="66"/>
      <c r="JGB40" s="66"/>
      <c r="JGC40" s="66"/>
      <c r="JGD40" s="66"/>
      <c r="JGE40" s="66"/>
      <c r="JGF40" s="66"/>
      <c r="JGG40" s="66"/>
      <c r="JGH40" s="66"/>
      <c r="JGI40" s="66"/>
      <c r="JGJ40" s="66"/>
      <c r="JGK40" s="66"/>
      <c r="JGL40" s="66"/>
      <c r="JGM40" s="66"/>
      <c r="JGN40" s="66"/>
      <c r="JGO40" s="66"/>
      <c r="JGP40" s="66"/>
      <c r="JGQ40" s="66"/>
      <c r="JGR40" s="66"/>
      <c r="JGS40" s="66"/>
      <c r="JGT40" s="66"/>
      <c r="JGU40" s="66"/>
      <c r="JGV40" s="66"/>
      <c r="JGW40" s="66"/>
      <c r="JGX40" s="66"/>
      <c r="JGY40" s="66"/>
      <c r="JGZ40" s="66"/>
      <c r="JHA40" s="66"/>
      <c r="JHB40" s="66"/>
      <c r="JHC40" s="66"/>
      <c r="JHD40" s="66"/>
      <c r="JHE40" s="66"/>
      <c r="JHF40" s="66"/>
      <c r="JHG40" s="66"/>
      <c r="JHH40" s="66"/>
      <c r="JHI40" s="66"/>
      <c r="JHJ40" s="66"/>
      <c r="JHK40" s="66"/>
      <c r="JHL40" s="66"/>
      <c r="JHM40" s="66"/>
      <c r="JHN40" s="66"/>
      <c r="JHO40" s="66"/>
      <c r="JHP40" s="66"/>
      <c r="JHQ40" s="66"/>
      <c r="JHR40" s="66"/>
      <c r="JHS40" s="66"/>
      <c r="JHT40" s="66"/>
      <c r="JHU40" s="66"/>
      <c r="JHV40" s="66"/>
      <c r="JHW40" s="66"/>
      <c r="JHX40" s="66"/>
      <c r="JHY40" s="66"/>
      <c r="JHZ40" s="66"/>
      <c r="JIA40" s="66"/>
      <c r="JIB40" s="66"/>
      <c r="JIC40" s="66"/>
      <c r="JID40" s="66"/>
      <c r="JIE40" s="66"/>
      <c r="JIF40" s="66"/>
      <c r="JIG40" s="66"/>
      <c r="JIH40" s="66"/>
      <c r="JII40" s="66"/>
      <c r="JIJ40" s="66"/>
      <c r="JIK40" s="66"/>
      <c r="JIL40" s="66"/>
      <c r="JIM40" s="66"/>
      <c r="JIN40" s="66"/>
      <c r="JIO40" s="66"/>
      <c r="JIP40" s="66"/>
      <c r="JIQ40" s="66"/>
      <c r="JIR40" s="66"/>
      <c r="JIS40" s="66"/>
      <c r="JIT40" s="66"/>
      <c r="JIU40" s="66"/>
      <c r="JIV40" s="66"/>
      <c r="JIW40" s="66"/>
      <c r="JIX40" s="66"/>
      <c r="JIY40" s="66"/>
      <c r="JIZ40" s="66"/>
      <c r="JJA40" s="66"/>
      <c r="JJB40" s="66"/>
      <c r="JJC40" s="66"/>
      <c r="JJD40" s="66"/>
      <c r="JJE40" s="66"/>
      <c r="JJF40" s="66"/>
      <c r="JJG40" s="66"/>
      <c r="JJH40" s="66"/>
      <c r="JJI40" s="66"/>
      <c r="JJJ40" s="66"/>
      <c r="JJK40" s="66"/>
      <c r="JJL40" s="66"/>
      <c r="JJM40" s="66"/>
      <c r="JJN40" s="66"/>
      <c r="JJO40" s="66"/>
      <c r="JJP40" s="66"/>
      <c r="JJQ40" s="66"/>
      <c r="JJR40" s="66"/>
      <c r="JJS40" s="66"/>
      <c r="JJT40" s="66"/>
      <c r="JJU40" s="66"/>
      <c r="JJV40" s="66"/>
      <c r="JJW40" s="66"/>
      <c r="JJX40" s="66"/>
      <c r="JJY40" s="66"/>
      <c r="JJZ40" s="66"/>
      <c r="JKA40" s="66"/>
      <c r="JKB40" s="66"/>
      <c r="JKC40" s="66"/>
      <c r="JKD40" s="66"/>
      <c r="JKE40" s="66"/>
      <c r="JKF40" s="66"/>
      <c r="JKG40" s="66"/>
      <c r="JKH40" s="66"/>
      <c r="JKI40" s="66"/>
      <c r="JKJ40" s="66"/>
      <c r="JKK40" s="66"/>
      <c r="JKL40" s="66"/>
      <c r="JKM40" s="66"/>
      <c r="JKN40" s="66"/>
      <c r="JKO40" s="66"/>
      <c r="JKP40" s="66"/>
      <c r="JKQ40" s="66"/>
      <c r="JKR40" s="66"/>
      <c r="JKS40" s="66"/>
      <c r="JKT40" s="66"/>
      <c r="JKU40" s="66"/>
      <c r="JKV40" s="66"/>
      <c r="JKW40" s="66"/>
      <c r="JKX40" s="66"/>
      <c r="JKY40" s="66"/>
      <c r="JKZ40" s="66"/>
      <c r="JLA40" s="66"/>
      <c r="JLB40" s="66"/>
      <c r="JLC40" s="66"/>
      <c r="JLD40" s="66"/>
      <c r="JLE40" s="66"/>
      <c r="JLF40" s="66"/>
      <c r="JLG40" s="66"/>
      <c r="JLH40" s="66"/>
      <c r="JLI40" s="66"/>
      <c r="JLJ40" s="66"/>
      <c r="JLK40" s="66"/>
      <c r="JLL40" s="66"/>
      <c r="JLM40" s="66"/>
      <c r="JLN40" s="66"/>
      <c r="JLO40" s="66"/>
      <c r="JLP40" s="66"/>
      <c r="JLQ40" s="66"/>
      <c r="JLR40" s="66"/>
      <c r="JLS40" s="66"/>
      <c r="JLT40" s="66"/>
      <c r="JLU40" s="66"/>
      <c r="JLV40" s="66"/>
      <c r="JLW40" s="66"/>
      <c r="JLX40" s="66"/>
      <c r="JLY40" s="66"/>
      <c r="JLZ40" s="66"/>
      <c r="JMA40" s="66"/>
      <c r="JMB40" s="66"/>
      <c r="JMC40" s="66"/>
      <c r="JMD40" s="66"/>
      <c r="JME40" s="66"/>
      <c r="JMF40" s="66"/>
      <c r="JMG40" s="66"/>
      <c r="JMH40" s="66"/>
      <c r="JMI40" s="66"/>
      <c r="JMJ40" s="66"/>
      <c r="JMK40" s="66"/>
      <c r="JML40" s="66"/>
      <c r="JMM40" s="66"/>
      <c r="JMN40" s="66"/>
      <c r="JMO40" s="66"/>
      <c r="JMP40" s="66"/>
      <c r="JMQ40" s="66"/>
      <c r="JMR40" s="66"/>
      <c r="JMS40" s="66"/>
      <c r="JMT40" s="66"/>
      <c r="JMU40" s="66"/>
      <c r="JMV40" s="66"/>
      <c r="JMW40" s="66"/>
      <c r="JMX40" s="66"/>
      <c r="JMY40" s="66"/>
      <c r="JMZ40" s="66"/>
      <c r="JNA40" s="66"/>
      <c r="JNB40" s="66"/>
      <c r="JNC40" s="66"/>
      <c r="JND40" s="66"/>
      <c r="JNE40" s="66"/>
      <c r="JNF40" s="66"/>
      <c r="JNG40" s="66"/>
      <c r="JNH40" s="66"/>
      <c r="JNI40" s="66"/>
      <c r="JNJ40" s="66"/>
      <c r="JNK40" s="66"/>
      <c r="JNL40" s="66"/>
      <c r="JNM40" s="66"/>
      <c r="JNN40" s="66"/>
      <c r="JNO40" s="66"/>
      <c r="JNP40" s="66"/>
      <c r="JNQ40" s="66"/>
      <c r="JNR40" s="66"/>
      <c r="JNS40" s="66"/>
      <c r="JNT40" s="66"/>
      <c r="JNU40" s="66"/>
      <c r="JNV40" s="66"/>
      <c r="JNW40" s="66"/>
      <c r="JNX40" s="66"/>
      <c r="JNY40" s="66"/>
      <c r="JNZ40" s="66"/>
      <c r="JOA40" s="66"/>
      <c r="JOB40" s="66"/>
      <c r="JOC40" s="66"/>
      <c r="JOD40" s="66"/>
      <c r="JOE40" s="66"/>
      <c r="JOF40" s="66"/>
      <c r="JOG40" s="66"/>
      <c r="JOH40" s="66"/>
      <c r="JOI40" s="66"/>
      <c r="JOJ40" s="66"/>
      <c r="JOK40" s="66"/>
      <c r="JOL40" s="66"/>
      <c r="JOM40" s="66"/>
      <c r="JON40" s="66"/>
      <c r="JOO40" s="66"/>
      <c r="JOP40" s="66"/>
      <c r="JOQ40" s="66"/>
      <c r="JOR40" s="66"/>
      <c r="JOS40" s="66"/>
      <c r="JOT40" s="66"/>
      <c r="JOU40" s="66"/>
      <c r="JOV40" s="66"/>
      <c r="JOW40" s="66"/>
      <c r="JOX40" s="66"/>
      <c r="JOY40" s="66"/>
      <c r="JOZ40" s="66"/>
      <c r="JPA40" s="66"/>
      <c r="JPB40" s="66"/>
      <c r="JPC40" s="66"/>
      <c r="JPD40" s="66"/>
      <c r="JPE40" s="66"/>
      <c r="JPF40" s="66"/>
      <c r="JPG40" s="66"/>
      <c r="JPH40" s="66"/>
      <c r="JPI40" s="66"/>
      <c r="JPJ40" s="66"/>
      <c r="JPK40" s="66"/>
      <c r="JPL40" s="66"/>
      <c r="JPM40" s="66"/>
      <c r="JPN40" s="66"/>
      <c r="JPO40" s="66"/>
      <c r="JPP40" s="66"/>
      <c r="JPQ40" s="66"/>
      <c r="JPR40" s="66"/>
      <c r="JPS40" s="66"/>
      <c r="JPT40" s="66"/>
      <c r="JPU40" s="66"/>
      <c r="JPV40" s="66"/>
      <c r="JPW40" s="66"/>
      <c r="JPX40" s="66"/>
      <c r="JPY40" s="66"/>
      <c r="JPZ40" s="66"/>
      <c r="JQA40" s="66"/>
      <c r="JQB40" s="66"/>
      <c r="JQC40" s="66"/>
      <c r="JQD40" s="66"/>
      <c r="JQE40" s="66"/>
      <c r="JQF40" s="66"/>
      <c r="JQG40" s="66"/>
      <c r="JQH40" s="66"/>
      <c r="JQI40" s="66"/>
      <c r="JQJ40" s="66"/>
      <c r="JQK40" s="66"/>
      <c r="JQL40" s="66"/>
      <c r="JQM40" s="66"/>
      <c r="JQN40" s="66"/>
      <c r="JQO40" s="66"/>
      <c r="JQP40" s="66"/>
      <c r="JQQ40" s="66"/>
      <c r="JQR40" s="66"/>
      <c r="JQS40" s="66"/>
      <c r="JQT40" s="66"/>
      <c r="JQU40" s="66"/>
      <c r="JQV40" s="66"/>
      <c r="JQW40" s="66"/>
      <c r="JQX40" s="66"/>
      <c r="JQY40" s="66"/>
      <c r="JQZ40" s="66"/>
      <c r="JRA40" s="66"/>
      <c r="JRB40" s="66"/>
      <c r="JRC40" s="66"/>
      <c r="JRD40" s="66"/>
      <c r="JRE40" s="66"/>
      <c r="JRF40" s="66"/>
      <c r="JRG40" s="66"/>
      <c r="JRH40" s="66"/>
      <c r="JRI40" s="66"/>
      <c r="JRJ40" s="66"/>
      <c r="JRK40" s="66"/>
      <c r="JRL40" s="66"/>
      <c r="JRM40" s="66"/>
      <c r="JRN40" s="66"/>
      <c r="JRO40" s="66"/>
      <c r="JRP40" s="66"/>
      <c r="JRQ40" s="66"/>
      <c r="JRR40" s="66"/>
      <c r="JRS40" s="66"/>
      <c r="JRT40" s="66"/>
      <c r="JRU40" s="66"/>
      <c r="JRV40" s="66"/>
      <c r="JRW40" s="66"/>
      <c r="JRX40" s="66"/>
      <c r="JRY40" s="66"/>
      <c r="JRZ40" s="66"/>
      <c r="JSA40" s="66"/>
      <c r="JSB40" s="66"/>
      <c r="JSC40" s="66"/>
      <c r="JSD40" s="66"/>
      <c r="JSE40" s="66"/>
      <c r="JSF40" s="66"/>
      <c r="JSG40" s="66"/>
      <c r="JSH40" s="66"/>
      <c r="JSI40" s="66"/>
      <c r="JSJ40" s="66"/>
      <c r="JSK40" s="66"/>
      <c r="JSL40" s="66"/>
      <c r="JSM40" s="66"/>
      <c r="JSN40" s="66"/>
      <c r="JSO40" s="66"/>
      <c r="JSP40" s="66"/>
      <c r="JSQ40" s="66"/>
      <c r="JSR40" s="66"/>
      <c r="JSS40" s="66"/>
      <c r="JST40" s="66"/>
      <c r="JSU40" s="66"/>
      <c r="JSV40" s="66"/>
      <c r="JSW40" s="66"/>
      <c r="JSX40" s="66"/>
      <c r="JSY40" s="66"/>
      <c r="JSZ40" s="66"/>
      <c r="JTA40" s="66"/>
      <c r="JTB40" s="66"/>
      <c r="JTC40" s="66"/>
      <c r="JTD40" s="66"/>
      <c r="JTE40" s="66"/>
      <c r="JTF40" s="66"/>
      <c r="JTG40" s="66"/>
      <c r="JTH40" s="66"/>
      <c r="JTI40" s="66"/>
      <c r="JTJ40" s="66"/>
      <c r="JTK40" s="66"/>
      <c r="JTL40" s="66"/>
      <c r="JTM40" s="66"/>
      <c r="JTN40" s="66"/>
      <c r="JTO40" s="66"/>
      <c r="JTP40" s="66"/>
      <c r="JTQ40" s="66"/>
      <c r="JTR40" s="66"/>
      <c r="JTS40" s="66"/>
      <c r="JTT40" s="66"/>
      <c r="JTU40" s="66"/>
      <c r="JTV40" s="66"/>
      <c r="JTW40" s="66"/>
      <c r="JTX40" s="66"/>
      <c r="JTY40" s="66"/>
      <c r="JTZ40" s="66"/>
      <c r="JUA40" s="66"/>
      <c r="JUB40" s="66"/>
      <c r="JUC40" s="66"/>
      <c r="JUD40" s="66"/>
      <c r="JUE40" s="66"/>
      <c r="JUF40" s="66"/>
      <c r="JUG40" s="66"/>
      <c r="JUH40" s="66"/>
      <c r="JUI40" s="66"/>
      <c r="JUJ40" s="66"/>
      <c r="JUK40" s="66"/>
      <c r="JUL40" s="66"/>
      <c r="JUM40" s="66"/>
      <c r="JUN40" s="66"/>
      <c r="JUO40" s="66"/>
      <c r="JUP40" s="66"/>
      <c r="JUQ40" s="66"/>
      <c r="JUR40" s="66"/>
      <c r="JUS40" s="66"/>
      <c r="JUT40" s="66"/>
      <c r="JUU40" s="66"/>
      <c r="JUV40" s="66"/>
      <c r="JUW40" s="66"/>
      <c r="JUX40" s="66"/>
      <c r="JUY40" s="66"/>
      <c r="JUZ40" s="66"/>
      <c r="JVA40" s="66"/>
      <c r="JVB40" s="66"/>
      <c r="JVC40" s="66"/>
      <c r="JVD40" s="66"/>
      <c r="JVE40" s="66"/>
      <c r="JVF40" s="66"/>
      <c r="JVG40" s="66"/>
      <c r="JVH40" s="66"/>
      <c r="JVI40" s="66"/>
      <c r="JVJ40" s="66"/>
      <c r="JVK40" s="66"/>
      <c r="JVL40" s="66"/>
      <c r="JVM40" s="66"/>
      <c r="JVN40" s="66"/>
      <c r="JVO40" s="66"/>
      <c r="JVP40" s="66"/>
      <c r="JVQ40" s="66"/>
      <c r="JVR40" s="66"/>
      <c r="JVS40" s="66"/>
      <c r="JVT40" s="66"/>
      <c r="JVU40" s="66"/>
      <c r="JVV40" s="66"/>
      <c r="JVW40" s="66"/>
      <c r="JVX40" s="66"/>
      <c r="JVY40" s="66"/>
      <c r="JVZ40" s="66"/>
      <c r="JWA40" s="66"/>
      <c r="JWB40" s="66"/>
      <c r="JWC40" s="66"/>
      <c r="JWD40" s="66"/>
      <c r="JWE40" s="66"/>
      <c r="JWF40" s="66"/>
      <c r="JWG40" s="66"/>
      <c r="JWH40" s="66"/>
      <c r="JWI40" s="66"/>
      <c r="JWJ40" s="66"/>
      <c r="JWK40" s="66"/>
      <c r="JWL40" s="66"/>
      <c r="JWM40" s="66"/>
      <c r="JWN40" s="66"/>
      <c r="JWO40" s="66"/>
      <c r="JWP40" s="66"/>
      <c r="JWQ40" s="66"/>
      <c r="JWR40" s="66"/>
      <c r="JWS40" s="66"/>
      <c r="JWT40" s="66"/>
      <c r="JWU40" s="66"/>
      <c r="JWV40" s="66"/>
      <c r="JWW40" s="66"/>
      <c r="JWX40" s="66"/>
      <c r="JWY40" s="66"/>
      <c r="JWZ40" s="66"/>
      <c r="JXA40" s="66"/>
      <c r="JXB40" s="66"/>
      <c r="JXC40" s="66"/>
      <c r="JXD40" s="66"/>
      <c r="JXE40" s="66"/>
      <c r="JXF40" s="66"/>
      <c r="JXG40" s="66"/>
      <c r="JXH40" s="66"/>
      <c r="JXI40" s="66"/>
      <c r="JXJ40" s="66"/>
      <c r="JXK40" s="66"/>
      <c r="JXL40" s="66"/>
      <c r="JXM40" s="66"/>
      <c r="JXN40" s="66"/>
      <c r="JXO40" s="66"/>
      <c r="JXP40" s="66"/>
      <c r="JXQ40" s="66"/>
      <c r="JXR40" s="66"/>
      <c r="JXS40" s="66"/>
      <c r="JXT40" s="66"/>
      <c r="JXU40" s="66"/>
      <c r="JXV40" s="66"/>
      <c r="JXW40" s="66"/>
      <c r="JXX40" s="66"/>
      <c r="JXY40" s="66"/>
      <c r="JXZ40" s="66"/>
      <c r="JYA40" s="66"/>
      <c r="JYB40" s="66"/>
      <c r="JYC40" s="66"/>
      <c r="JYD40" s="66"/>
      <c r="JYE40" s="66"/>
      <c r="JYF40" s="66"/>
      <c r="JYG40" s="66"/>
      <c r="JYH40" s="66"/>
      <c r="JYI40" s="66"/>
      <c r="JYJ40" s="66"/>
      <c r="JYK40" s="66"/>
      <c r="JYL40" s="66"/>
      <c r="JYM40" s="66"/>
      <c r="JYN40" s="66"/>
      <c r="JYO40" s="66"/>
      <c r="JYP40" s="66"/>
      <c r="JYQ40" s="66"/>
      <c r="JYR40" s="66"/>
      <c r="JYS40" s="66"/>
      <c r="JYT40" s="66"/>
      <c r="JYU40" s="66"/>
      <c r="JYV40" s="66"/>
      <c r="JYW40" s="66"/>
      <c r="JYX40" s="66"/>
      <c r="JYY40" s="66"/>
      <c r="JYZ40" s="66"/>
      <c r="JZA40" s="66"/>
      <c r="JZB40" s="66"/>
      <c r="JZC40" s="66"/>
      <c r="JZD40" s="66"/>
      <c r="JZE40" s="66"/>
      <c r="JZF40" s="66"/>
      <c r="JZG40" s="66"/>
      <c r="JZH40" s="66"/>
      <c r="JZI40" s="66"/>
      <c r="JZJ40" s="66"/>
      <c r="JZK40" s="66"/>
      <c r="JZL40" s="66"/>
      <c r="JZM40" s="66"/>
      <c r="JZN40" s="66"/>
      <c r="JZO40" s="66"/>
      <c r="JZP40" s="66"/>
      <c r="JZQ40" s="66"/>
      <c r="JZR40" s="66"/>
      <c r="JZS40" s="66"/>
      <c r="JZT40" s="66"/>
      <c r="JZU40" s="66"/>
      <c r="JZV40" s="66"/>
      <c r="JZW40" s="66"/>
      <c r="JZX40" s="66"/>
      <c r="JZY40" s="66"/>
      <c r="JZZ40" s="66"/>
      <c r="KAA40" s="66"/>
      <c r="KAB40" s="66"/>
      <c r="KAC40" s="66"/>
      <c r="KAD40" s="66"/>
      <c r="KAE40" s="66"/>
      <c r="KAF40" s="66"/>
      <c r="KAG40" s="66"/>
      <c r="KAH40" s="66"/>
      <c r="KAI40" s="66"/>
      <c r="KAJ40" s="66"/>
      <c r="KAK40" s="66"/>
      <c r="KAL40" s="66"/>
      <c r="KAM40" s="66"/>
      <c r="KAN40" s="66"/>
      <c r="KAO40" s="66"/>
      <c r="KAP40" s="66"/>
      <c r="KAQ40" s="66"/>
      <c r="KAR40" s="66"/>
      <c r="KAS40" s="66"/>
      <c r="KAT40" s="66"/>
      <c r="KAU40" s="66"/>
      <c r="KAV40" s="66"/>
      <c r="KAW40" s="66"/>
      <c r="KAX40" s="66"/>
      <c r="KAY40" s="66"/>
      <c r="KAZ40" s="66"/>
      <c r="KBA40" s="66"/>
      <c r="KBB40" s="66"/>
      <c r="KBC40" s="66"/>
      <c r="KBD40" s="66"/>
      <c r="KBE40" s="66"/>
      <c r="KBF40" s="66"/>
      <c r="KBG40" s="66"/>
      <c r="KBH40" s="66"/>
      <c r="KBI40" s="66"/>
      <c r="KBJ40" s="66"/>
      <c r="KBK40" s="66"/>
      <c r="KBL40" s="66"/>
      <c r="KBM40" s="66"/>
      <c r="KBN40" s="66"/>
      <c r="KBO40" s="66"/>
      <c r="KBP40" s="66"/>
      <c r="KBQ40" s="66"/>
      <c r="KBR40" s="66"/>
      <c r="KBS40" s="66"/>
      <c r="KBT40" s="66"/>
      <c r="KBU40" s="66"/>
      <c r="KBV40" s="66"/>
      <c r="KBW40" s="66"/>
      <c r="KBX40" s="66"/>
      <c r="KBY40" s="66"/>
      <c r="KBZ40" s="66"/>
      <c r="KCA40" s="66"/>
      <c r="KCB40" s="66"/>
      <c r="KCC40" s="66"/>
      <c r="KCD40" s="66"/>
      <c r="KCE40" s="66"/>
      <c r="KCF40" s="66"/>
      <c r="KCG40" s="66"/>
      <c r="KCH40" s="66"/>
      <c r="KCI40" s="66"/>
      <c r="KCJ40" s="66"/>
      <c r="KCK40" s="66"/>
      <c r="KCL40" s="66"/>
      <c r="KCM40" s="66"/>
      <c r="KCN40" s="66"/>
      <c r="KCO40" s="66"/>
      <c r="KCP40" s="66"/>
      <c r="KCQ40" s="66"/>
      <c r="KCR40" s="66"/>
      <c r="KCS40" s="66"/>
      <c r="KCT40" s="66"/>
      <c r="KCU40" s="66"/>
      <c r="KCV40" s="66"/>
      <c r="KCW40" s="66"/>
      <c r="KCX40" s="66"/>
      <c r="KCY40" s="66"/>
      <c r="KCZ40" s="66"/>
      <c r="KDA40" s="66"/>
      <c r="KDB40" s="66"/>
      <c r="KDC40" s="66"/>
      <c r="KDD40" s="66"/>
      <c r="KDE40" s="66"/>
      <c r="KDF40" s="66"/>
      <c r="KDG40" s="66"/>
      <c r="KDH40" s="66"/>
      <c r="KDI40" s="66"/>
      <c r="KDJ40" s="66"/>
      <c r="KDK40" s="66"/>
      <c r="KDL40" s="66"/>
      <c r="KDM40" s="66"/>
      <c r="KDN40" s="66"/>
      <c r="KDO40" s="66"/>
      <c r="KDP40" s="66"/>
      <c r="KDQ40" s="66"/>
      <c r="KDR40" s="66"/>
      <c r="KDS40" s="66"/>
      <c r="KDT40" s="66"/>
      <c r="KDU40" s="66"/>
      <c r="KDV40" s="66"/>
      <c r="KDW40" s="66"/>
      <c r="KDX40" s="66"/>
      <c r="KDY40" s="66"/>
      <c r="KDZ40" s="66"/>
      <c r="KEA40" s="66"/>
      <c r="KEB40" s="66"/>
      <c r="KEC40" s="66"/>
      <c r="KED40" s="66"/>
      <c r="KEE40" s="66"/>
      <c r="KEF40" s="66"/>
      <c r="KEG40" s="66"/>
      <c r="KEH40" s="66"/>
      <c r="KEI40" s="66"/>
      <c r="KEJ40" s="66"/>
      <c r="KEK40" s="66"/>
      <c r="KEL40" s="66"/>
      <c r="KEM40" s="66"/>
      <c r="KEN40" s="66"/>
      <c r="KEO40" s="66"/>
      <c r="KEP40" s="66"/>
      <c r="KEQ40" s="66"/>
      <c r="KER40" s="66"/>
      <c r="KES40" s="66"/>
      <c r="KET40" s="66"/>
      <c r="KEU40" s="66"/>
      <c r="KEV40" s="66"/>
      <c r="KEW40" s="66"/>
      <c r="KEX40" s="66"/>
      <c r="KEY40" s="66"/>
      <c r="KEZ40" s="66"/>
      <c r="KFA40" s="66"/>
      <c r="KFB40" s="66"/>
      <c r="KFC40" s="66"/>
      <c r="KFD40" s="66"/>
      <c r="KFE40" s="66"/>
      <c r="KFF40" s="66"/>
      <c r="KFG40" s="66"/>
      <c r="KFH40" s="66"/>
      <c r="KFI40" s="66"/>
      <c r="KFJ40" s="66"/>
      <c r="KFK40" s="66"/>
      <c r="KFL40" s="66"/>
      <c r="KFM40" s="66"/>
      <c r="KFN40" s="66"/>
      <c r="KFO40" s="66"/>
      <c r="KFP40" s="66"/>
      <c r="KFQ40" s="66"/>
      <c r="KFR40" s="66"/>
      <c r="KFS40" s="66"/>
      <c r="KFT40" s="66"/>
      <c r="KFU40" s="66"/>
      <c r="KFV40" s="66"/>
      <c r="KFW40" s="66"/>
      <c r="KFX40" s="66"/>
      <c r="KFY40" s="66"/>
      <c r="KFZ40" s="66"/>
      <c r="KGA40" s="66"/>
      <c r="KGB40" s="66"/>
      <c r="KGC40" s="66"/>
      <c r="KGD40" s="66"/>
      <c r="KGE40" s="66"/>
      <c r="KGF40" s="66"/>
      <c r="KGG40" s="66"/>
      <c r="KGH40" s="66"/>
      <c r="KGI40" s="66"/>
      <c r="KGJ40" s="66"/>
      <c r="KGK40" s="66"/>
      <c r="KGL40" s="66"/>
      <c r="KGM40" s="66"/>
      <c r="KGN40" s="66"/>
      <c r="KGO40" s="66"/>
      <c r="KGP40" s="66"/>
      <c r="KGQ40" s="66"/>
      <c r="KGR40" s="66"/>
      <c r="KGS40" s="66"/>
      <c r="KGT40" s="66"/>
      <c r="KGU40" s="66"/>
      <c r="KGV40" s="66"/>
      <c r="KGW40" s="66"/>
      <c r="KGX40" s="66"/>
      <c r="KGY40" s="66"/>
      <c r="KGZ40" s="66"/>
      <c r="KHA40" s="66"/>
      <c r="KHB40" s="66"/>
      <c r="KHC40" s="66"/>
      <c r="KHD40" s="66"/>
      <c r="KHE40" s="66"/>
      <c r="KHF40" s="66"/>
      <c r="KHG40" s="66"/>
      <c r="KHH40" s="66"/>
      <c r="KHI40" s="66"/>
      <c r="KHJ40" s="66"/>
      <c r="KHK40" s="66"/>
      <c r="KHL40" s="66"/>
      <c r="KHM40" s="66"/>
      <c r="KHN40" s="66"/>
      <c r="KHO40" s="66"/>
      <c r="KHP40" s="66"/>
      <c r="KHQ40" s="66"/>
      <c r="KHR40" s="66"/>
      <c r="KHS40" s="66"/>
      <c r="KHT40" s="66"/>
      <c r="KHU40" s="66"/>
      <c r="KHV40" s="66"/>
      <c r="KHW40" s="66"/>
      <c r="KHX40" s="66"/>
      <c r="KHY40" s="66"/>
      <c r="KHZ40" s="66"/>
      <c r="KIA40" s="66"/>
      <c r="KIB40" s="66"/>
      <c r="KIC40" s="66"/>
      <c r="KID40" s="66"/>
      <c r="KIE40" s="66"/>
      <c r="KIF40" s="66"/>
      <c r="KIG40" s="66"/>
      <c r="KIH40" s="66"/>
      <c r="KII40" s="66"/>
      <c r="KIJ40" s="66"/>
      <c r="KIK40" s="66"/>
      <c r="KIL40" s="66"/>
      <c r="KIM40" s="66"/>
      <c r="KIN40" s="66"/>
      <c r="KIO40" s="66"/>
      <c r="KIP40" s="66"/>
      <c r="KIQ40" s="66"/>
      <c r="KIR40" s="66"/>
      <c r="KIS40" s="66"/>
      <c r="KIT40" s="66"/>
      <c r="KIU40" s="66"/>
      <c r="KIV40" s="66"/>
      <c r="KIW40" s="66"/>
      <c r="KIX40" s="66"/>
      <c r="KIY40" s="66"/>
      <c r="KIZ40" s="66"/>
      <c r="KJA40" s="66"/>
      <c r="KJB40" s="66"/>
      <c r="KJC40" s="66"/>
      <c r="KJD40" s="66"/>
      <c r="KJE40" s="66"/>
      <c r="KJF40" s="66"/>
      <c r="KJG40" s="66"/>
      <c r="KJH40" s="66"/>
      <c r="KJI40" s="66"/>
      <c r="KJJ40" s="66"/>
      <c r="KJK40" s="66"/>
      <c r="KJL40" s="66"/>
      <c r="KJM40" s="66"/>
      <c r="KJN40" s="66"/>
      <c r="KJO40" s="66"/>
      <c r="KJP40" s="66"/>
      <c r="KJQ40" s="66"/>
      <c r="KJR40" s="66"/>
      <c r="KJS40" s="66"/>
      <c r="KJT40" s="66"/>
      <c r="KJU40" s="66"/>
      <c r="KJV40" s="66"/>
      <c r="KJW40" s="66"/>
      <c r="KJX40" s="66"/>
      <c r="KJY40" s="66"/>
      <c r="KJZ40" s="66"/>
      <c r="KKA40" s="66"/>
      <c r="KKB40" s="66"/>
      <c r="KKC40" s="66"/>
      <c r="KKD40" s="66"/>
      <c r="KKE40" s="66"/>
      <c r="KKF40" s="66"/>
      <c r="KKG40" s="66"/>
      <c r="KKH40" s="66"/>
      <c r="KKI40" s="66"/>
      <c r="KKJ40" s="66"/>
      <c r="KKK40" s="66"/>
      <c r="KKL40" s="66"/>
      <c r="KKM40" s="66"/>
      <c r="KKN40" s="66"/>
      <c r="KKO40" s="66"/>
      <c r="KKP40" s="66"/>
      <c r="KKQ40" s="66"/>
      <c r="KKR40" s="66"/>
      <c r="KKS40" s="66"/>
      <c r="KKT40" s="66"/>
      <c r="KKU40" s="66"/>
      <c r="KKV40" s="66"/>
      <c r="KKW40" s="66"/>
      <c r="KKX40" s="66"/>
      <c r="KKY40" s="66"/>
      <c r="KKZ40" s="66"/>
      <c r="KLA40" s="66"/>
      <c r="KLB40" s="66"/>
      <c r="KLC40" s="66"/>
      <c r="KLD40" s="66"/>
      <c r="KLE40" s="66"/>
      <c r="KLF40" s="66"/>
      <c r="KLG40" s="66"/>
      <c r="KLH40" s="66"/>
      <c r="KLI40" s="66"/>
      <c r="KLJ40" s="66"/>
      <c r="KLK40" s="66"/>
      <c r="KLL40" s="66"/>
      <c r="KLM40" s="66"/>
      <c r="KLN40" s="66"/>
      <c r="KLO40" s="66"/>
      <c r="KLP40" s="66"/>
      <c r="KLQ40" s="66"/>
      <c r="KLR40" s="66"/>
      <c r="KLS40" s="66"/>
      <c r="KLT40" s="66"/>
      <c r="KLU40" s="66"/>
      <c r="KLV40" s="66"/>
      <c r="KLW40" s="66"/>
      <c r="KLX40" s="66"/>
      <c r="KLY40" s="66"/>
      <c r="KLZ40" s="66"/>
      <c r="KMA40" s="66"/>
      <c r="KMB40" s="66"/>
      <c r="KMC40" s="66"/>
      <c r="KMD40" s="66"/>
      <c r="KME40" s="66"/>
      <c r="KMF40" s="66"/>
      <c r="KMG40" s="66"/>
      <c r="KMH40" s="66"/>
      <c r="KMI40" s="66"/>
      <c r="KMJ40" s="66"/>
      <c r="KMK40" s="66"/>
      <c r="KML40" s="66"/>
      <c r="KMM40" s="66"/>
      <c r="KMN40" s="66"/>
      <c r="KMO40" s="66"/>
      <c r="KMP40" s="66"/>
      <c r="KMQ40" s="66"/>
      <c r="KMR40" s="66"/>
      <c r="KMS40" s="66"/>
      <c r="KMT40" s="66"/>
      <c r="KMU40" s="66"/>
      <c r="KMV40" s="66"/>
      <c r="KMW40" s="66"/>
      <c r="KMX40" s="66"/>
      <c r="KMY40" s="66"/>
      <c r="KMZ40" s="66"/>
      <c r="KNA40" s="66"/>
      <c r="KNB40" s="66"/>
      <c r="KNC40" s="66"/>
      <c r="KND40" s="66"/>
      <c r="KNE40" s="66"/>
      <c r="KNF40" s="66"/>
      <c r="KNG40" s="66"/>
      <c r="KNH40" s="66"/>
      <c r="KNI40" s="66"/>
      <c r="KNJ40" s="66"/>
      <c r="KNK40" s="66"/>
      <c r="KNL40" s="66"/>
      <c r="KNM40" s="66"/>
      <c r="KNN40" s="66"/>
      <c r="KNO40" s="66"/>
      <c r="KNP40" s="66"/>
      <c r="KNQ40" s="66"/>
      <c r="KNR40" s="66"/>
      <c r="KNS40" s="66"/>
      <c r="KNT40" s="66"/>
      <c r="KNU40" s="66"/>
      <c r="KNV40" s="66"/>
      <c r="KNW40" s="66"/>
      <c r="KNX40" s="66"/>
      <c r="KNY40" s="66"/>
      <c r="KNZ40" s="66"/>
      <c r="KOA40" s="66"/>
      <c r="KOB40" s="66"/>
      <c r="KOC40" s="66"/>
      <c r="KOD40" s="66"/>
      <c r="KOE40" s="66"/>
      <c r="KOF40" s="66"/>
      <c r="KOG40" s="66"/>
      <c r="KOH40" s="66"/>
      <c r="KOI40" s="66"/>
      <c r="KOJ40" s="66"/>
      <c r="KOK40" s="66"/>
      <c r="KOL40" s="66"/>
      <c r="KOM40" s="66"/>
      <c r="KON40" s="66"/>
      <c r="KOO40" s="66"/>
      <c r="KOP40" s="66"/>
      <c r="KOQ40" s="66"/>
      <c r="KOR40" s="66"/>
      <c r="KOS40" s="66"/>
      <c r="KOT40" s="66"/>
      <c r="KOU40" s="66"/>
      <c r="KOV40" s="66"/>
      <c r="KOW40" s="66"/>
      <c r="KOX40" s="66"/>
      <c r="KOY40" s="66"/>
      <c r="KOZ40" s="66"/>
      <c r="KPA40" s="66"/>
      <c r="KPB40" s="66"/>
      <c r="KPC40" s="66"/>
      <c r="KPD40" s="66"/>
      <c r="KPE40" s="66"/>
      <c r="KPF40" s="66"/>
      <c r="KPG40" s="66"/>
      <c r="KPH40" s="66"/>
      <c r="KPI40" s="66"/>
      <c r="KPJ40" s="66"/>
      <c r="KPK40" s="66"/>
      <c r="KPL40" s="66"/>
      <c r="KPM40" s="66"/>
      <c r="KPN40" s="66"/>
      <c r="KPO40" s="66"/>
      <c r="KPP40" s="66"/>
      <c r="KPQ40" s="66"/>
      <c r="KPR40" s="66"/>
      <c r="KPS40" s="66"/>
      <c r="KPT40" s="66"/>
      <c r="KPU40" s="66"/>
      <c r="KPV40" s="66"/>
      <c r="KPW40" s="66"/>
      <c r="KPX40" s="66"/>
      <c r="KPY40" s="66"/>
      <c r="KPZ40" s="66"/>
      <c r="KQA40" s="66"/>
      <c r="KQB40" s="66"/>
      <c r="KQC40" s="66"/>
      <c r="KQD40" s="66"/>
      <c r="KQE40" s="66"/>
      <c r="KQF40" s="66"/>
      <c r="KQG40" s="66"/>
      <c r="KQH40" s="66"/>
      <c r="KQI40" s="66"/>
      <c r="KQJ40" s="66"/>
      <c r="KQK40" s="66"/>
      <c r="KQL40" s="66"/>
      <c r="KQM40" s="66"/>
      <c r="KQN40" s="66"/>
      <c r="KQO40" s="66"/>
      <c r="KQP40" s="66"/>
      <c r="KQQ40" s="66"/>
      <c r="KQR40" s="66"/>
      <c r="KQS40" s="66"/>
      <c r="KQT40" s="66"/>
      <c r="KQU40" s="66"/>
      <c r="KQV40" s="66"/>
      <c r="KQW40" s="66"/>
      <c r="KQX40" s="66"/>
      <c r="KQY40" s="66"/>
      <c r="KQZ40" s="66"/>
      <c r="KRA40" s="66"/>
      <c r="KRB40" s="66"/>
      <c r="KRC40" s="66"/>
      <c r="KRD40" s="66"/>
      <c r="KRE40" s="66"/>
      <c r="KRF40" s="66"/>
      <c r="KRG40" s="66"/>
      <c r="KRH40" s="66"/>
      <c r="KRI40" s="66"/>
      <c r="KRJ40" s="66"/>
      <c r="KRK40" s="66"/>
      <c r="KRL40" s="66"/>
      <c r="KRM40" s="66"/>
      <c r="KRN40" s="66"/>
      <c r="KRO40" s="66"/>
      <c r="KRP40" s="66"/>
      <c r="KRQ40" s="66"/>
      <c r="KRR40" s="66"/>
      <c r="KRS40" s="66"/>
      <c r="KRT40" s="66"/>
      <c r="KRU40" s="66"/>
      <c r="KRV40" s="66"/>
      <c r="KRW40" s="66"/>
      <c r="KRX40" s="66"/>
      <c r="KRY40" s="66"/>
      <c r="KRZ40" s="66"/>
      <c r="KSA40" s="66"/>
      <c r="KSB40" s="66"/>
      <c r="KSC40" s="66"/>
      <c r="KSD40" s="66"/>
      <c r="KSE40" s="66"/>
      <c r="KSF40" s="66"/>
      <c r="KSG40" s="66"/>
      <c r="KSH40" s="66"/>
      <c r="KSI40" s="66"/>
      <c r="KSJ40" s="66"/>
      <c r="KSK40" s="66"/>
      <c r="KSL40" s="66"/>
      <c r="KSM40" s="66"/>
      <c r="KSN40" s="66"/>
      <c r="KSO40" s="66"/>
      <c r="KSP40" s="66"/>
      <c r="KSQ40" s="66"/>
      <c r="KSR40" s="66"/>
      <c r="KSS40" s="66"/>
      <c r="KST40" s="66"/>
      <c r="KSU40" s="66"/>
      <c r="KSV40" s="66"/>
      <c r="KSW40" s="66"/>
      <c r="KSX40" s="66"/>
      <c r="KSY40" s="66"/>
      <c r="KSZ40" s="66"/>
      <c r="KTA40" s="66"/>
      <c r="KTB40" s="66"/>
      <c r="KTC40" s="66"/>
      <c r="KTD40" s="66"/>
      <c r="KTE40" s="66"/>
      <c r="KTF40" s="66"/>
      <c r="KTG40" s="66"/>
      <c r="KTH40" s="66"/>
      <c r="KTI40" s="66"/>
      <c r="KTJ40" s="66"/>
      <c r="KTK40" s="66"/>
      <c r="KTL40" s="66"/>
      <c r="KTM40" s="66"/>
      <c r="KTN40" s="66"/>
      <c r="KTO40" s="66"/>
      <c r="KTP40" s="66"/>
      <c r="KTQ40" s="66"/>
      <c r="KTR40" s="66"/>
      <c r="KTS40" s="66"/>
      <c r="KTT40" s="66"/>
      <c r="KTU40" s="66"/>
      <c r="KTV40" s="66"/>
      <c r="KTW40" s="66"/>
      <c r="KTX40" s="66"/>
      <c r="KTY40" s="66"/>
      <c r="KTZ40" s="66"/>
      <c r="KUA40" s="66"/>
      <c r="KUB40" s="66"/>
      <c r="KUC40" s="66"/>
      <c r="KUD40" s="66"/>
      <c r="KUE40" s="66"/>
      <c r="KUF40" s="66"/>
      <c r="KUG40" s="66"/>
      <c r="KUH40" s="66"/>
      <c r="KUI40" s="66"/>
      <c r="KUJ40" s="66"/>
      <c r="KUK40" s="66"/>
      <c r="KUL40" s="66"/>
      <c r="KUM40" s="66"/>
      <c r="KUN40" s="66"/>
      <c r="KUO40" s="66"/>
      <c r="KUP40" s="66"/>
      <c r="KUQ40" s="66"/>
      <c r="KUR40" s="66"/>
      <c r="KUS40" s="66"/>
      <c r="KUT40" s="66"/>
      <c r="KUU40" s="66"/>
      <c r="KUV40" s="66"/>
      <c r="KUW40" s="66"/>
      <c r="KUX40" s="66"/>
      <c r="KUY40" s="66"/>
      <c r="KUZ40" s="66"/>
      <c r="KVA40" s="66"/>
      <c r="KVB40" s="66"/>
      <c r="KVC40" s="66"/>
      <c r="KVD40" s="66"/>
      <c r="KVE40" s="66"/>
      <c r="KVF40" s="66"/>
      <c r="KVG40" s="66"/>
      <c r="KVH40" s="66"/>
      <c r="KVI40" s="66"/>
      <c r="KVJ40" s="66"/>
      <c r="KVK40" s="66"/>
      <c r="KVL40" s="66"/>
      <c r="KVM40" s="66"/>
      <c r="KVN40" s="66"/>
      <c r="KVO40" s="66"/>
      <c r="KVP40" s="66"/>
      <c r="KVQ40" s="66"/>
      <c r="KVR40" s="66"/>
      <c r="KVS40" s="66"/>
      <c r="KVT40" s="66"/>
      <c r="KVU40" s="66"/>
      <c r="KVV40" s="66"/>
      <c r="KVW40" s="66"/>
      <c r="KVX40" s="66"/>
      <c r="KVY40" s="66"/>
      <c r="KVZ40" s="66"/>
      <c r="KWA40" s="66"/>
      <c r="KWB40" s="66"/>
      <c r="KWC40" s="66"/>
      <c r="KWD40" s="66"/>
      <c r="KWE40" s="66"/>
      <c r="KWF40" s="66"/>
      <c r="KWG40" s="66"/>
      <c r="KWH40" s="66"/>
      <c r="KWI40" s="66"/>
      <c r="KWJ40" s="66"/>
      <c r="KWK40" s="66"/>
      <c r="KWL40" s="66"/>
      <c r="KWM40" s="66"/>
      <c r="KWN40" s="66"/>
      <c r="KWO40" s="66"/>
      <c r="KWP40" s="66"/>
      <c r="KWQ40" s="66"/>
      <c r="KWR40" s="66"/>
      <c r="KWS40" s="66"/>
      <c r="KWT40" s="66"/>
      <c r="KWU40" s="66"/>
      <c r="KWV40" s="66"/>
      <c r="KWW40" s="66"/>
      <c r="KWX40" s="66"/>
      <c r="KWY40" s="66"/>
      <c r="KWZ40" s="66"/>
      <c r="KXA40" s="66"/>
      <c r="KXB40" s="66"/>
      <c r="KXC40" s="66"/>
      <c r="KXD40" s="66"/>
      <c r="KXE40" s="66"/>
      <c r="KXF40" s="66"/>
      <c r="KXG40" s="66"/>
      <c r="KXH40" s="66"/>
      <c r="KXI40" s="66"/>
      <c r="KXJ40" s="66"/>
      <c r="KXK40" s="66"/>
      <c r="KXL40" s="66"/>
      <c r="KXM40" s="66"/>
      <c r="KXN40" s="66"/>
      <c r="KXO40" s="66"/>
      <c r="KXP40" s="66"/>
      <c r="KXQ40" s="66"/>
      <c r="KXR40" s="66"/>
      <c r="KXS40" s="66"/>
      <c r="KXT40" s="66"/>
      <c r="KXU40" s="66"/>
      <c r="KXV40" s="66"/>
      <c r="KXW40" s="66"/>
      <c r="KXX40" s="66"/>
      <c r="KXY40" s="66"/>
      <c r="KXZ40" s="66"/>
      <c r="KYA40" s="66"/>
      <c r="KYB40" s="66"/>
      <c r="KYC40" s="66"/>
      <c r="KYD40" s="66"/>
      <c r="KYE40" s="66"/>
      <c r="KYF40" s="66"/>
      <c r="KYG40" s="66"/>
      <c r="KYH40" s="66"/>
      <c r="KYI40" s="66"/>
      <c r="KYJ40" s="66"/>
      <c r="KYK40" s="66"/>
      <c r="KYL40" s="66"/>
      <c r="KYM40" s="66"/>
      <c r="KYN40" s="66"/>
      <c r="KYO40" s="66"/>
      <c r="KYP40" s="66"/>
      <c r="KYQ40" s="66"/>
      <c r="KYR40" s="66"/>
      <c r="KYS40" s="66"/>
      <c r="KYT40" s="66"/>
      <c r="KYU40" s="66"/>
      <c r="KYV40" s="66"/>
      <c r="KYW40" s="66"/>
      <c r="KYX40" s="66"/>
      <c r="KYY40" s="66"/>
      <c r="KYZ40" s="66"/>
      <c r="KZA40" s="66"/>
      <c r="KZB40" s="66"/>
      <c r="KZC40" s="66"/>
      <c r="KZD40" s="66"/>
      <c r="KZE40" s="66"/>
      <c r="KZF40" s="66"/>
      <c r="KZG40" s="66"/>
      <c r="KZH40" s="66"/>
      <c r="KZI40" s="66"/>
      <c r="KZJ40" s="66"/>
      <c r="KZK40" s="66"/>
      <c r="KZL40" s="66"/>
      <c r="KZM40" s="66"/>
      <c r="KZN40" s="66"/>
      <c r="KZO40" s="66"/>
      <c r="KZP40" s="66"/>
      <c r="KZQ40" s="66"/>
      <c r="KZR40" s="66"/>
      <c r="KZS40" s="66"/>
      <c r="KZT40" s="66"/>
      <c r="KZU40" s="66"/>
      <c r="KZV40" s="66"/>
      <c r="KZW40" s="66"/>
      <c r="KZX40" s="66"/>
      <c r="KZY40" s="66"/>
      <c r="KZZ40" s="66"/>
      <c r="LAA40" s="66"/>
      <c r="LAB40" s="66"/>
      <c r="LAC40" s="66"/>
      <c r="LAD40" s="66"/>
      <c r="LAE40" s="66"/>
      <c r="LAF40" s="66"/>
      <c r="LAG40" s="66"/>
      <c r="LAH40" s="66"/>
      <c r="LAI40" s="66"/>
      <c r="LAJ40" s="66"/>
      <c r="LAK40" s="66"/>
      <c r="LAL40" s="66"/>
      <c r="LAM40" s="66"/>
      <c r="LAN40" s="66"/>
      <c r="LAO40" s="66"/>
      <c r="LAP40" s="66"/>
      <c r="LAQ40" s="66"/>
      <c r="LAR40" s="66"/>
      <c r="LAS40" s="66"/>
      <c r="LAT40" s="66"/>
      <c r="LAU40" s="66"/>
      <c r="LAV40" s="66"/>
      <c r="LAW40" s="66"/>
      <c r="LAX40" s="66"/>
      <c r="LAY40" s="66"/>
      <c r="LAZ40" s="66"/>
      <c r="LBA40" s="66"/>
      <c r="LBB40" s="66"/>
      <c r="LBC40" s="66"/>
      <c r="LBD40" s="66"/>
      <c r="LBE40" s="66"/>
      <c r="LBF40" s="66"/>
      <c r="LBG40" s="66"/>
      <c r="LBH40" s="66"/>
      <c r="LBI40" s="66"/>
      <c r="LBJ40" s="66"/>
      <c r="LBK40" s="66"/>
      <c r="LBL40" s="66"/>
      <c r="LBM40" s="66"/>
      <c r="LBN40" s="66"/>
      <c r="LBO40" s="66"/>
      <c r="LBP40" s="66"/>
      <c r="LBQ40" s="66"/>
      <c r="LBR40" s="66"/>
      <c r="LBS40" s="66"/>
      <c r="LBT40" s="66"/>
      <c r="LBU40" s="66"/>
      <c r="LBV40" s="66"/>
      <c r="LBW40" s="66"/>
      <c r="LBX40" s="66"/>
      <c r="LBY40" s="66"/>
      <c r="LBZ40" s="66"/>
      <c r="LCA40" s="66"/>
      <c r="LCB40" s="66"/>
      <c r="LCC40" s="66"/>
      <c r="LCD40" s="66"/>
      <c r="LCE40" s="66"/>
      <c r="LCF40" s="66"/>
      <c r="LCG40" s="66"/>
      <c r="LCH40" s="66"/>
      <c r="LCI40" s="66"/>
      <c r="LCJ40" s="66"/>
      <c r="LCK40" s="66"/>
      <c r="LCL40" s="66"/>
      <c r="LCM40" s="66"/>
      <c r="LCN40" s="66"/>
      <c r="LCO40" s="66"/>
      <c r="LCP40" s="66"/>
      <c r="LCQ40" s="66"/>
      <c r="LCR40" s="66"/>
      <c r="LCS40" s="66"/>
      <c r="LCT40" s="66"/>
      <c r="LCU40" s="66"/>
      <c r="LCV40" s="66"/>
      <c r="LCW40" s="66"/>
      <c r="LCX40" s="66"/>
      <c r="LCY40" s="66"/>
      <c r="LCZ40" s="66"/>
      <c r="LDA40" s="66"/>
      <c r="LDB40" s="66"/>
      <c r="LDC40" s="66"/>
      <c r="LDD40" s="66"/>
      <c r="LDE40" s="66"/>
      <c r="LDF40" s="66"/>
      <c r="LDG40" s="66"/>
      <c r="LDH40" s="66"/>
      <c r="LDI40" s="66"/>
      <c r="LDJ40" s="66"/>
      <c r="LDK40" s="66"/>
      <c r="LDL40" s="66"/>
      <c r="LDM40" s="66"/>
      <c r="LDN40" s="66"/>
      <c r="LDO40" s="66"/>
      <c r="LDP40" s="66"/>
      <c r="LDQ40" s="66"/>
      <c r="LDR40" s="66"/>
      <c r="LDS40" s="66"/>
      <c r="LDT40" s="66"/>
      <c r="LDU40" s="66"/>
      <c r="LDV40" s="66"/>
      <c r="LDW40" s="66"/>
      <c r="LDX40" s="66"/>
      <c r="LDY40" s="66"/>
      <c r="LDZ40" s="66"/>
      <c r="LEA40" s="66"/>
      <c r="LEB40" s="66"/>
      <c r="LEC40" s="66"/>
      <c r="LED40" s="66"/>
      <c r="LEE40" s="66"/>
      <c r="LEF40" s="66"/>
      <c r="LEG40" s="66"/>
      <c r="LEH40" s="66"/>
      <c r="LEI40" s="66"/>
      <c r="LEJ40" s="66"/>
      <c r="LEK40" s="66"/>
      <c r="LEL40" s="66"/>
      <c r="LEM40" s="66"/>
      <c r="LEN40" s="66"/>
      <c r="LEO40" s="66"/>
      <c r="LEP40" s="66"/>
      <c r="LEQ40" s="66"/>
      <c r="LER40" s="66"/>
      <c r="LES40" s="66"/>
      <c r="LET40" s="66"/>
      <c r="LEU40" s="66"/>
      <c r="LEV40" s="66"/>
      <c r="LEW40" s="66"/>
      <c r="LEX40" s="66"/>
      <c r="LEY40" s="66"/>
      <c r="LEZ40" s="66"/>
      <c r="LFA40" s="66"/>
      <c r="LFB40" s="66"/>
      <c r="LFC40" s="66"/>
      <c r="LFD40" s="66"/>
      <c r="LFE40" s="66"/>
      <c r="LFF40" s="66"/>
      <c r="LFG40" s="66"/>
      <c r="LFH40" s="66"/>
      <c r="LFI40" s="66"/>
      <c r="LFJ40" s="66"/>
      <c r="LFK40" s="66"/>
      <c r="LFL40" s="66"/>
      <c r="LFM40" s="66"/>
      <c r="LFN40" s="66"/>
      <c r="LFO40" s="66"/>
      <c r="LFP40" s="66"/>
      <c r="LFQ40" s="66"/>
      <c r="LFR40" s="66"/>
      <c r="LFS40" s="66"/>
      <c r="LFT40" s="66"/>
      <c r="LFU40" s="66"/>
      <c r="LFV40" s="66"/>
      <c r="LFW40" s="66"/>
      <c r="LFX40" s="66"/>
      <c r="LFY40" s="66"/>
      <c r="LFZ40" s="66"/>
      <c r="LGA40" s="66"/>
      <c r="LGB40" s="66"/>
      <c r="LGC40" s="66"/>
      <c r="LGD40" s="66"/>
      <c r="LGE40" s="66"/>
      <c r="LGF40" s="66"/>
      <c r="LGG40" s="66"/>
      <c r="LGH40" s="66"/>
      <c r="LGI40" s="66"/>
      <c r="LGJ40" s="66"/>
      <c r="LGK40" s="66"/>
      <c r="LGL40" s="66"/>
      <c r="LGM40" s="66"/>
      <c r="LGN40" s="66"/>
      <c r="LGO40" s="66"/>
      <c r="LGP40" s="66"/>
      <c r="LGQ40" s="66"/>
      <c r="LGR40" s="66"/>
      <c r="LGS40" s="66"/>
      <c r="LGT40" s="66"/>
      <c r="LGU40" s="66"/>
      <c r="LGV40" s="66"/>
      <c r="LGW40" s="66"/>
      <c r="LGX40" s="66"/>
      <c r="LGY40" s="66"/>
      <c r="LGZ40" s="66"/>
      <c r="LHA40" s="66"/>
      <c r="LHB40" s="66"/>
      <c r="LHC40" s="66"/>
      <c r="LHD40" s="66"/>
      <c r="LHE40" s="66"/>
      <c r="LHF40" s="66"/>
      <c r="LHG40" s="66"/>
      <c r="LHH40" s="66"/>
      <c r="LHI40" s="66"/>
      <c r="LHJ40" s="66"/>
      <c r="LHK40" s="66"/>
      <c r="LHL40" s="66"/>
      <c r="LHM40" s="66"/>
      <c r="LHN40" s="66"/>
      <c r="LHO40" s="66"/>
      <c r="LHP40" s="66"/>
      <c r="LHQ40" s="66"/>
      <c r="LHR40" s="66"/>
      <c r="LHS40" s="66"/>
      <c r="LHT40" s="66"/>
      <c r="LHU40" s="66"/>
      <c r="LHV40" s="66"/>
      <c r="LHW40" s="66"/>
      <c r="LHX40" s="66"/>
      <c r="LHY40" s="66"/>
      <c r="LHZ40" s="66"/>
      <c r="LIA40" s="66"/>
      <c r="LIB40" s="66"/>
      <c r="LIC40" s="66"/>
      <c r="LID40" s="66"/>
      <c r="LIE40" s="66"/>
      <c r="LIF40" s="66"/>
      <c r="LIG40" s="66"/>
      <c r="LIH40" s="66"/>
      <c r="LII40" s="66"/>
      <c r="LIJ40" s="66"/>
      <c r="LIK40" s="66"/>
      <c r="LIL40" s="66"/>
      <c r="LIM40" s="66"/>
      <c r="LIN40" s="66"/>
      <c r="LIO40" s="66"/>
      <c r="LIP40" s="66"/>
      <c r="LIQ40" s="66"/>
      <c r="LIR40" s="66"/>
      <c r="LIS40" s="66"/>
      <c r="LIT40" s="66"/>
      <c r="LIU40" s="66"/>
      <c r="LIV40" s="66"/>
      <c r="LIW40" s="66"/>
      <c r="LIX40" s="66"/>
      <c r="LIY40" s="66"/>
      <c r="LIZ40" s="66"/>
      <c r="LJA40" s="66"/>
      <c r="LJB40" s="66"/>
      <c r="LJC40" s="66"/>
      <c r="LJD40" s="66"/>
      <c r="LJE40" s="66"/>
      <c r="LJF40" s="66"/>
      <c r="LJG40" s="66"/>
      <c r="LJH40" s="66"/>
      <c r="LJI40" s="66"/>
      <c r="LJJ40" s="66"/>
      <c r="LJK40" s="66"/>
      <c r="LJL40" s="66"/>
      <c r="LJM40" s="66"/>
      <c r="LJN40" s="66"/>
      <c r="LJO40" s="66"/>
      <c r="LJP40" s="66"/>
      <c r="LJQ40" s="66"/>
      <c r="LJR40" s="66"/>
      <c r="LJS40" s="66"/>
      <c r="LJT40" s="66"/>
      <c r="LJU40" s="66"/>
      <c r="LJV40" s="66"/>
      <c r="LJW40" s="66"/>
      <c r="LJX40" s="66"/>
      <c r="LJY40" s="66"/>
      <c r="LJZ40" s="66"/>
      <c r="LKA40" s="66"/>
      <c r="LKB40" s="66"/>
      <c r="LKC40" s="66"/>
      <c r="LKD40" s="66"/>
      <c r="LKE40" s="66"/>
      <c r="LKF40" s="66"/>
      <c r="LKG40" s="66"/>
      <c r="LKH40" s="66"/>
      <c r="LKI40" s="66"/>
      <c r="LKJ40" s="66"/>
      <c r="LKK40" s="66"/>
      <c r="LKL40" s="66"/>
      <c r="LKM40" s="66"/>
      <c r="LKN40" s="66"/>
      <c r="LKO40" s="66"/>
      <c r="LKP40" s="66"/>
      <c r="LKQ40" s="66"/>
      <c r="LKR40" s="66"/>
      <c r="LKS40" s="66"/>
      <c r="LKT40" s="66"/>
      <c r="LKU40" s="66"/>
      <c r="LKV40" s="66"/>
      <c r="LKW40" s="66"/>
      <c r="LKX40" s="66"/>
      <c r="LKY40" s="66"/>
      <c r="LKZ40" s="66"/>
      <c r="LLA40" s="66"/>
      <c r="LLB40" s="66"/>
      <c r="LLC40" s="66"/>
      <c r="LLD40" s="66"/>
      <c r="LLE40" s="66"/>
      <c r="LLF40" s="66"/>
      <c r="LLG40" s="66"/>
      <c r="LLH40" s="66"/>
      <c r="LLI40" s="66"/>
      <c r="LLJ40" s="66"/>
      <c r="LLK40" s="66"/>
      <c r="LLL40" s="66"/>
      <c r="LLM40" s="66"/>
      <c r="LLN40" s="66"/>
      <c r="LLO40" s="66"/>
      <c r="LLP40" s="66"/>
      <c r="LLQ40" s="66"/>
      <c r="LLR40" s="66"/>
      <c r="LLS40" s="66"/>
      <c r="LLT40" s="66"/>
      <c r="LLU40" s="66"/>
      <c r="LLV40" s="66"/>
      <c r="LLW40" s="66"/>
      <c r="LLX40" s="66"/>
      <c r="LLY40" s="66"/>
      <c r="LLZ40" s="66"/>
      <c r="LMA40" s="66"/>
      <c r="LMB40" s="66"/>
      <c r="LMC40" s="66"/>
      <c r="LMD40" s="66"/>
      <c r="LME40" s="66"/>
      <c r="LMF40" s="66"/>
      <c r="LMG40" s="66"/>
      <c r="LMH40" s="66"/>
      <c r="LMI40" s="66"/>
      <c r="LMJ40" s="66"/>
      <c r="LMK40" s="66"/>
      <c r="LML40" s="66"/>
      <c r="LMM40" s="66"/>
      <c r="LMN40" s="66"/>
      <c r="LMO40" s="66"/>
      <c r="LMP40" s="66"/>
      <c r="LMQ40" s="66"/>
      <c r="LMR40" s="66"/>
      <c r="LMS40" s="66"/>
      <c r="LMT40" s="66"/>
      <c r="LMU40" s="66"/>
      <c r="LMV40" s="66"/>
      <c r="LMW40" s="66"/>
      <c r="LMX40" s="66"/>
      <c r="LMY40" s="66"/>
      <c r="LMZ40" s="66"/>
      <c r="LNA40" s="66"/>
      <c r="LNB40" s="66"/>
      <c r="LNC40" s="66"/>
      <c r="LND40" s="66"/>
      <c r="LNE40" s="66"/>
      <c r="LNF40" s="66"/>
      <c r="LNG40" s="66"/>
      <c r="LNH40" s="66"/>
      <c r="LNI40" s="66"/>
      <c r="LNJ40" s="66"/>
      <c r="LNK40" s="66"/>
      <c r="LNL40" s="66"/>
      <c r="LNM40" s="66"/>
      <c r="LNN40" s="66"/>
      <c r="LNO40" s="66"/>
      <c r="LNP40" s="66"/>
      <c r="LNQ40" s="66"/>
      <c r="LNR40" s="66"/>
      <c r="LNS40" s="66"/>
      <c r="LNT40" s="66"/>
      <c r="LNU40" s="66"/>
      <c r="LNV40" s="66"/>
      <c r="LNW40" s="66"/>
      <c r="LNX40" s="66"/>
      <c r="LNY40" s="66"/>
      <c r="LNZ40" s="66"/>
      <c r="LOA40" s="66"/>
      <c r="LOB40" s="66"/>
      <c r="LOC40" s="66"/>
      <c r="LOD40" s="66"/>
      <c r="LOE40" s="66"/>
      <c r="LOF40" s="66"/>
      <c r="LOG40" s="66"/>
      <c r="LOH40" s="66"/>
      <c r="LOI40" s="66"/>
      <c r="LOJ40" s="66"/>
      <c r="LOK40" s="66"/>
      <c r="LOL40" s="66"/>
      <c r="LOM40" s="66"/>
      <c r="LON40" s="66"/>
      <c r="LOO40" s="66"/>
      <c r="LOP40" s="66"/>
      <c r="LOQ40" s="66"/>
      <c r="LOR40" s="66"/>
      <c r="LOS40" s="66"/>
      <c r="LOT40" s="66"/>
      <c r="LOU40" s="66"/>
      <c r="LOV40" s="66"/>
      <c r="LOW40" s="66"/>
      <c r="LOX40" s="66"/>
      <c r="LOY40" s="66"/>
      <c r="LOZ40" s="66"/>
      <c r="LPA40" s="66"/>
      <c r="LPB40" s="66"/>
      <c r="LPC40" s="66"/>
      <c r="LPD40" s="66"/>
      <c r="LPE40" s="66"/>
      <c r="LPF40" s="66"/>
      <c r="LPG40" s="66"/>
      <c r="LPH40" s="66"/>
      <c r="LPI40" s="66"/>
      <c r="LPJ40" s="66"/>
      <c r="LPK40" s="66"/>
      <c r="LPL40" s="66"/>
      <c r="LPM40" s="66"/>
      <c r="LPN40" s="66"/>
      <c r="LPO40" s="66"/>
      <c r="LPP40" s="66"/>
      <c r="LPQ40" s="66"/>
      <c r="LPR40" s="66"/>
      <c r="LPS40" s="66"/>
      <c r="LPT40" s="66"/>
      <c r="LPU40" s="66"/>
      <c r="LPV40" s="66"/>
      <c r="LPW40" s="66"/>
      <c r="LPX40" s="66"/>
      <c r="LPY40" s="66"/>
      <c r="LPZ40" s="66"/>
      <c r="LQA40" s="66"/>
      <c r="LQB40" s="66"/>
      <c r="LQC40" s="66"/>
      <c r="LQD40" s="66"/>
      <c r="LQE40" s="66"/>
      <c r="LQF40" s="66"/>
      <c r="LQG40" s="66"/>
      <c r="LQH40" s="66"/>
      <c r="LQI40" s="66"/>
      <c r="LQJ40" s="66"/>
      <c r="LQK40" s="66"/>
      <c r="LQL40" s="66"/>
      <c r="LQM40" s="66"/>
      <c r="LQN40" s="66"/>
      <c r="LQO40" s="66"/>
      <c r="LQP40" s="66"/>
      <c r="LQQ40" s="66"/>
      <c r="LQR40" s="66"/>
      <c r="LQS40" s="66"/>
      <c r="LQT40" s="66"/>
      <c r="LQU40" s="66"/>
      <c r="LQV40" s="66"/>
      <c r="LQW40" s="66"/>
      <c r="LQX40" s="66"/>
      <c r="LQY40" s="66"/>
      <c r="LQZ40" s="66"/>
      <c r="LRA40" s="66"/>
      <c r="LRB40" s="66"/>
      <c r="LRC40" s="66"/>
      <c r="LRD40" s="66"/>
      <c r="LRE40" s="66"/>
      <c r="LRF40" s="66"/>
      <c r="LRG40" s="66"/>
      <c r="LRH40" s="66"/>
      <c r="LRI40" s="66"/>
      <c r="LRJ40" s="66"/>
      <c r="LRK40" s="66"/>
      <c r="LRL40" s="66"/>
      <c r="LRM40" s="66"/>
      <c r="LRN40" s="66"/>
      <c r="LRO40" s="66"/>
      <c r="LRP40" s="66"/>
      <c r="LRQ40" s="66"/>
      <c r="LRR40" s="66"/>
      <c r="LRS40" s="66"/>
      <c r="LRT40" s="66"/>
      <c r="LRU40" s="66"/>
      <c r="LRV40" s="66"/>
      <c r="LRW40" s="66"/>
      <c r="LRX40" s="66"/>
      <c r="LRY40" s="66"/>
      <c r="LRZ40" s="66"/>
      <c r="LSA40" s="66"/>
      <c r="LSB40" s="66"/>
      <c r="LSC40" s="66"/>
      <c r="LSD40" s="66"/>
      <c r="LSE40" s="66"/>
      <c r="LSF40" s="66"/>
      <c r="LSG40" s="66"/>
      <c r="LSH40" s="66"/>
      <c r="LSI40" s="66"/>
      <c r="LSJ40" s="66"/>
      <c r="LSK40" s="66"/>
      <c r="LSL40" s="66"/>
      <c r="LSM40" s="66"/>
      <c r="LSN40" s="66"/>
      <c r="LSO40" s="66"/>
      <c r="LSP40" s="66"/>
      <c r="LSQ40" s="66"/>
      <c r="LSR40" s="66"/>
      <c r="LSS40" s="66"/>
      <c r="LST40" s="66"/>
      <c r="LSU40" s="66"/>
      <c r="LSV40" s="66"/>
      <c r="LSW40" s="66"/>
      <c r="LSX40" s="66"/>
      <c r="LSY40" s="66"/>
      <c r="LSZ40" s="66"/>
      <c r="LTA40" s="66"/>
      <c r="LTB40" s="66"/>
      <c r="LTC40" s="66"/>
      <c r="LTD40" s="66"/>
      <c r="LTE40" s="66"/>
      <c r="LTF40" s="66"/>
      <c r="LTG40" s="66"/>
      <c r="LTH40" s="66"/>
      <c r="LTI40" s="66"/>
      <c r="LTJ40" s="66"/>
      <c r="LTK40" s="66"/>
      <c r="LTL40" s="66"/>
      <c r="LTM40" s="66"/>
      <c r="LTN40" s="66"/>
      <c r="LTO40" s="66"/>
      <c r="LTP40" s="66"/>
      <c r="LTQ40" s="66"/>
      <c r="LTR40" s="66"/>
      <c r="LTS40" s="66"/>
      <c r="LTT40" s="66"/>
      <c r="LTU40" s="66"/>
      <c r="LTV40" s="66"/>
      <c r="LTW40" s="66"/>
      <c r="LTX40" s="66"/>
      <c r="LTY40" s="66"/>
      <c r="LTZ40" s="66"/>
      <c r="LUA40" s="66"/>
      <c r="LUB40" s="66"/>
      <c r="LUC40" s="66"/>
      <c r="LUD40" s="66"/>
      <c r="LUE40" s="66"/>
      <c r="LUF40" s="66"/>
      <c r="LUG40" s="66"/>
      <c r="LUH40" s="66"/>
      <c r="LUI40" s="66"/>
      <c r="LUJ40" s="66"/>
      <c r="LUK40" s="66"/>
      <c r="LUL40" s="66"/>
      <c r="LUM40" s="66"/>
      <c r="LUN40" s="66"/>
      <c r="LUO40" s="66"/>
      <c r="LUP40" s="66"/>
      <c r="LUQ40" s="66"/>
      <c r="LUR40" s="66"/>
      <c r="LUS40" s="66"/>
      <c r="LUT40" s="66"/>
      <c r="LUU40" s="66"/>
      <c r="LUV40" s="66"/>
      <c r="LUW40" s="66"/>
      <c r="LUX40" s="66"/>
      <c r="LUY40" s="66"/>
      <c r="LUZ40" s="66"/>
      <c r="LVA40" s="66"/>
      <c r="LVB40" s="66"/>
      <c r="LVC40" s="66"/>
      <c r="LVD40" s="66"/>
      <c r="LVE40" s="66"/>
      <c r="LVF40" s="66"/>
      <c r="LVG40" s="66"/>
      <c r="LVH40" s="66"/>
      <c r="LVI40" s="66"/>
      <c r="LVJ40" s="66"/>
      <c r="LVK40" s="66"/>
      <c r="LVL40" s="66"/>
      <c r="LVM40" s="66"/>
      <c r="LVN40" s="66"/>
      <c r="LVO40" s="66"/>
      <c r="LVP40" s="66"/>
      <c r="LVQ40" s="66"/>
      <c r="LVR40" s="66"/>
      <c r="LVS40" s="66"/>
      <c r="LVT40" s="66"/>
      <c r="LVU40" s="66"/>
      <c r="LVV40" s="66"/>
      <c r="LVW40" s="66"/>
      <c r="LVX40" s="66"/>
      <c r="LVY40" s="66"/>
      <c r="LVZ40" s="66"/>
      <c r="LWA40" s="66"/>
      <c r="LWB40" s="66"/>
      <c r="LWC40" s="66"/>
      <c r="LWD40" s="66"/>
      <c r="LWE40" s="66"/>
      <c r="LWF40" s="66"/>
      <c r="LWG40" s="66"/>
      <c r="LWH40" s="66"/>
      <c r="LWI40" s="66"/>
      <c r="LWJ40" s="66"/>
      <c r="LWK40" s="66"/>
      <c r="LWL40" s="66"/>
      <c r="LWM40" s="66"/>
      <c r="LWN40" s="66"/>
      <c r="LWO40" s="66"/>
      <c r="LWP40" s="66"/>
      <c r="LWQ40" s="66"/>
      <c r="LWR40" s="66"/>
      <c r="LWS40" s="66"/>
      <c r="LWT40" s="66"/>
      <c r="LWU40" s="66"/>
      <c r="LWV40" s="66"/>
      <c r="LWW40" s="66"/>
      <c r="LWX40" s="66"/>
      <c r="LWY40" s="66"/>
      <c r="LWZ40" s="66"/>
      <c r="LXA40" s="66"/>
      <c r="LXB40" s="66"/>
      <c r="LXC40" s="66"/>
      <c r="LXD40" s="66"/>
      <c r="LXE40" s="66"/>
      <c r="LXF40" s="66"/>
      <c r="LXG40" s="66"/>
      <c r="LXH40" s="66"/>
      <c r="LXI40" s="66"/>
      <c r="LXJ40" s="66"/>
      <c r="LXK40" s="66"/>
      <c r="LXL40" s="66"/>
      <c r="LXM40" s="66"/>
      <c r="LXN40" s="66"/>
      <c r="LXO40" s="66"/>
      <c r="LXP40" s="66"/>
      <c r="LXQ40" s="66"/>
      <c r="LXR40" s="66"/>
      <c r="LXS40" s="66"/>
      <c r="LXT40" s="66"/>
      <c r="LXU40" s="66"/>
      <c r="LXV40" s="66"/>
      <c r="LXW40" s="66"/>
      <c r="LXX40" s="66"/>
      <c r="LXY40" s="66"/>
      <c r="LXZ40" s="66"/>
      <c r="LYA40" s="66"/>
      <c r="LYB40" s="66"/>
      <c r="LYC40" s="66"/>
      <c r="LYD40" s="66"/>
      <c r="LYE40" s="66"/>
      <c r="LYF40" s="66"/>
      <c r="LYG40" s="66"/>
      <c r="LYH40" s="66"/>
      <c r="LYI40" s="66"/>
      <c r="LYJ40" s="66"/>
      <c r="LYK40" s="66"/>
      <c r="LYL40" s="66"/>
      <c r="LYM40" s="66"/>
      <c r="LYN40" s="66"/>
      <c r="LYO40" s="66"/>
      <c r="LYP40" s="66"/>
      <c r="LYQ40" s="66"/>
      <c r="LYR40" s="66"/>
      <c r="LYS40" s="66"/>
      <c r="LYT40" s="66"/>
      <c r="LYU40" s="66"/>
      <c r="LYV40" s="66"/>
      <c r="LYW40" s="66"/>
      <c r="LYX40" s="66"/>
      <c r="LYY40" s="66"/>
      <c r="LYZ40" s="66"/>
      <c r="LZA40" s="66"/>
      <c r="LZB40" s="66"/>
      <c r="LZC40" s="66"/>
      <c r="LZD40" s="66"/>
      <c r="LZE40" s="66"/>
      <c r="LZF40" s="66"/>
      <c r="LZG40" s="66"/>
      <c r="LZH40" s="66"/>
      <c r="LZI40" s="66"/>
      <c r="LZJ40" s="66"/>
      <c r="LZK40" s="66"/>
      <c r="LZL40" s="66"/>
      <c r="LZM40" s="66"/>
      <c r="LZN40" s="66"/>
      <c r="LZO40" s="66"/>
      <c r="LZP40" s="66"/>
      <c r="LZQ40" s="66"/>
      <c r="LZR40" s="66"/>
      <c r="LZS40" s="66"/>
      <c r="LZT40" s="66"/>
      <c r="LZU40" s="66"/>
      <c r="LZV40" s="66"/>
      <c r="LZW40" s="66"/>
      <c r="LZX40" s="66"/>
      <c r="LZY40" s="66"/>
      <c r="LZZ40" s="66"/>
      <c r="MAA40" s="66"/>
      <c r="MAB40" s="66"/>
      <c r="MAC40" s="66"/>
      <c r="MAD40" s="66"/>
      <c r="MAE40" s="66"/>
      <c r="MAF40" s="66"/>
      <c r="MAG40" s="66"/>
      <c r="MAH40" s="66"/>
      <c r="MAI40" s="66"/>
      <c r="MAJ40" s="66"/>
      <c r="MAK40" s="66"/>
      <c r="MAL40" s="66"/>
      <c r="MAM40" s="66"/>
      <c r="MAN40" s="66"/>
      <c r="MAO40" s="66"/>
      <c r="MAP40" s="66"/>
      <c r="MAQ40" s="66"/>
      <c r="MAR40" s="66"/>
      <c r="MAS40" s="66"/>
      <c r="MAT40" s="66"/>
      <c r="MAU40" s="66"/>
      <c r="MAV40" s="66"/>
      <c r="MAW40" s="66"/>
      <c r="MAX40" s="66"/>
      <c r="MAY40" s="66"/>
      <c r="MAZ40" s="66"/>
      <c r="MBA40" s="66"/>
      <c r="MBB40" s="66"/>
      <c r="MBC40" s="66"/>
      <c r="MBD40" s="66"/>
      <c r="MBE40" s="66"/>
      <c r="MBF40" s="66"/>
      <c r="MBG40" s="66"/>
      <c r="MBH40" s="66"/>
      <c r="MBI40" s="66"/>
      <c r="MBJ40" s="66"/>
      <c r="MBK40" s="66"/>
      <c r="MBL40" s="66"/>
      <c r="MBM40" s="66"/>
      <c r="MBN40" s="66"/>
      <c r="MBO40" s="66"/>
      <c r="MBP40" s="66"/>
      <c r="MBQ40" s="66"/>
      <c r="MBR40" s="66"/>
      <c r="MBS40" s="66"/>
      <c r="MBT40" s="66"/>
      <c r="MBU40" s="66"/>
      <c r="MBV40" s="66"/>
      <c r="MBW40" s="66"/>
      <c r="MBX40" s="66"/>
      <c r="MBY40" s="66"/>
      <c r="MBZ40" s="66"/>
      <c r="MCA40" s="66"/>
      <c r="MCB40" s="66"/>
      <c r="MCC40" s="66"/>
      <c r="MCD40" s="66"/>
      <c r="MCE40" s="66"/>
      <c r="MCF40" s="66"/>
      <c r="MCG40" s="66"/>
      <c r="MCH40" s="66"/>
      <c r="MCI40" s="66"/>
      <c r="MCJ40" s="66"/>
      <c r="MCK40" s="66"/>
      <c r="MCL40" s="66"/>
      <c r="MCM40" s="66"/>
      <c r="MCN40" s="66"/>
      <c r="MCO40" s="66"/>
      <c r="MCP40" s="66"/>
      <c r="MCQ40" s="66"/>
      <c r="MCR40" s="66"/>
      <c r="MCS40" s="66"/>
      <c r="MCT40" s="66"/>
      <c r="MCU40" s="66"/>
      <c r="MCV40" s="66"/>
      <c r="MCW40" s="66"/>
      <c r="MCX40" s="66"/>
      <c r="MCY40" s="66"/>
      <c r="MCZ40" s="66"/>
      <c r="MDA40" s="66"/>
      <c r="MDB40" s="66"/>
      <c r="MDC40" s="66"/>
      <c r="MDD40" s="66"/>
      <c r="MDE40" s="66"/>
      <c r="MDF40" s="66"/>
      <c r="MDG40" s="66"/>
      <c r="MDH40" s="66"/>
      <c r="MDI40" s="66"/>
      <c r="MDJ40" s="66"/>
      <c r="MDK40" s="66"/>
      <c r="MDL40" s="66"/>
      <c r="MDM40" s="66"/>
      <c r="MDN40" s="66"/>
      <c r="MDO40" s="66"/>
      <c r="MDP40" s="66"/>
      <c r="MDQ40" s="66"/>
      <c r="MDR40" s="66"/>
      <c r="MDS40" s="66"/>
      <c r="MDT40" s="66"/>
      <c r="MDU40" s="66"/>
      <c r="MDV40" s="66"/>
      <c r="MDW40" s="66"/>
      <c r="MDX40" s="66"/>
      <c r="MDY40" s="66"/>
      <c r="MDZ40" s="66"/>
      <c r="MEA40" s="66"/>
      <c r="MEB40" s="66"/>
      <c r="MEC40" s="66"/>
      <c r="MED40" s="66"/>
      <c r="MEE40" s="66"/>
      <c r="MEF40" s="66"/>
      <c r="MEG40" s="66"/>
      <c r="MEH40" s="66"/>
      <c r="MEI40" s="66"/>
      <c r="MEJ40" s="66"/>
      <c r="MEK40" s="66"/>
      <c r="MEL40" s="66"/>
      <c r="MEM40" s="66"/>
      <c r="MEN40" s="66"/>
      <c r="MEO40" s="66"/>
      <c r="MEP40" s="66"/>
      <c r="MEQ40" s="66"/>
      <c r="MER40" s="66"/>
      <c r="MES40" s="66"/>
      <c r="MET40" s="66"/>
      <c r="MEU40" s="66"/>
      <c r="MEV40" s="66"/>
      <c r="MEW40" s="66"/>
      <c r="MEX40" s="66"/>
      <c r="MEY40" s="66"/>
      <c r="MEZ40" s="66"/>
      <c r="MFA40" s="66"/>
      <c r="MFB40" s="66"/>
      <c r="MFC40" s="66"/>
      <c r="MFD40" s="66"/>
      <c r="MFE40" s="66"/>
      <c r="MFF40" s="66"/>
      <c r="MFG40" s="66"/>
      <c r="MFH40" s="66"/>
      <c r="MFI40" s="66"/>
      <c r="MFJ40" s="66"/>
      <c r="MFK40" s="66"/>
      <c r="MFL40" s="66"/>
      <c r="MFM40" s="66"/>
      <c r="MFN40" s="66"/>
      <c r="MFO40" s="66"/>
      <c r="MFP40" s="66"/>
      <c r="MFQ40" s="66"/>
      <c r="MFR40" s="66"/>
      <c r="MFS40" s="66"/>
      <c r="MFT40" s="66"/>
      <c r="MFU40" s="66"/>
      <c r="MFV40" s="66"/>
      <c r="MFW40" s="66"/>
      <c r="MFX40" s="66"/>
      <c r="MFY40" s="66"/>
      <c r="MFZ40" s="66"/>
      <c r="MGA40" s="66"/>
      <c r="MGB40" s="66"/>
      <c r="MGC40" s="66"/>
      <c r="MGD40" s="66"/>
      <c r="MGE40" s="66"/>
      <c r="MGF40" s="66"/>
      <c r="MGG40" s="66"/>
      <c r="MGH40" s="66"/>
      <c r="MGI40" s="66"/>
      <c r="MGJ40" s="66"/>
      <c r="MGK40" s="66"/>
      <c r="MGL40" s="66"/>
      <c r="MGM40" s="66"/>
      <c r="MGN40" s="66"/>
      <c r="MGO40" s="66"/>
      <c r="MGP40" s="66"/>
      <c r="MGQ40" s="66"/>
      <c r="MGR40" s="66"/>
      <c r="MGS40" s="66"/>
      <c r="MGT40" s="66"/>
      <c r="MGU40" s="66"/>
      <c r="MGV40" s="66"/>
      <c r="MGW40" s="66"/>
      <c r="MGX40" s="66"/>
      <c r="MGY40" s="66"/>
      <c r="MGZ40" s="66"/>
      <c r="MHA40" s="66"/>
      <c r="MHB40" s="66"/>
      <c r="MHC40" s="66"/>
      <c r="MHD40" s="66"/>
      <c r="MHE40" s="66"/>
      <c r="MHF40" s="66"/>
      <c r="MHG40" s="66"/>
      <c r="MHH40" s="66"/>
      <c r="MHI40" s="66"/>
      <c r="MHJ40" s="66"/>
      <c r="MHK40" s="66"/>
      <c r="MHL40" s="66"/>
      <c r="MHM40" s="66"/>
      <c r="MHN40" s="66"/>
      <c r="MHO40" s="66"/>
      <c r="MHP40" s="66"/>
      <c r="MHQ40" s="66"/>
      <c r="MHR40" s="66"/>
      <c r="MHS40" s="66"/>
      <c r="MHT40" s="66"/>
      <c r="MHU40" s="66"/>
      <c r="MHV40" s="66"/>
      <c r="MHW40" s="66"/>
      <c r="MHX40" s="66"/>
      <c r="MHY40" s="66"/>
      <c r="MHZ40" s="66"/>
      <c r="MIA40" s="66"/>
      <c r="MIB40" s="66"/>
      <c r="MIC40" s="66"/>
      <c r="MID40" s="66"/>
      <c r="MIE40" s="66"/>
      <c r="MIF40" s="66"/>
      <c r="MIG40" s="66"/>
      <c r="MIH40" s="66"/>
      <c r="MII40" s="66"/>
      <c r="MIJ40" s="66"/>
      <c r="MIK40" s="66"/>
      <c r="MIL40" s="66"/>
      <c r="MIM40" s="66"/>
      <c r="MIN40" s="66"/>
      <c r="MIO40" s="66"/>
      <c r="MIP40" s="66"/>
      <c r="MIQ40" s="66"/>
      <c r="MIR40" s="66"/>
      <c r="MIS40" s="66"/>
      <c r="MIT40" s="66"/>
      <c r="MIU40" s="66"/>
      <c r="MIV40" s="66"/>
      <c r="MIW40" s="66"/>
      <c r="MIX40" s="66"/>
      <c r="MIY40" s="66"/>
      <c r="MIZ40" s="66"/>
      <c r="MJA40" s="66"/>
      <c r="MJB40" s="66"/>
      <c r="MJC40" s="66"/>
      <c r="MJD40" s="66"/>
      <c r="MJE40" s="66"/>
      <c r="MJF40" s="66"/>
      <c r="MJG40" s="66"/>
      <c r="MJH40" s="66"/>
      <c r="MJI40" s="66"/>
      <c r="MJJ40" s="66"/>
      <c r="MJK40" s="66"/>
      <c r="MJL40" s="66"/>
      <c r="MJM40" s="66"/>
      <c r="MJN40" s="66"/>
      <c r="MJO40" s="66"/>
      <c r="MJP40" s="66"/>
      <c r="MJQ40" s="66"/>
      <c r="MJR40" s="66"/>
      <c r="MJS40" s="66"/>
      <c r="MJT40" s="66"/>
      <c r="MJU40" s="66"/>
      <c r="MJV40" s="66"/>
      <c r="MJW40" s="66"/>
      <c r="MJX40" s="66"/>
      <c r="MJY40" s="66"/>
      <c r="MJZ40" s="66"/>
      <c r="MKA40" s="66"/>
      <c r="MKB40" s="66"/>
      <c r="MKC40" s="66"/>
      <c r="MKD40" s="66"/>
      <c r="MKE40" s="66"/>
      <c r="MKF40" s="66"/>
      <c r="MKG40" s="66"/>
      <c r="MKH40" s="66"/>
      <c r="MKI40" s="66"/>
      <c r="MKJ40" s="66"/>
      <c r="MKK40" s="66"/>
      <c r="MKL40" s="66"/>
      <c r="MKM40" s="66"/>
      <c r="MKN40" s="66"/>
      <c r="MKO40" s="66"/>
      <c r="MKP40" s="66"/>
      <c r="MKQ40" s="66"/>
      <c r="MKR40" s="66"/>
      <c r="MKS40" s="66"/>
      <c r="MKT40" s="66"/>
      <c r="MKU40" s="66"/>
      <c r="MKV40" s="66"/>
      <c r="MKW40" s="66"/>
      <c r="MKX40" s="66"/>
      <c r="MKY40" s="66"/>
      <c r="MKZ40" s="66"/>
      <c r="MLA40" s="66"/>
      <c r="MLB40" s="66"/>
      <c r="MLC40" s="66"/>
      <c r="MLD40" s="66"/>
      <c r="MLE40" s="66"/>
      <c r="MLF40" s="66"/>
      <c r="MLG40" s="66"/>
      <c r="MLH40" s="66"/>
      <c r="MLI40" s="66"/>
      <c r="MLJ40" s="66"/>
      <c r="MLK40" s="66"/>
      <c r="MLL40" s="66"/>
      <c r="MLM40" s="66"/>
      <c r="MLN40" s="66"/>
      <c r="MLO40" s="66"/>
      <c r="MLP40" s="66"/>
      <c r="MLQ40" s="66"/>
      <c r="MLR40" s="66"/>
      <c r="MLS40" s="66"/>
      <c r="MLT40" s="66"/>
      <c r="MLU40" s="66"/>
      <c r="MLV40" s="66"/>
      <c r="MLW40" s="66"/>
      <c r="MLX40" s="66"/>
      <c r="MLY40" s="66"/>
      <c r="MLZ40" s="66"/>
      <c r="MMA40" s="66"/>
      <c r="MMB40" s="66"/>
      <c r="MMC40" s="66"/>
      <c r="MMD40" s="66"/>
      <c r="MME40" s="66"/>
      <c r="MMF40" s="66"/>
      <c r="MMG40" s="66"/>
      <c r="MMH40" s="66"/>
      <c r="MMI40" s="66"/>
      <c r="MMJ40" s="66"/>
      <c r="MMK40" s="66"/>
      <c r="MML40" s="66"/>
      <c r="MMM40" s="66"/>
      <c r="MMN40" s="66"/>
      <c r="MMO40" s="66"/>
      <c r="MMP40" s="66"/>
      <c r="MMQ40" s="66"/>
      <c r="MMR40" s="66"/>
      <c r="MMS40" s="66"/>
      <c r="MMT40" s="66"/>
      <c r="MMU40" s="66"/>
      <c r="MMV40" s="66"/>
      <c r="MMW40" s="66"/>
      <c r="MMX40" s="66"/>
      <c r="MMY40" s="66"/>
      <c r="MMZ40" s="66"/>
      <c r="MNA40" s="66"/>
      <c r="MNB40" s="66"/>
      <c r="MNC40" s="66"/>
      <c r="MND40" s="66"/>
      <c r="MNE40" s="66"/>
      <c r="MNF40" s="66"/>
      <c r="MNG40" s="66"/>
      <c r="MNH40" s="66"/>
      <c r="MNI40" s="66"/>
      <c r="MNJ40" s="66"/>
      <c r="MNK40" s="66"/>
      <c r="MNL40" s="66"/>
      <c r="MNM40" s="66"/>
      <c r="MNN40" s="66"/>
      <c r="MNO40" s="66"/>
      <c r="MNP40" s="66"/>
      <c r="MNQ40" s="66"/>
      <c r="MNR40" s="66"/>
      <c r="MNS40" s="66"/>
      <c r="MNT40" s="66"/>
      <c r="MNU40" s="66"/>
      <c r="MNV40" s="66"/>
      <c r="MNW40" s="66"/>
      <c r="MNX40" s="66"/>
      <c r="MNY40" s="66"/>
      <c r="MNZ40" s="66"/>
      <c r="MOA40" s="66"/>
      <c r="MOB40" s="66"/>
      <c r="MOC40" s="66"/>
      <c r="MOD40" s="66"/>
      <c r="MOE40" s="66"/>
      <c r="MOF40" s="66"/>
      <c r="MOG40" s="66"/>
      <c r="MOH40" s="66"/>
      <c r="MOI40" s="66"/>
      <c r="MOJ40" s="66"/>
      <c r="MOK40" s="66"/>
      <c r="MOL40" s="66"/>
      <c r="MOM40" s="66"/>
      <c r="MON40" s="66"/>
      <c r="MOO40" s="66"/>
      <c r="MOP40" s="66"/>
      <c r="MOQ40" s="66"/>
      <c r="MOR40" s="66"/>
      <c r="MOS40" s="66"/>
      <c r="MOT40" s="66"/>
      <c r="MOU40" s="66"/>
      <c r="MOV40" s="66"/>
      <c r="MOW40" s="66"/>
      <c r="MOX40" s="66"/>
      <c r="MOY40" s="66"/>
      <c r="MOZ40" s="66"/>
      <c r="MPA40" s="66"/>
      <c r="MPB40" s="66"/>
      <c r="MPC40" s="66"/>
      <c r="MPD40" s="66"/>
      <c r="MPE40" s="66"/>
      <c r="MPF40" s="66"/>
      <c r="MPG40" s="66"/>
      <c r="MPH40" s="66"/>
      <c r="MPI40" s="66"/>
      <c r="MPJ40" s="66"/>
      <c r="MPK40" s="66"/>
      <c r="MPL40" s="66"/>
      <c r="MPM40" s="66"/>
      <c r="MPN40" s="66"/>
      <c r="MPO40" s="66"/>
      <c r="MPP40" s="66"/>
      <c r="MPQ40" s="66"/>
      <c r="MPR40" s="66"/>
      <c r="MPS40" s="66"/>
      <c r="MPT40" s="66"/>
      <c r="MPU40" s="66"/>
      <c r="MPV40" s="66"/>
      <c r="MPW40" s="66"/>
      <c r="MPX40" s="66"/>
      <c r="MPY40" s="66"/>
      <c r="MPZ40" s="66"/>
      <c r="MQA40" s="66"/>
      <c r="MQB40" s="66"/>
      <c r="MQC40" s="66"/>
      <c r="MQD40" s="66"/>
      <c r="MQE40" s="66"/>
      <c r="MQF40" s="66"/>
      <c r="MQG40" s="66"/>
      <c r="MQH40" s="66"/>
      <c r="MQI40" s="66"/>
      <c r="MQJ40" s="66"/>
      <c r="MQK40" s="66"/>
      <c r="MQL40" s="66"/>
      <c r="MQM40" s="66"/>
      <c r="MQN40" s="66"/>
      <c r="MQO40" s="66"/>
      <c r="MQP40" s="66"/>
      <c r="MQQ40" s="66"/>
      <c r="MQR40" s="66"/>
      <c r="MQS40" s="66"/>
      <c r="MQT40" s="66"/>
      <c r="MQU40" s="66"/>
      <c r="MQV40" s="66"/>
      <c r="MQW40" s="66"/>
      <c r="MQX40" s="66"/>
      <c r="MQY40" s="66"/>
      <c r="MQZ40" s="66"/>
      <c r="MRA40" s="66"/>
      <c r="MRB40" s="66"/>
      <c r="MRC40" s="66"/>
      <c r="MRD40" s="66"/>
      <c r="MRE40" s="66"/>
      <c r="MRF40" s="66"/>
      <c r="MRG40" s="66"/>
      <c r="MRH40" s="66"/>
      <c r="MRI40" s="66"/>
      <c r="MRJ40" s="66"/>
      <c r="MRK40" s="66"/>
      <c r="MRL40" s="66"/>
      <c r="MRM40" s="66"/>
      <c r="MRN40" s="66"/>
      <c r="MRO40" s="66"/>
      <c r="MRP40" s="66"/>
      <c r="MRQ40" s="66"/>
      <c r="MRR40" s="66"/>
      <c r="MRS40" s="66"/>
      <c r="MRT40" s="66"/>
      <c r="MRU40" s="66"/>
      <c r="MRV40" s="66"/>
      <c r="MRW40" s="66"/>
      <c r="MRX40" s="66"/>
      <c r="MRY40" s="66"/>
      <c r="MRZ40" s="66"/>
      <c r="MSA40" s="66"/>
      <c r="MSB40" s="66"/>
      <c r="MSC40" s="66"/>
      <c r="MSD40" s="66"/>
      <c r="MSE40" s="66"/>
      <c r="MSF40" s="66"/>
      <c r="MSG40" s="66"/>
      <c r="MSH40" s="66"/>
      <c r="MSI40" s="66"/>
      <c r="MSJ40" s="66"/>
      <c r="MSK40" s="66"/>
      <c r="MSL40" s="66"/>
      <c r="MSM40" s="66"/>
      <c r="MSN40" s="66"/>
      <c r="MSO40" s="66"/>
      <c r="MSP40" s="66"/>
      <c r="MSQ40" s="66"/>
      <c r="MSR40" s="66"/>
      <c r="MSS40" s="66"/>
      <c r="MST40" s="66"/>
      <c r="MSU40" s="66"/>
      <c r="MSV40" s="66"/>
      <c r="MSW40" s="66"/>
      <c r="MSX40" s="66"/>
      <c r="MSY40" s="66"/>
      <c r="MSZ40" s="66"/>
      <c r="MTA40" s="66"/>
      <c r="MTB40" s="66"/>
      <c r="MTC40" s="66"/>
      <c r="MTD40" s="66"/>
      <c r="MTE40" s="66"/>
      <c r="MTF40" s="66"/>
      <c r="MTG40" s="66"/>
      <c r="MTH40" s="66"/>
      <c r="MTI40" s="66"/>
      <c r="MTJ40" s="66"/>
      <c r="MTK40" s="66"/>
      <c r="MTL40" s="66"/>
      <c r="MTM40" s="66"/>
      <c r="MTN40" s="66"/>
      <c r="MTO40" s="66"/>
      <c r="MTP40" s="66"/>
      <c r="MTQ40" s="66"/>
      <c r="MTR40" s="66"/>
      <c r="MTS40" s="66"/>
      <c r="MTT40" s="66"/>
      <c r="MTU40" s="66"/>
      <c r="MTV40" s="66"/>
      <c r="MTW40" s="66"/>
      <c r="MTX40" s="66"/>
      <c r="MTY40" s="66"/>
      <c r="MTZ40" s="66"/>
      <c r="MUA40" s="66"/>
      <c r="MUB40" s="66"/>
      <c r="MUC40" s="66"/>
      <c r="MUD40" s="66"/>
      <c r="MUE40" s="66"/>
      <c r="MUF40" s="66"/>
      <c r="MUG40" s="66"/>
      <c r="MUH40" s="66"/>
      <c r="MUI40" s="66"/>
      <c r="MUJ40" s="66"/>
      <c r="MUK40" s="66"/>
      <c r="MUL40" s="66"/>
      <c r="MUM40" s="66"/>
      <c r="MUN40" s="66"/>
      <c r="MUO40" s="66"/>
      <c r="MUP40" s="66"/>
      <c r="MUQ40" s="66"/>
      <c r="MUR40" s="66"/>
      <c r="MUS40" s="66"/>
      <c r="MUT40" s="66"/>
      <c r="MUU40" s="66"/>
      <c r="MUV40" s="66"/>
      <c r="MUW40" s="66"/>
      <c r="MUX40" s="66"/>
      <c r="MUY40" s="66"/>
      <c r="MUZ40" s="66"/>
      <c r="MVA40" s="66"/>
      <c r="MVB40" s="66"/>
      <c r="MVC40" s="66"/>
      <c r="MVD40" s="66"/>
      <c r="MVE40" s="66"/>
      <c r="MVF40" s="66"/>
      <c r="MVG40" s="66"/>
      <c r="MVH40" s="66"/>
      <c r="MVI40" s="66"/>
      <c r="MVJ40" s="66"/>
      <c r="MVK40" s="66"/>
      <c r="MVL40" s="66"/>
      <c r="MVM40" s="66"/>
      <c r="MVN40" s="66"/>
      <c r="MVO40" s="66"/>
      <c r="MVP40" s="66"/>
      <c r="MVQ40" s="66"/>
      <c r="MVR40" s="66"/>
      <c r="MVS40" s="66"/>
      <c r="MVT40" s="66"/>
      <c r="MVU40" s="66"/>
      <c r="MVV40" s="66"/>
      <c r="MVW40" s="66"/>
      <c r="MVX40" s="66"/>
      <c r="MVY40" s="66"/>
      <c r="MVZ40" s="66"/>
      <c r="MWA40" s="66"/>
      <c r="MWB40" s="66"/>
      <c r="MWC40" s="66"/>
      <c r="MWD40" s="66"/>
      <c r="MWE40" s="66"/>
      <c r="MWF40" s="66"/>
      <c r="MWG40" s="66"/>
      <c r="MWH40" s="66"/>
      <c r="MWI40" s="66"/>
      <c r="MWJ40" s="66"/>
      <c r="MWK40" s="66"/>
      <c r="MWL40" s="66"/>
      <c r="MWM40" s="66"/>
      <c r="MWN40" s="66"/>
      <c r="MWO40" s="66"/>
      <c r="MWP40" s="66"/>
      <c r="MWQ40" s="66"/>
      <c r="MWR40" s="66"/>
      <c r="MWS40" s="66"/>
      <c r="MWT40" s="66"/>
      <c r="MWU40" s="66"/>
      <c r="MWV40" s="66"/>
      <c r="MWW40" s="66"/>
      <c r="MWX40" s="66"/>
      <c r="MWY40" s="66"/>
      <c r="MWZ40" s="66"/>
      <c r="MXA40" s="66"/>
      <c r="MXB40" s="66"/>
      <c r="MXC40" s="66"/>
      <c r="MXD40" s="66"/>
      <c r="MXE40" s="66"/>
      <c r="MXF40" s="66"/>
      <c r="MXG40" s="66"/>
      <c r="MXH40" s="66"/>
      <c r="MXI40" s="66"/>
      <c r="MXJ40" s="66"/>
      <c r="MXK40" s="66"/>
      <c r="MXL40" s="66"/>
      <c r="MXM40" s="66"/>
      <c r="MXN40" s="66"/>
      <c r="MXO40" s="66"/>
      <c r="MXP40" s="66"/>
      <c r="MXQ40" s="66"/>
      <c r="MXR40" s="66"/>
      <c r="MXS40" s="66"/>
      <c r="MXT40" s="66"/>
      <c r="MXU40" s="66"/>
      <c r="MXV40" s="66"/>
      <c r="MXW40" s="66"/>
      <c r="MXX40" s="66"/>
      <c r="MXY40" s="66"/>
      <c r="MXZ40" s="66"/>
      <c r="MYA40" s="66"/>
      <c r="MYB40" s="66"/>
      <c r="MYC40" s="66"/>
      <c r="MYD40" s="66"/>
      <c r="MYE40" s="66"/>
      <c r="MYF40" s="66"/>
      <c r="MYG40" s="66"/>
      <c r="MYH40" s="66"/>
      <c r="MYI40" s="66"/>
      <c r="MYJ40" s="66"/>
      <c r="MYK40" s="66"/>
      <c r="MYL40" s="66"/>
      <c r="MYM40" s="66"/>
      <c r="MYN40" s="66"/>
      <c r="MYO40" s="66"/>
      <c r="MYP40" s="66"/>
      <c r="MYQ40" s="66"/>
      <c r="MYR40" s="66"/>
      <c r="MYS40" s="66"/>
      <c r="MYT40" s="66"/>
      <c r="MYU40" s="66"/>
      <c r="MYV40" s="66"/>
      <c r="MYW40" s="66"/>
      <c r="MYX40" s="66"/>
      <c r="MYY40" s="66"/>
      <c r="MYZ40" s="66"/>
      <c r="MZA40" s="66"/>
      <c r="MZB40" s="66"/>
      <c r="MZC40" s="66"/>
      <c r="MZD40" s="66"/>
      <c r="MZE40" s="66"/>
      <c r="MZF40" s="66"/>
      <c r="MZG40" s="66"/>
      <c r="MZH40" s="66"/>
      <c r="MZI40" s="66"/>
      <c r="MZJ40" s="66"/>
      <c r="MZK40" s="66"/>
      <c r="MZL40" s="66"/>
      <c r="MZM40" s="66"/>
      <c r="MZN40" s="66"/>
      <c r="MZO40" s="66"/>
      <c r="MZP40" s="66"/>
      <c r="MZQ40" s="66"/>
      <c r="MZR40" s="66"/>
      <c r="MZS40" s="66"/>
      <c r="MZT40" s="66"/>
      <c r="MZU40" s="66"/>
      <c r="MZV40" s="66"/>
      <c r="MZW40" s="66"/>
      <c r="MZX40" s="66"/>
      <c r="MZY40" s="66"/>
      <c r="MZZ40" s="66"/>
      <c r="NAA40" s="66"/>
      <c r="NAB40" s="66"/>
      <c r="NAC40" s="66"/>
      <c r="NAD40" s="66"/>
      <c r="NAE40" s="66"/>
      <c r="NAF40" s="66"/>
      <c r="NAG40" s="66"/>
      <c r="NAH40" s="66"/>
      <c r="NAI40" s="66"/>
      <c r="NAJ40" s="66"/>
      <c r="NAK40" s="66"/>
      <c r="NAL40" s="66"/>
      <c r="NAM40" s="66"/>
      <c r="NAN40" s="66"/>
      <c r="NAO40" s="66"/>
      <c r="NAP40" s="66"/>
      <c r="NAQ40" s="66"/>
      <c r="NAR40" s="66"/>
      <c r="NAS40" s="66"/>
      <c r="NAT40" s="66"/>
      <c r="NAU40" s="66"/>
      <c r="NAV40" s="66"/>
      <c r="NAW40" s="66"/>
      <c r="NAX40" s="66"/>
      <c r="NAY40" s="66"/>
      <c r="NAZ40" s="66"/>
      <c r="NBA40" s="66"/>
      <c r="NBB40" s="66"/>
      <c r="NBC40" s="66"/>
      <c r="NBD40" s="66"/>
      <c r="NBE40" s="66"/>
      <c r="NBF40" s="66"/>
      <c r="NBG40" s="66"/>
      <c r="NBH40" s="66"/>
      <c r="NBI40" s="66"/>
      <c r="NBJ40" s="66"/>
      <c r="NBK40" s="66"/>
      <c r="NBL40" s="66"/>
      <c r="NBM40" s="66"/>
      <c r="NBN40" s="66"/>
      <c r="NBO40" s="66"/>
      <c r="NBP40" s="66"/>
      <c r="NBQ40" s="66"/>
      <c r="NBR40" s="66"/>
      <c r="NBS40" s="66"/>
      <c r="NBT40" s="66"/>
      <c r="NBU40" s="66"/>
      <c r="NBV40" s="66"/>
      <c r="NBW40" s="66"/>
      <c r="NBX40" s="66"/>
      <c r="NBY40" s="66"/>
      <c r="NBZ40" s="66"/>
      <c r="NCA40" s="66"/>
      <c r="NCB40" s="66"/>
      <c r="NCC40" s="66"/>
      <c r="NCD40" s="66"/>
      <c r="NCE40" s="66"/>
      <c r="NCF40" s="66"/>
      <c r="NCG40" s="66"/>
      <c r="NCH40" s="66"/>
      <c r="NCI40" s="66"/>
      <c r="NCJ40" s="66"/>
      <c r="NCK40" s="66"/>
      <c r="NCL40" s="66"/>
      <c r="NCM40" s="66"/>
      <c r="NCN40" s="66"/>
      <c r="NCO40" s="66"/>
      <c r="NCP40" s="66"/>
      <c r="NCQ40" s="66"/>
      <c r="NCR40" s="66"/>
      <c r="NCS40" s="66"/>
      <c r="NCT40" s="66"/>
      <c r="NCU40" s="66"/>
      <c r="NCV40" s="66"/>
      <c r="NCW40" s="66"/>
      <c r="NCX40" s="66"/>
      <c r="NCY40" s="66"/>
      <c r="NCZ40" s="66"/>
      <c r="NDA40" s="66"/>
      <c r="NDB40" s="66"/>
      <c r="NDC40" s="66"/>
      <c r="NDD40" s="66"/>
      <c r="NDE40" s="66"/>
      <c r="NDF40" s="66"/>
      <c r="NDG40" s="66"/>
      <c r="NDH40" s="66"/>
      <c r="NDI40" s="66"/>
      <c r="NDJ40" s="66"/>
      <c r="NDK40" s="66"/>
      <c r="NDL40" s="66"/>
      <c r="NDM40" s="66"/>
      <c r="NDN40" s="66"/>
      <c r="NDO40" s="66"/>
      <c r="NDP40" s="66"/>
      <c r="NDQ40" s="66"/>
      <c r="NDR40" s="66"/>
      <c r="NDS40" s="66"/>
      <c r="NDT40" s="66"/>
      <c r="NDU40" s="66"/>
      <c r="NDV40" s="66"/>
      <c r="NDW40" s="66"/>
      <c r="NDX40" s="66"/>
      <c r="NDY40" s="66"/>
      <c r="NDZ40" s="66"/>
      <c r="NEA40" s="66"/>
      <c r="NEB40" s="66"/>
      <c r="NEC40" s="66"/>
      <c r="NED40" s="66"/>
      <c r="NEE40" s="66"/>
      <c r="NEF40" s="66"/>
      <c r="NEG40" s="66"/>
      <c r="NEH40" s="66"/>
      <c r="NEI40" s="66"/>
      <c r="NEJ40" s="66"/>
      <c r="NEK40" s="66"/>
      <c r="NEL40" s="66"/>
      <c r="NEM40" s="66"/>
      <c r="NEN40" s="66"/>
      <c r="NEO40" s="66"/>
      <c r="NEP40" s="66"/>
      <c r="NEQ40" s="66"/>
      <c r="NER40" s="66"/>
      <c r="NES40" s="66"/>
      <c r="NET40" s="66"/>
      <c r="NEU40" s="66"/>
      <c r="NEV40" s="66"/>
      <c r="NEW40" s="66"/>
      <c r="NEX40" s="66"/>
      <c r="NEY40" s="66"/>
      <c r="NEZ40" s="66"/>
      <c r="NFA40" s="66"/>
      <c r="NFB40" s="66"/>
      <c r="NFC40" s="66"/>
      <c r="NFD40" s="66"/>
      <c r="NFE40" s="66"/>
      <c r="NFF40" s="66"/>
      <c r="NFG40" s="66"/>
      <c r="NFH40" s="66"/>
      <c r="NFI40" s="66"/>
      <c r="NFJ40" s="66"/>
      <c r="NFK40" s="66"/>
      <c r="NFL40" s="66"/>
      <c r="NFM40" s="66"/>
      <c r="NFN40" s="66"/>
      <c r="NFO40" s="66"/>
      <c r="NFP40" s="66"/>
      <c r="NFQ40" s="66"/>
      <c r="NFR40" s="66"/>
      <c r="NFS40" s="66"/>
      <c r="NFT40" s="66"/>
      <c r="NFU40" s="66"/>
      <c r="NFV40" s="66"/>
      <c r="NFW40" s="66"/>
      <c r="NFX40" s="66"/>
      <c r="NFY40" s="66"/>
      <c r="NFZ40" s="66"/>
      <c r="NGA40" s="66"/>
      <c r="NGB40" s="66"/>
      <c r="NGC40" s="66"/>
      <c r="NGD40" s="66"/>
      <c r="NGE40" s="66"/>
      <c r="NGF40" s="66"/>
      <c r="NGG40" s="66"/>
      <c r="NGH40" s="66"/>
      <c r="NGI40" s="66"/>
      <c r="NGJ40" s="66"/>
      <c r="NGK40" s="66"/>
      <c r="NGL40" s="66"/>
      <c r="NGM40" s="66"/>
      <c r="NGN40" s="66"/>
      <c r="NGO40" s="66"/>
      <c r="NGP40" s="66"/>
      <c r="NGQ40" s="66"/>
      <c r="NGR40" s="66"/>
      <c r="NGS40" s="66"/>
      <c r="NGT40" s="66"/>
      <c r="NGU40" s="66"/>
      <c r="NGV40" s="66"/>
      <c r="NGW40" s="66"/>
      <c r="NGX40" s="66"/>
      <c r="NGY40" s="66"/>
      <c r="NGZ40" s="66"/>
      <c r="NHA40" s="66"/>
      <c r="NHB40" s="66"/>
      <c r="NHC40" s="66"/>
      <c r="NHD40" s="66"/>
      <c r="NHE40" s="66"/>
      <c r="NHF40" s="66"/>
      <c r="NHG40" s="66"/>
      <c r="NHH40" s="66"/>
      <c r="NHI40" s="66"/>
      <c r="NHJ40" s="66"/>
      <c r="NHK40" s="66"/>
      <c r="NHL40" s="66"/>
      <c r="NHM40" s="66"/>
      <c r="NHN40" s="66"/>
      <c r="NHO40" s="66"/>
      <c r="NHP40" s="66"/>
      <c r="NHQ40" s="66"/>
      <c r="NHR40" s="66"/>
      <c r="NHS40" s="66"/>
      <c r="NHT40" s="66"/>
      <c r="NHU40" s="66"/>
      <c r="NHV40" s="66"/>
      <c r="NHW40" s="66"/>
      <c r="NHX40" s="66"/>
      <c r="NHY40" s="66"/>
      <c r="NHZ40" s="66"/>
      <c r="NIA40" s="66"/>
      <c r="NIB40" s="66"/>
      <c r="NIC40" s="66"/>
      <c r="NID40" s="66"/>
      <c r="NIE40" s="66"/>
      <c r="NIF40" s="66"/>
      <c r="NIG40" s="66"/>
      <c r="NIH40" s="66"/>
      <c r="NII40" s="66"/>
      <c r="NIJ40" s="66"/>
      <c r="NIK40" s="66"/>
      <c r="NIL40" s="66"/>
      <c r="NIM40" s="66"/>
      <c r="NIN40" s="66"/>
      <c r="NIO40" s="66"/>
      <c r="NIP40" s="66"/>
      <c r="NIQ40" s="66"/>
      <c r="NIR40" s="66"/>
      <c r="NIS40" s="66"/>
      <c r="NIT40" s="66"/>
      <c r="NIU40" s="66"/>
      <c r="NIV40" s="66"/>
      <c r="NIW40" s="66"/>
      <c r="NIX40" s="66"/>
      <c r="NIY40" s="66"/>
      <c r="NIZ40" s="66"/>
      <c r="NJA40" s="66"/>
      <c r="NJB40" s="66"/>
      <c r="NJC40" s="66"/>
      <c r="NJD40" s="66"/>
      <c r="NJE40" s="66"/>
      <c r="NJF40" s="66"/>
      <c r="NJG40" s="66"/>
      <c r="NJH40" s="66"/>
      <c r="NJI40" s="66"/>
      <c r="NJJ40" s="66"/>
      <c r="NJK40" s="66"/>
      <c r="NJL40" s="66"/>
      <c r="NJM40" s="66"/>
      <c r="NJN40" s="66"/>
      <c r="NJO40" s="66"/>
      <c r="NJP40" s="66"/>
      <c r="NJQ40" s="66"/>
      <c r="NJR40" s="66"/>
      <c r="NJS40" s="66"/>
      <c r="NJT40" s="66"/>
      <c r="NJU40" s="66"/>
      <c r="NJV40" s="66"/>
      <c r="NJW40" s="66"/>
      <c r="NJX40" s="66"/>
      <c r="NJY40" s="66"/>
      <c r="NJZ40" s="66"/>
      <c r="NKA40" s="66"/>
      <c r="NKB40" s="66"/>
      <c r="NKC40" s="66"/>
      <c r="NKD40" s="66"/>
      <c r="NKE40" s="66"/>
      <c r="NKF40" s="66"/>
      <c r="NKG40" s="66"/>
      <c r="NKH40" s="66"/>
      <c r="NKI40" s="66"/>
      <c r="NKJ40" s="66"/>
      <c r="NKK40" s="66"/>
      <c r="NKL40" s="66"/>
      <c r="NKM40" s="66"/>
      <c r="NKN40" s="66"/>
      <c r="NKO40" s="66"/>
      <c r="NKP40" s="66"/>
      <c r="NKQ40" s="66"/>
      <c r="NKR40" s="66"/>
      <c r="NKS40" s="66"/>
      <c r="NKT40" s="66"/>
      <c r="NKU40" s="66"/>
      <c r="NKV40" s="66"/>
      <c r="NKW40" s="66"/>
      <c r="NKX40" s="66"/>
      <c r="NKY40" s="66"/>
      <c r="NKZ40" s="66"/>
      <c r="NLA40" s="66"/>
      <c r="NLB40" s="66"/>
      <c r="NLC40" s="66"/>
      <c r="NLD40" s="66"/>
      <c r="NLE40" s="66"/>
      <c r="NLF40" s="66"/>
      <c r="NLG40" s="66"/>
      <c r="NLH40" s="66"/>
      <c r="NLI40" s="66"/>
      <c r="NLJ40" s="66"/>
      <c r="NLK40" s="66"/>
      <c r="NLL40" s="66"/>
      <c r="NLM40" s="66"/>
      <c r="NLN40" s="66"/>
      <c r="NLO40" s="66"/>
      <c r="NLP40" s="66"/>
      <c r="NLQ40" s="66"/>
      <c r="NLR40" s="66"/>
      <c r="NLS40" s="66"/>
      <c r="NLT40" s="66"/>
      <c r="NLU40" s="66"/>
      <c r="NLV40" s="66"/>
      <c r="NLW40" s="66"/>
      <c r="NLX40" s="66"/>
      <c r="NLY40" s="66"/>
      <c r="NLZ40" s="66"/>
      <c r="NMA40" s="66"/>
      <c r="NMB40" s="66"/>
      <c r="NMC40" s="66"/>
      <c r="NMD40" s="66"/>
      <c r="NME40" s="66"/>
      <c r="NMF40" s="66"/>
      <c r="NMG40" s="66"/>
      <c r="NMH40" s="66"/>
      <c r="NMI40" s="66"/>
      <c r="NMJ40" s="66"/>
      <c r="NMK40" s="66"/>
      <c r="NML40" s="66"/>
      <c r="NMM40" s="66"/>
      <c r="NMN40" s="66"/>
      <c r="NMO40" s="66"/>
      <c r="NMP40" s="66"/>
      <c r="NMQ40" s="66"/>
      <c r="NMR40" s="66"/>
      <c r="NMS40" s="66"/>
      <c r="NMT40" s="66"/>
      <c r="NMU40" s="66"/>
      <c r="NMV40" s="66"/>
      <c r="NMW40" s="66"/>
      <c r="NMX40" s="66"/>
      <c r="NMY40" s="66"/>
      <c r="NMZ40" s="66"/>
      <c r="NNA40" s="66"/>
      <c r="NNB40" s="66"/>
      <c r="NNC40" s="66"/>
      <c r="NND40" s="66"/>
      <c r="NNE40" s="66"/>
      <c r="NNF40" s="66"/>
      <c r="NNG40" s="66"/>
      <c r="NNH40" s="66"/>
      <c r="NNI40" s="66"/>
      <c r="NNJ40" s="66"/>
      <c r="NNK40" s="66"/>
      <c r="NNL40" s="66"/>
      <c r="NNM40" s="66"/>
      <c r="NNN40" s="66"/>
      <c r="NNO40" s="66"/>
      <c r="NNP40" s="66"/>
      <c r="NNQ40" s="66"/>
      <c r="NNR40" s="66"/>
      <c r="NNS40" s="66"/>
      <c r="NNT40" s="66"/>
      <c r="NNU40" s="66"/>
      <c r="NNV40" s="66"/>
      <c r="NNW40" s="66"/>
      <c r="NNX40" s="66"/>
      <c r="NNY40" s="66"/>
      <c r="NNZ40" s="66"/>
      <c r="NOA40" s="66"/>
      <c r="NOB40" s="66"/>
      <c r="NOC40" s="66"/>
      <c r="NOD40" s="66"/>
      <c r="NOE40" s="66"/>
      <c r="NOF40" s="66"/>
      <c r="NOG40" s="66"/>
      <c r="NOH40" s="66"/>
      <c r="NOI40" s="66"/>
      <c r="NOJ40" s="66"/>
      <c r="NOK40" s="66"/>
      <c r="NOL40" s="66"/>
      <c r="NOM40" s="66"/>
      <c r="NON40" s="66"/>
      <c r="NOO40" s="66"/>
      <c r="NOP40" s="66"/>
      <c r="NOQ40" s="66"/>
      <c r="NOR40" s="66"/>
      <c r="NOS40" s="66"/>
      <c r="NOT40" s="66"/>
      <c r="NOU40" s="66"/>
      <c r="NOV40" s="66"/>
      <c r="NOW40" s="66"/>
      <c r="NOX40" s="66"/>
      <c r="NOY40" s="66"/>
      <c r="NOZ40" s="66"/>
      <c r="NPA40" s="66"/>
      <c r="NPB40" s="66"/>
      <c r="NPC40" s="66"/>
      <c r="NPD40" s="66"/>
      <c r="NPE40" s="66"/>
      <c r="NPF40" s="66"/>
      <c r="NPG40" s="66"/>
      <c r="NPH40" s="66"/>
      <c r="NPI40" s="66"/>
      <c r="NPJ40" s="66"/>
      <c r="NPK40" s="66"/>
      <c r="NPL40" s="66"/>
      <c r="NPM40" s="66"/>
      <c r="NPN40" s="66"/>
      <c r="NPO40" s="66"/>
      <c r="NPP40" s="66"/>
      <c r="NPQ40" s="66"/>
      <c r="NPR40" s="66"/>
      <c r="NPS40" s="66"/>
      <c r="NPT40" s="66"/>
      <c r="NPU40" s="66"/>
      <c r="NPV40" s="66"/>
      <c r="NPW40" s="66"/>
      <c r="NPX40" s="66"/>
      <c r="NPY40" s="66"/>
      <c r="NPZ40" s="66"/>
      <c r="NQA40" s="66"/>
      <c r="NQB40" s="66"/>
      <c r="NQC40" s="66"/>
      <c r="NQD40" s="66"/>
      <c r="NQE40" s="66"/>
      <c r="NQF40" s="66"/>
      <c r="NQG40" s="66"/>
      <c r="NQH40" s="66"/>
      <c r="NQI40" s="66"/>
      <c r="NQJ40" s="66"/>
      <c r="NQK40" s="66"/>
      <c r="NQL40" s="66"/>
      <c r="NQM40" s="66"/>
      <c r="NQN40" s="66"/>
      <c r="NQO40" s="66"/>
      <c r="NQP40" s="66"/>
      <c r="NQQ40" s="66"/>
      <c r="NQR40" s="66"/>
      <c r="NQS40" s="66"/>
      <c r="NQT40" s="66"/>
      <c r="NQU40" s="66"/>
      <c r="NQV40" s="66"/>
      <c r="NQW40" s="66"/>
      <c r="NQX40" s="66"/>
      <c r="NQY40" s="66"/>
      <c r="NQZ40" s="66"/>
      <c r="NRA40" s="66"/>
      <c r="NRB40" s="66"/>
      <c r="NRC40" s="66"/>
      <c r="NRD40" s="66"/>
      <c r="NRE40" s="66"/>
      <c r="NRF40" s="66"/>
      <c r="NRG40" s="66"/>
      <c r="NRH40" s="66"/>
      <c r="NRI40" s="66"/>
      <c r="NRJ40" s="66"/>
      <c r="NRK40" s="66"/>
      <c r="NRL40" s="66"/>
      <c r="NRM40" s="66"/>
      <c r="NRN40" s="66"/>
      <c r="NRO40" s="66"/>
      <c r="NRP40" s="66"/>
      <c r="NRQ40" s="66"/>
      <c r="NRR40" s="66"/>
      <c r="NRS40" s="66"/>
      <c r="NRT40" s="66"/>
      <c r="NRU40" s="66"/>
      <c r="NRV40" s="66"/>
      <c r="NRW40" s="66"/>
      <c r="NRX40" s="66"/>
      <c r="NRY40" s="66"/>
      <c r="NRZ40" s="66"/>
      <c r="NSA40" s="66"/>
      <c r="NSB40" s="66"/>
      <c r="NSC40" s="66"/>
      <c r="NSD40" s="66"/>
      <c r="NSE40" s="66"/>
      <c r="NSF40" s="66"/>
      <c r="NSG40" s="66"/>
      <c r="NSH40" s="66"/>
      <c r="NSI40" s="66"/>
      <c r="NSJ40" s="66"/>
      <c r="NSK40" s="66"/>
      <c r="NSL40" s="66"/>
      <c r="NSM40" s="66"/>
      <c r="NSN40" s="66"/>
      <c r="NSO40" s="66"/>
      <c r="NSP40" s="66"/>
      <c r="NSQ40" s="66"/>
      <c r="NSR40" s="66"/>
      <c r="NSS40" s="66"/>
      <c r="NST40" s="66"/>
      <c r="NSU40" s="66"/>
      <c r="NSV40" s="66"/>
      <c r="NSW40" s="66"/>
      <c r="NSX40" s="66"/>
      <c r="NSY40" s="66"/>
      <c r="NSZ40" s="66"/>
      <c r="NTA40" s="66"/>
      <c r="NTB40" s="66"/>
      <c r="NTC40" s="66"/>
      <c r="NTD40" s="66"/>
      <c r="NTE40" s="66"/>
      <c r="NTF40" s="66"/>
      <c r="NTG40" s="66"/>
      <c r="NTH40" s="66"/>
      <c r="NTI40" s="66"/>
      <c r="NTJ40" s="66"/>
      <c r="NTK40" s="66"/>
      <c r="NTL40" s="66"/>
      <c r="NTM40" s="66"/>
      <c r="NTN40" s="66"/>
      <c r="NTO40" s="66"/>
      <c r="NTP40" s="66"/>
      <c r="NTQ40" s="66"/>
      <c r="NTR40" s="66"/>
      <c r="NTS40" s="66"/>
      <c r="NTT40" s="66"/>
      <c r="NTU40" s="66"/>
      <c r="NTV40" s="66"/>
      <c r="NTW40" s="66"/>
      <c r="NTX40" s="66"/>
      <c r="NTY40" s="66"/>
      <c r="NTZ40" s="66"/>
      <c r="NUA40" s="66"/>
      <c r="NUB40" s="66"/>
      <c r="NUC40" s="66"/>
      <c r="NUD40" s="66"/>
      <c r="NUE40" s="66"/>
      <c r="NUF40" s="66"/>
      <c r="NUG40" s="66"/>
      <c r="NUH40" s="66"/>
      <c r="NUI40" s="66"/>
      <c r="NUJ40" s="66"/>
      <c r="NUK40" s="66"/>
      <c r="NUL40" s="66"/>
      <c r="NUM40" s="66"/>
      <c r="NUN40" s="66"/>
      <c r="NUO40" s="66"/>
      <c r="NUP40" s="66"/>
      <c r="NUQ40" s="66"/>
      <c r="NUR40" s="66"/>
      <c r="NUS40" s="66"/>
      <c r="NUT40" s="66"/>
      <c r="NUU40" s="66"/>
      <c r="NUV40" s="66"/>
      <c r="NUW40" s="66"/>
      <c r="NUX40" s="66"/>
      <c r="NUY40" s="66"/>
      <c r="NUZ40" s="66"/>
      <c r="NVA40" s="66"/>
      <c r="NVB40" s="66"/>
      <c r="NVC40" s="66"/>
      <c r="NVD40" s="66"/>
      <c r="NVE40" s="66"/>
      <c r="NVF40" s="66"/>
      <c r="NVG40" s="66"/>
      <c r="NVH40" s="66"/>
      <c r="NVI40" s="66"/>
      <c r="NVJ40" s="66"/>
      <c r="NVK40" s="66"/>
      <c r="NVL40" s="66"/>
      <c r="NVM40" s="66"/>
      <c r="NVN40" s="66"/>
      <c r="NVO40" s="66"/>
      <c r="NVP40" s="66"/>
      <c r="NVQ40" s="66"/>
      <c r="NVR40" s="66"/>
      <c r="NVS40" s="66"/>
      <c r="NVT40" s="66"/>
      <c r="NVU40" s="66"/>
      <c r="NVV40" s="66"/>
      <c r="NVW40" s="66"/>
      <c r="NVX40" s="66"/>
      <c r="NVY40" s="66"/>
      <c r="NVZ40" s="66"/>
      <c r="NWA40" s="66"/>
      <c r="NWB40" s="66"/>
      <c r="NWC40" s="66"/>
      <c r="NWD40" s="66"/>
      <c r="NWE40" s="66"/>
      <c r="NWF40" s="66"/>
      <c r="NWG40" s="66"/>
      <c r="NWH40" s="66"/>
      <c r="NWI40" s="66"/>
      <c r="NWJ40" s="66"/>
      <c r="NWK40" s="66"/>
      <c r="NWL40" s="66"/>
      <c r="NWM40" s="66"/>
      <c r="NWN40" s="66"/>
      <c r="NWO40" s="66"/>
      <c r="NWP40" s="66"/>
      <c r="NWQ40" s="66"/>
      <c r="NWR40" s="66"/>
      <c r="NWS40" s="66"/>
      <c r="NWT40" s="66"/>
      <c r="NWU40" s="66"/>
      <c r="NWV40" s="66"/>
      <c r="NWW40" s="66"/>
      <c r="NWX40" s="66"/>
      <c r="NWY40" s="66"/>
      <c r="NWZ40" s="66"/>
      <c r="NXA40" s="66"/>
      <c r="NXB40" s="66"/>
      <c r="NXC40" s="66"/>
      <c r="NXD40" s="66"/>
      <c r="NXE40" s="66"/>
      <c r="NXF40" s="66"/>
      <c r="NXG40" s="66"/>
      <c r="NXH40" s="66"/>
      <c r="NXI40" s="66"/>
      <c r="NXJ40" s="66"/>
      <c r="NXK40" s="66"/>
      <c r="NXL40" s="66"/>
      <c r="NXM40" s="66"/>
      <c r="NXN40" s="66"/>
      <c r="NXO40" s="66"/>
      <c r="NXP40" s="66"/>
      <c r="NXQ40" s="66"/>
      <c r="NXR40" s="66"/>
      <c r="NXS40" s="66"/>
      <c r="NXT40" s="66"/>
      <c r="NXU40" s="66"/>
      <c r="NXV40" s="66"/>
      <c r="NXW40" s="66"/>
      <c r="NXX40" s="66"/>
      <c r="NXY40" s="66"/>
      <c r="NXZ40" s="66"/>
      <c r="NYA40" s="66"/>
      <c r="NYB40" s="66"/>
      <c r="NYC40" s="66"/>
      <c r="NYD40" s="66"/>
      <c r="NYE40" s="66"/>
      <c r="NYF40" s="66"/>
      <c r="NYG40" s="66"/>
      <c r="NYH40" s="66"/>
      <c r="NYI40" s="66"/>
      <c r="NYJ40" s="66"/>
      <c r="NYK40" s="66"/>
      <c r="NYL40" s="66"/>
      <c r="NYM40" s="66"/>
      <c r="NYN40" s="66"/>
      <c r="NYO40" s="66"/>
      <c r="NYP40" s="66"/>
      <c r="NYQ40" s="66"/>
      <c r="NYR40" s="66"/>
      <c r="NYS40" s="66"/>
      <c r="NYT40" s="66"/>
      <c r="NYU40" s="66"/>
      <c r="NYV40" s="66"/>
      <c r="NYW40" s="66"/>
      <c r="NYX40" s="66"/>
      <c r="NYY40" s="66"/>
      <c r="NYZ40" s="66"/>
      <c r="NZA40" s="66"/>
      <c r="NZB40" s="66"/>
      <c r="NZC40" s="66"/>
      <c r="NZD40" s="66"/>
      <c r="NZE40" s="66"/>
      <c r="NZF40" s="66"/>
      <c r="NZG40" s="66"/>
      <c r="NZH40" s="66"/>
      <c r="NZI40" s="66"/>
      <c r="NZJ40" s="66"/>
      <c r="NZK40" s="66"/>
      <c r="NZL40" s="66"/>
      <c r="NZM40" s="66"/>
      <c r="NZN40" s="66"/>
      <c r="NZO40" s="66"/>
      <c r="NZP40" s="66"/>
      <c r="NZQ40" s="66"/>
      <c r="NZR40" s="66"/>
      <c r="NZS40" s="66"/>
      <c r="NZT40" s="66"/>
      <c r="NZU40" s="66"/>
      <c r="NZV40" s="66"/>
      <c r="NZW40" s="66"/>
      <c r="NZX40" s="66"/>
      <c r="NZY40" s="66"/>
      <c r="NZZ40" s="66"/>
      <c r="OAA40" s="66"/>
      <c r="OAB40" s="66"/>
      <c r="OAC40" s="66"/>
      <c r="OAD40" s="66"/>
      <c r="OAE40" s="66"/>
      <c r="OAF40" s="66"/>
      <c r="OAG40" s="66"/>
      <c r="OAH40" s="66"/>
      <c r="OAI40" s="66"/>
      <c r="OAJ40" s="66"/>
      <c r="OAK40" s="66"/>
      <c r="OAL40" s="66"/>
      <c r="OAM40" s="66"/>
      <c r="OAN40" s="66"/>
      <c r="OAO40" s="66"/>
      <c r="OAP40" s="66"/>
      <c r="OAQ40" s="66"/>
      <c r="OAR40" s="66"/>
      <c r="OAS40" s="66"/>
      <c r="OAT40" s="66"/>
      <c r="OAU40" s="66"/>
      <c r="OAV40" s="66"/>
      <c r="OAW40" s="66"/>
      <c r="OAX40" s="66"/>
      <c r="OAY40" s="66"/>
      <c r="OAZ40" s="66"/>
      <c r="OBA40" s="66"/>
      <c r="OBB40" s="66"/>
      <c r="OBC40" s="66"/>
      <c r="OBD40" s="66"/>
      <c r="OBE40" s="66"/>
      <c r="OBF40" s="66"/>
      <c r="OBG40" s="66"/>
      <c r="OBH40" s="66"/>
      <c r="OBI40" s="66"/>
      <c r="OBJ40" s="66"/>
      <c r="OBK40" s="66"/>
      <c r="OBL40" s="66"/>
      <c r="OBM40" s="66"/>
      <c r="OBN40" s="66"/>
      <c r="OBO40" s="66"/>
      <c r="OBP40" s="66"/>
      <c r="OBQ40" s="66"/>
      <c r="OBR40" s="66"/>
      <c r="OBS40" s="66"/>
      <c r="OBT40" s="66"/>
      <c r="OBU40" s="66"/>
      <c r="OBV40" s="66"/>
      <c r="OBW40" s="66"/>
      <c r="OBX40" s="66"/>
      <c r="OBY40" s="66"/>
      <c r="OBZ40" s="66"/>
      <c r="OCA40" s="66"/>
      <c r="OCB40" s="66"/>
      <c r="OCC40" s="66"/>
      <c r="OCD40" s="66"/>
      <c r="OCE40" s="66"/>
      <c r="OCF40" s="66"/>
      <c r="OCG40" s="66"/>
      <c r="OCH40" s="66"/>
      <c r="OCI40" s="66"/>
      <c r="OCJ40" s="66"/>
      <c r="OCK40" s="66"/>
      <c r="OCL40" s="66"/>
      <c r="OCM40" s="66"/>
      <c r="OCN40" s="66"/>
      <c r="OCO40" s="66"/>
      <c r="OCP40" s="66"/>
      <c r="OCQ40" s="66"/>
      <c r="OCR40" s="66"/>
      <c r="OCS40" s="66"/>
      <c r="OCT40" s="66"/>
      <c r="OCU40" s="66"/>
      <c r="OCV40" s="66"/>
      <c r="OCW40" s="66"/>
      <c r="OCX40" s="66"/>
      <c r="OCY40" s="66"/>
      <c r="OCZ40" s="66"/>
      <c r="ODA40" s="66"/>
      <c r="ODB40" s="66"/>
      <c r="ODC40" s="66"/>
      <c r="ODD40" s="66"/>
      <c r="ODE40" s="66"/>
      <c r="ODF40" s="66"/>
      <c r="ODG40" s="66"/>
      <c r="ODH40" s="66"/>
      <c r="ODI40" s="66"/>
      <c r="ODJ40" s="66"/>
      <c r="ODK40" s="66"/>
      <c r="ODL40" s="66"/>
      <c r="ODM40" s="66"/>
      <c r="ODN40" s="66"/>
      <c r="ODO40" s="66"/>
      <c r="ODP40" s="66"/>
      <c r="ODQ40" s="66"/>
      <c r="ODR40" s="66"/>
      <c r="ODS40" s="66"/>
      <c r="ODT40" s="66"/>
      <c r="ODU40" s="66"/>
      <c r="ODV40" s="66"/>
      <c r="ODW40" s="66"/>
      <c r="ODX40" s="66"/>
      <c r="ODY40" s="66"/>
      <c r="ODZ40" s="66"/>
      <c r="OEA40" s="66"/>
      <c r="OEB40" s="66"/>
      <c r="OEC40" s="66"/>
      <c r="OED40" s="66"/>
      <c r="OEE40" s="66"/>
      <c r="OEF40" s="66"/>
      <c r="OEG40" s="66"/>
      <c r="OEH40" s="66"/>
      <c r="OEI40" s="66"/>
      <c r="OEJ40" s="66"/>
      <c r="OEK40" s="66"/>
      <c r="OEL40" s="66"/>
      <c r="OEM40" s="66"/>
      <c r="OEN40" s="66"/>
      <c r="OEO40" s="66"/>
      <c r="OEP40" s="66"/>
      <c r="OEQ40" s="66"/>
      <c r="OER40" s="66"/>
      <c r="OES40" s="66"/>
      <c r="OET40" s="66"/>
      <c r="OEU40" s="66"/>
      <c r="OEV40" s="66"/>
      <c r="OEW40" s="66"/>
      <c r="OEX40" s="66"/>
      <c r="OEY40" s="66"/>
      <c r="OEZ40" s="66"/>
      <c r="OFA40" s="66"/>
      <c r="OFB40" s="66"/>
      <c r="OFC40" s="66"/>
      <c r="OFD40" s="66"/>
      <c r="OFE40" s="66"/>
      <c r="OFF40" s="66"/>
      <c r="OFG40" s="66"/>
      <c r="OFH40" s="66"/>
      <c r="OFI40" s="66"/>
      <c r="OFJ40" s="66"/>
      <c r="OFK40" s="66"/>
      <c r="OFL40" s="66"/>
      <c r="OFM40" s="66"/>
      <c r="OFN40" s="66"/>
      <c r="OFO40" s="66"/>
      <c r="OFP40" s="66"/>
      <c r="OFQ40" s="66"/>
      <c r="OFR40" s="66"/>
      <c r="OFS40" s="66"/>
      <c r="OFT40" s="66"/>
      <c r="OFU40" s="66"/>
      <c r="OFV40" s="66"/>
      <c r="OFW40" s="66"/>
      <c r="OFX40" s="66"/>
      <c r="OFY40" s="66"/>
      <c r="OFZ40" s="66"/>
      <c r="OGA40" s="66"/>
      <c r="OGB40" s="66"/>
      <c r="OGC40" s="66"/>
      <c r="OGD40" s="66"/>
      <c r="OGE40" s="66"/>
      <c r="OGF40" s="66"/>
      <c r="OGG40" s="66"/>
      <c r="OGH40" s="66"/>
      <c r="OGI40" s="66"/>
      <c r="OGJ40" s="66"/>
      <c r="OGK40" s="66"/>
      <c r="OGL40" s="66"/>
      <c r="OGM40" s="66"/>
      <c r="OGN40" s="66"/>
      <c r="OGO40" s="66"/>
      <c r="OGP40" s="66"/>
      <c r="OGQ40" s="66"/>
      <c r="OGR40" s="66"/>
      <c r="OGS40" s="66"/>
      <c r="OGT40" s="66"/>
      <c r="OGU40" s="66"/>
      <c r="OGV40" s="66"/>
      <c r="OGW40" s="66"/>
      <c r="OGX40" s="66"/>
      <c r="OGY40" s="66"/>
      <c r="OGZ40" s="66"/>
      <c r="OHA40" s="66"/>
      <c r="OHB40" s="66"/>
      <c r="OHC40" s="66"/>
      <c r="OHD40" s="66"/>
      <c r="OHE40" s="66"/>
      <c r="OHF40" s="66"/>
      <c r="OHG40" s="66"/>
      <c r="OHH40" s="66"/>
      <c r="OHI40" s="66"/>
      <c r="OHJ40" s="66"/>
      <c r="OHK40" s="66"/>
      <c r="OHL40" s="66"/>
      <c r="OHM40" s="66"/>
      <c r="OHN40" s="66"/>
      <c r="OHO40" s="66"/>
      <c r="OHP40" s="66"/>
      <c r="OHQ40" s="66"/>
      <c r="OHR40" s="66"/>
      <c r="OHS40" s="66"/>
      <c r="OHT40" s="66"/>
      <c r="OHU40" s="66"/>
      <c r="OHV40" s="66"/>
      <c r="OHW40" s="66"/>
      <c r="OHX40" s="66"/>
      <c r="OHY40" s="66"/>
      <c r="OHZ40" s="66"/>
      <c r="OIA40" s="66"/>
      <c r="OIB40" s="66"/>
      <c r="OIC40" s="66"/>
      <c r="OID40" s="66"/>
      <c r="OIE40" s="66"/>
      <c r="OIF40" s="66"/>
      <c r="OIG40" s="66"/>
      <c r="OIH40" s="66"/>
      <c r="OII40" s="66"/>
      <c r="OIJ40" s="66"/>
      <c r="OIK40" s="66"/>
      <c r="OIL40" s="66"/>
      <c r="OIM40" s="66"/>
      <c r="OIN40" s="66"/>
      <c r="OIO40" s="66"/>
      <c r="OIP40" s="66"/>
      <c r="OIQ40" s="66"/>
      <c r="OIR40" s="66"/>
      <c r="OIS40" s="66"/>
      <c r="OIT40" s="66"/>
      <c r="OIU40" s="66"/>
      <c r="OIV40" s="66"/>
      <c r="OIW40" s="66"/>
      <c r="OIX40" s="66"/>
      <c r="OIY40" s="66"/>
      <c r="OIZ40" s="66"/>
      <c r="OJA40" s="66"/>
      <c r="OJB40" s="66"/>
      <c r="OJC40" s="66"/>
      <c r="OJD40" s="66"/>
      <c r="OJE40" s="66"/>
      <c r="OJF40" s="66"/>
      <c r="OJG40" s="66"/>
      <c r="OJH40" s="66"/>
      <c r="OJI40" s="66"/>
      <c r="OJJ40" s="66"/>
      <c r="OJK40" s="66"/>
      <c r="OJL40" s="66"/>
      <c r="OJM40" s="66"/>
      <c r="OJN40" s="66"/>
      <c r="OJO40" s="66"/>
      <c r="OJP40" s="66"/>
      <c r="OJQ40" s="66"/>
      <c r="OJR40" s="66"/>
      <c r="OJS40" s="66"/>
      <c r="OJT40" s="66"/>
      <c r="OJU40" s="66"/>
      <c r="OJV40" s="66"/>
      <c r="OJW40" s="66"/>
      <c r="OJX40" s="66"/>
      <c r="OJY40" s="66"/>
      <c r="OJZ40" s="66"/>
      <c r="OKA40" s="66"/>
      <c r="OKB40" s="66"/>
      <c r="OKC40" s="66"/>
      <c r="OKD40" s="66"/>
      <c r="OKE40" s="66"/>
      <c r="OKF40" s="66"/>
      <c r="OKG40" s="66"/>
      <c r="OKH40" s="66"/>
      <c r="OKI40" s="66"/>
      <c r="OKJ40" s="66"/>
      <c r="OKK40" s="66"/>
      <c r="OKL40" s="66"/>
      <c r="OKM40" s="66"/>
      <c r="OKN40" s="66"/>
      <c r="OKO40" s="66"/>
      <c r="OKP40" s="66"/>
      <c r="OKQ40" s="66"/>
      <c r="OKR40" s="66"/>
      <c r="OKS40" s="66"/>
      <c r="OKT40" s="66"/>
      <c r="OKU40" s="66"/>
      <c r="OKV40" s="66"/>
      <c r="OKW40" s="66"/>
      <c r="OKX40" s="66"/>
      <c r="OKY40" s="66"/>
      <c r="OKZ40" s="66"/>
      <c r="OLA40" s="66"/>
      <c r="OLB40" s="66"/>
      <c r="OLC40" s="66"/>
      <c r="OLD40" s="66"/>
      <c r="OLE40" s="66"/>
      <c r="OLF40" s="66"/>
      <c r="OLG40" s="66"/>
      <c r="OLH40" s="66"/>
      <c r="OLI40" s="66"/>
      <c r="OLJ40" s="66"/>
      <c r="OLK40" s="66"/>
      <c r="OLL40" s="66"/>
      <c r="OLM40" s="66"/>
      <c r="OLN40" s="66"/>
      <c r="OLO40" s="66"/>
      <c r="OLP40" s="66"/>
      <c r="OLQ40" s="66"/>
      <c r="OLR40" s="66"/>
      <c r="OLS40" s="66"/>
      <c r="OLT40" s="66"/>
      <c r="OLU40" s="66"/>
      <c r="OLV40" s="66"/>
      <c r="OLW40" s="66"/>
      <c r="OLX40" s="66"/>
      <c r="OLY40" s="66"/>
      <c r="OLZ40" s="66"/>
      <c r="OMA40" s="66"/>
      <c r="OMB40" s="66"/>
      <c r="OMC40" s="66"/>
      <c r="OMD40" s="66"/>
      <c r="OME40" s="66"/>
      <c r="OMF40" s="66"/>
      <c r="OMG40" s="66"/>
      <c r="OMH40" s="66"/>
      <c r="OMI40" s="66"/>
      <c r="OMJ40" s="66"/>
      <c r="OMK40" s="66"/>
      <c r="OML40" s="66"/>
      <c r="OMM40" s="66"/>
      <c r="OMN40" s="66"/>
      <c r="OMO40" s="66"/>
      <c r="OMP40" s="66"/>
      <c r="OMQ40" s="66"/>
      <c r="OMR40" s="66"/>
      <c r="OMS40" s="66"/>
      <c r="OMT40" s="66"/>
      <c r="OMU40" s="66"/>
      <c r="OMV40" s="66"/>
      <c r="OMW40" s="66"/>
      <c r="OMX40" s="66"/>
      <c r="OMY40" s="66"/>
      <c r="OMZ40" s="66"/>
      <c r="ONA40" s="66"/>
      <c r="ONB40" s="66"/>
      <c r="ONC40" s="66"/>
      <c r="OND40" s="66"/>
      <c r="ONE40" s="66"/>
      <c r="ONF40" s="66"/>
      <c r="ONG40" s="66"/>
      <c r="ONH40" s="66"/>
      <c r="ONI40" s="66"/>
      <c r="ONJ40" s="66"/>
      <c r="ONK40" s="66"/>
      <c r="ONL40" s="66"/>
      <c r="ONM40" s="66"/>
      <c r="ONN40" s="66"/>
      <c r="ONO40" s="66"/>
      <c r="ONP40" s="66"/>
      <c r="ONQ40" s="66"/>
      <c r="ONR40" s="66"/>
      <c r="ONS40" s="66"/>
      <c r="ONT40" s="66"/>
      <c r="ONU40" s="66"/>
      <c r="ONV40" s="66"/>
      <c r="ONW40" s="66"/>
      <c r="ONX40" s="66"/>
      <c r="ONY40" s="66"/>
      <c r="ONZ40" s="66"/>
      <c r="OOA40" s="66"/>
      <c r="OOB40" s="66"/>
      <c r="OOC40" s="66"/>
      <c r="OOD40" s="66"/>
      <c r="OOE40" s="66"/>
      <c r="OOF40" s="66"/>
      <c r="OOG40" s="66"/>
      <c r="OOH40" s="66"/>
      <c r="OOI40" s="66"/>
      <c r="OOJ40" s="66"/>
      <c r="OOK40" s="66"/>
      <c r="OOL40" s="66"/>
      <c r="OOM40" s="66"/>
      <c r="OON40" s="66"/>
      <c r="OOO40" s="66"/>
      <c r="OOP40" s="66"/>
      <c r="OOQ40" s="66"/>
      <c r="OOR40" s="66"/>
      <c r="OOS40" s="66"/>
      <c r="OOT40" s="66"/>
      <c r="OOU40" s="66"/>
      <c r="OOV40" s="66"/>
      <c r="OOW40" s="66"/>
      <c r="OOX40" s="66"/>
      <c r="OOY40" s="66"/>
      <c r="OOZ40" s="66"/>
      <c r="OPA40" s="66"/>
      <c r="OPB40" s="66"/>
      <c r="OPC40" s="66"/>
      <c r="OPD40" s="66"/>
      <c r="OPE40" s="66"/>
      <c r="OPF40" s="66"/>
      <c r="OPG40" s="66"/>
      <c r="OPH40" s="66"/>
      <c r="OPI40" s="66"/>
      <c r="OPJ40" s="66"/>
      <c r="OPK40" s="66"/>
      <c r="OPL40" s="66"/>
      <c r="OPM40" s="66"/>
      <c r="OPN40" s="66"/>
      <c r="OPO40" s="66"/>
      <c r="OPP40" s="66"/>
      <c r="OPQ40" s="66"/>
      <c r="OPR40" s="66"/>
      <c r="OPS40" s="66"/>
      <c r="OPT40" s="66"/>
      <c r="OPU40" s="66"/>
      <c r="OPV40" s="66"/>
      <c r="OPW40" s="66"/>
      <c r="OPX40" s="66"/>
      <c r="OPY40" s="66"/>
      <c r="OPZ40" s="66"/>
      <c r="OQA40" s="66"/>
      <c r="OQB40" s="66"/>
      <c r="OQC40" s="66"/>
      <c r="OQD40" s="66"/>
      <c r="OQE40" s="66"/>
      <c r="OQF40" s="66"/>
      <c r="OQG40" s="66"/>
      <c r="OQH40" s="66"/>
      <c r="OQI40" s="66"/>
      <c r="OQJ40" s="66"/>
      <c r="OQK40" s="66"/>
      <c r="OQL40" s="66"/>
      <c r="OQM40" s="66"/>
      <c r="OQN40" s="66"/>
      <c r="OQO40" s="66"/>
      <c r="OQP40" s="66"/>
      <c r="OQQ40" s="66"/>
      <c r="OQR40" s="66"/>
      <c r="OQS40" s="66"/>
      <c r="OQT40" s="66"/>
      <c r="OQU40" s="66"/>
      <c r="OQV40" s="66"/>
      <c r="OQW40" s="66"/>
      <c r="OQX40" s="66"/>
      <c r="OQY40" s="66"/>
      <c r="OQZ40" s="66"/>
      <c r="ORA40" s="66"/>
      <c r="ORB40" s="66"/>
      <c r="ORC40" s="66"/>
      <c r="ORD40" s="66"/>
      <c r="ORE40" s="66"/>
      <c r="ORF40" s="66"/>
      <c r="ORG40" s="66"/>
      <c r="ORH40" s="66"/>
      <c r="ORI40" s="66"/>
      <c r="ORJ40" s="66"/>
      <c r="ORK40" s="66"/>
      <c r="ORL40" s="66"/>
      <c r="ORM40" s="66"/>
      <c r="ORN40" s="66"/>
      <c r="ORO40" s="66"/>
      <c r="ORP40" s="66"/>
      <c r="ORQ40" s="66"/>
      <c r="ORR40" s="66"/>
      <c r="ORS40" s="66"/>
      <c r="ORT40" s="66"/>
      <c r="ORU40" s="66"/>
      <c r="ORV40" s="66"/>
      <c r="ORW40" s="66"/>
      <c r="ORX40" s="66"/>
      <c r="ORY40" s="66"/>
      <c r="ORZ40" s="66"/>
      <c r="OSA40" s="66"/>
      <c r="OSB40" s="66"/>
      <c r="OSC40" s="66"/>
      <c r="OSD40" s="66"/>
      <c r="OSE40" s="66"/>
      <c r="OSF40" s="66"/>
      <c r="OSG40" s="66"/>
      <c r="OSH40" s="66"/>
      <c r="OSI40" s="66"/>
      <c r="OSJ40" s="66"/>
      <c r="OSK40" s="66"/>
      <c r="OSL40" s="66"/>
      <c r="OSM40" s="66"/>
      <c r="OSN40" s="66"/>
      <c r="OSO40" s="66"/>
      <c r="OSP40" s="66"/>
      <c r="OSQ40" s="66"/>
      <c r="OSR40" s="66"/>
      <c r="OSS40" s="66"/>
      <c r="OST40" s="66"/>
      <c r="OSU40" s="66"/>
      <c r="OSV40" s="66"/>
      <c r="OSW40" s="66"/>
      <c r="OSX40" s="66"/>
      <c r="OSY40" s="66"/>
      <c r="OSZ40" s="66"/>
      <c r="OTA40" s="66"/>
      <c r="OTB40" s="66"/>
      <c r="OTC40" s="66"/>
      <c r="OTD40" s="66"/>
      <c r="OTE40" s="66"/>
      <c r="OTF40" s="66"/>
      <c r="OTG40" s="66"/>
      <c r="OTH40" s="66"/>
      <c r="OTI40" s="66"/>
      <c r="OTJ40" s="66"/>
      <c r="OTK40" s="66"/>
      <c r="OTL40" s="66"/>
      <c r="OTM40" s="66"/>
      <c r="OTN40" s="66"/>
      <c r="OTO40" s="66"/>
      <c r="OTP40" s="66"/>
      <c r="OTQ40" s="66"/>
      <c r="OTR40" s="66"/>
      <c r="OTS40" s="66"/>
      <c r="OTT40" s="66"/>
      <c r="OTU40" s="66"/>
      <c r="OTV40" s="66"/>
      <c r="OTW40" s="66"/>
      <c r="OTX40" s="66"/>
      <c r="OTY40" s="66"/>
      <c r="OTZ40" s="66"/>
      <c r="OUA40" s="66"/>
      <c r="OUB40" s="66"/>
      <c r="OUC40" s="66"/>
      <c r="OUD40" s="66"/>
      <c r="OUE40" s="66"/>
      <c r="OUF40" s="66"/>
      <c r="OUG40" s="66"/>
      <c r="OUH40" s="66"/>
      <c r="OUI40" s="66"/>
      <c r="OUJ40" s="66"/>
      <c r="OUK40" s="66"/>
      <c r="OUL40" s="66"/>
      <c r="OUM40" s="66"/>
      <c r="OUN40" s="66"/>
      <c r="OUO40" s="66"/>
      <c r="OUP40" s="66"/>
      <c r="OUQ40" s="66"/>
      <c r="OUR40" s="66"/>
      <c r="OUS40" s="66"/>
      <c r="OUT40" s="66"/>
      <c r="OUU40" s="66"/>
      <c r="OUV40" s="66"/>
      <c r="OUW40" s="66"/>
      <c r="OUX40" s="66"/>
      <c r="OUY40" s="66"/>
      <c r="OUZ40" s="66"/>
      <c r="OVA40" s="66"/>
      <c r="OVB40" s="66"/>
      <c r="OVC40" s="66"/>
      <c r="OVD40" s="66"/>
      <c r="OVE40" s="66"/>
      <c r="OVF40" s="66"/>
      <c r="OVG40" s="66"/>
      <c r="OVH40" s="66"/>
      <c r="OVI40" s="66"/>
      <c r="OVJ40" s="66"/>
      <c r="OVK40" s="66"/>
      <c r="OVL40" s="66"/>
      <c r="OVM40" s="66"/>
      <c r="OVN40" s="66"/>
      <c r="OVO40" s="66"/>
      <c r="OVP40" s="66"/>
      <c r="OVQ40" s="66"/>
      <c r="OVR40" s="66"/>
      <c r="OVS40" s="66"/>
      <c r="OVT40" s="66"/>
      <c r="OVU40" s="66"/>
      <c r="OVV40" s="66"/>
      <c r="OVW40" s="66"/>
      <c r="OVX40" s="66"/>
      <c r="OVY40" s="66"/>
      <c r="OVZ40" s="66"/>
      <c r="OWA40" s="66"/>
      <c r="OWB40" s="66"/>
      <c r="OWC40" s="66"/>
      <c r="OWD40" s="66"/>
      <c r="OWE40" s="66"/>
      <c r="OWF40" s="66"/>
      <c r="OWG40" s="66"/>
      <c r="OWH40" s="66"/>
      <c r="OWI40" s="66"/>
      <c r="OWJ40" s="66"/>
      <c r="OWK40" s="66"/>
      <c r="OWL40" s="66"/>
      <c r="OWM40" s="66"/>
      <c r="OWN40" s="66"/>
      <c r="OWO40" s="66"/>
      <c r="OWP40" s="66"/>
      <c r="OWQ40" s="66"/>
      <c r="OWR40" s="66"/>
      <c r="OWS40" s="66"/>
      <c r="OWT40" s="66"/>
      <c r="OWU40" s="66"/>
      <c r="OWV40" s="66"/>
      <c r="OWW40" s="66"/>
      <c r="OWX40" s="66"/>
      <c r="OWY40" s="66"/>
      <c r="OWZ40" s="66"/>
      <c r="OXA40" s="66"/>
      <c r="OXB40" s="66"/>
      <c r="OXC40" s="66"/>
      <c r="OXD40" s="66"/>
      <c r="OXE40" s="66"/>
      <c r="OXF40" s="66"/>
      <c r="OXG40" s="66"/>
      <c r="OXH40" s="66"/>
      <c r="OXI40" s="66"/>
      <c r="OXJ40" s="66"/>
      <c r="OXK40" s="66"/>
      <c r="OXL40" s="66"/>
      <c r="OXM40" s="66"/>
      <c r="OXN40" s="66"/>
      <c r="OXO40" s="66"/>
      <c r="OXP40" s="66"/>
      <c r="OXQ40" s="66"/>
      <c r="OXR40" s="66"/>
      <c r="OXS40" s="66"/>
      <c r="OXT40" s="66"/>
      <c r="OXU40" s="66"/>
      <c r="OXV40" s="66"/>
      <c r="OXW40" s="66"/>
      <c r="OXX40" s="66"/>
      <c r="OXY40" s="66"/>
      <c r="OXZ40" s="66"/>
      <c r="OYA40" s="66"/>
      <c r="OYB40" s="66"/>
      <c r="OYC40" s="66"/>
      <c r="OYD40" s="66"/>
      <c r="OYE40" s="66"/>
      <c r="OYF40" s="66"/>
      <c r="OYG40" s="66"/>
      <c r="OYH40" s="66"/>
      <c r="OYI40" s="66"/>
      <c r="OYJ40" s="66"/>
      <c r="OYK40" s="66"/>
      <c r="OYL40" s="66"/>
      <c r="OYM40" s="66"/>
      <c r="OYN40" s="66"/>
      <c r="OYO40" s="66"/>
      <c r="OYP40" s="66"/>
      <c r="OYQ40" s="66"/>
      <c r="OYR40" s="66"/>
      <c r="OYS40" s="66"/>
      <c r="OYT40" s="66"/>
      <c r="OYU40" s="66"/>
      <c r="OYV40" s="66"/>
      <c r="OYW40" s="66"/>
      <c r="OYX40" s="66"/>
      <c r="OYY40" s="66"/>
      <c r="OYZ40" s="66"/>
      <c r="OZA40" s="66"/>
      <c r="OZB40" s="66"/>
      <c r="OZC40" s="66"/>
      <c r="OZD40" s="66"/>
      <c r="OZE40" s="66"/>
      <c r="OZF40" s="66"/>
      <c r="OZG40" s="66"/>
      <c r="OZH40" s="66"/>
      <c r="OZI40" s="66"/>
      <c r="OZJ40" s="66"/>
      <c r="OZK40" s="66"/>
      <c r="OZL40" s="66"/>
      <c r="OZM40" s="66"/>
      <c r="OZN40" s="66"/>
      <c r="OZO40" s="66"/>
      <c r="OZP40" s="66"/>
      <c r="OZQ40" s="66"/>
      <c r="OZR40" s="66"/>
      <c r="OZS40" s="66"/>
      <c r="OZT40" s="66"/>
      <c r="OZU40" s="66"/>
      <c r="OZV40" s="66"/>
      <c r="OZW40" s="66"/>
      <c r="OZX40" s="66"/>
      <c r="OZY40" s="66"/>
      <c r="OZZ40" s="66"/>
      <c r="PAA40" s="66"/>
      <c r="PAB40" s="66"/>
      <c r="PAC40" s="66"/>
      <c r="PAD40" s="66"/>
      <c r="PAE40" s="66"/>
      <c r="PAF40" s="66"/>
      <c r="PAG40" s="66"/>
      <c r="PAH40" s="66"/>
      <c r="PAI40" s="66"/>
      <c r="PAJ40" s="66"/>
      <c r="PAK40" s="66"/>
      <c r="PAL40" s="66"/>
      <c r="PAM40" s="66"/>
      <c r="PAN40" s="66"/>
      <c r="PAO40" s="66"/>
      <c r="PAP40" s="66"/>
      <c r="PAQ40" s="66"/>
      <c r="PAR40" s="66"/>
      <c r="PAS40" s="66"/>
      <c r="PAT40" s="66"/>
      <c r="PAU40" s="66"/>
      <c r="PAV40" s="66"/>
      <c r="PAW40" s="66"/>
      <c r="PAX40" s="66"/>
      <c r="PAY40" s="66"/>
      <c r="PAZ40" s="66"/>
      <c r="PBA40" s="66"/>
      <c r="PBB40" s="66"/>
      <c r="PBC40" s="66"/>
      <c r="PBD40" s="66"/>
      <c r="PBE40" s="66"/>
      <c r="PBF40" s="66"/>
      <c r="PBG40" s="66"/>
      <c r="PBH40" s="66"/>
      <c r="PBI40" s="66"/>
      <c r="PBJ40" s="66"/>
      <c r="PBK40" s="66"/>
      <c r="PBL40" s="66"/>
      <c r="PBM40" s="66"/>
      <c r="PBN40" s="66"/>
      <c r="PBO40" s="66"/>
      <c r="PBP40" s="66"/>
      <c r="PBQ40" s="66"/>
      <c r="PBR40" s="66"/>
      <c r="PBS40" s="66"/>
      <c r="PBT40" s="66"/>
      <c r="PBU40" s="66"/>
      <c r="PBV40" s="66"/>
      <c r="PBW40" s="66"/>
      <c r="PBX40" s="66"/>
      <c r="PBY40" s="66"/>
      <c r="PBZ40" s="66"/>
      <c r="PCA40" s="66"/>
      <c r="PCB40" s="66"/>
      <c r="PCC40" s="66"/>
      <c r="PCD40" s="66"/>
      <c r="PCE40" s="66"/>
      <c r="PCF40" s="66"/>
      <c r="PCG40" s="66"/>
      <c r="PCH40" s="66"/>
      <c r="PCI40" s="66"/>
      <c r="PCJ40" s="66"/>
      <c r="PCK40" s="66"/>
      <c r="PCL40" s="66"/>
      <c r="PCM40" s="66"/>
      <c r="PCN40" s="66"/>
      <c r="PCO40" s="66"/>
      <c r="PCP40" s="66"/>
      <c r="PCQ40" s="66"/>
      <c r="PCR40" s="66"/>
      <c r="PCS40" s="66"/>
      <c r="PCT40" s="66"/>
      <c r="PCU40" s="66"/>
      <c r="PCV40" s="66"/>
      <c r="PCW40" s="66"/>
      <c r="PCX40" s="66"/>
      <c r="PCY40" s="66"/>
      <c r="PCZ40" s="66"/>
      <c r="PDA40" s="66"/>
      <c r="PDB40" s="66"/>
      <c r="PDC40" s="66"/>
      <c r="PDD40" s="66"/>
      <c r="PDE40" s="66"/>
      <c r="PDF40" s="66"/>
      <c r="PDG40" s="66"/>
      <c r="PDH40" s="66"/>
      <c r="PDI40" s="66"/>
      <c r="PDJ40" s="66"/>
      <c r="PDK40" s="66"/>
      <c r="PDL40" s="66"/>
      <c r="PDM40" s="66"/>
      <c r="PDN40" s="66"/>
      <c r="PDO40" s="66"/>
      <c r="PDP40" s="66"/>
      <c r="PDQ40" s="66"/>
      <c r="PDR40" s="66"/>
      <c r="PDS40" s="66"/>
      <c r="PDT40" s="66"/>
      <c r="PDU40" s="66"/>
      <c r="PDV40" s="66"/>
      <c r="PDW40" s="66"/>
      <c r="PDX40" s="66"/>
      <c r="PDY40" s="66"/>
      <c r="PDZ40" s="66"/>
      <c r="PEA40" s="66"/>
      <c r="PEB40" s="66"/>
      <c r="PEC40" s="66"/>
      <c r="PED40" s="66"/>
      <c r="PEE40" s="66"/>
      <c r="PEF40" s="66"/>
      <c r="PEG40" s="66"/>
      <c r="PEH40" s="66"/>
      <c r="PEI40" s="66"/>
      <c r="PEJ40" s="66"/>
      <c r="PEK40" s="66"/>
      <c r="PEL40" s="66"/>
      <c r="PEM40" s="66"/>
      <c r="PEN40" s="66"/>
      <c r="PEO40" s="66"/>
      <c r="PEP40" s="66"/>
      <c r="PEQ40" s="66"/>
      <c r="PER40" s="66"/>
      <c r="PES40" s="66"/>
      <c r="PET40" s="66"/>
      <c r="PEU40" s="66"/>
      <c r="PEV40" s="66"/>
      <c r="PEW40" s="66"/>
      <c r="PEX40" s="66"/>
      <c r="PEY40" s="66"/>
      <c r="PEZ40" s="66"/>
      <c r="PFA40" s="66"/>
      <c r="PFB40" s="66"/>
      <c r="PFC40" s="66"/>
      <c r="PFD40" s="66"/>
      <c r="PFE40" s="66"/>
      <c r="PFF40" s="66"/>
      <c r="PFG40" s="66"/>
      <c r="PFH40" s="66"/>
      <c r="PFI40" s="66"/>
      <c r="PFJ40" s="66"/>
      <c r="PFK40" s="66"/>
      <c r="PFL40" s="66"/>
      <c r="PFM40" s="66"/>
      <c r="PFN40" s="66"/>
      <c r="PFO40" s="66"/>
      <c r="PFP40" s="66"/>
      <c r="PFQ40" s="66"/>
      <c r="PFR40" s="66"/>
      <c r="PFS40" s="66"/>
      <c r="PFT40" s="66"/>
      <c r="PFU40" s="66"/>
      <c r="PFV40" s="66"/>
      <c r="PFW40" s="66"/>
      <c r="PFX40" s="66"/>
      <c r="PFY40" s="66"/>
      <c r="PFZ40" s="66"/>
      <c r="PGA40" s="66"/>
      <c r="PGB40" s="66"/>
      <c r="PGC40" s="66"/>
      <c r="PGD40" s="66"/>
      <c r="PGE40" s="66"/>
      <c r="PGF40" s="66"/>
      <c r="PGG40" s="66"/>
      <c r="PGH40" s="66"/>
      <c r="PGI40" s="66"/>
      <c r="PGJ40" s="66"/>
      <c r="PGK40" s="66"/>
      <c r="PGL40" s="66"/>
      <c r="PGM40" s="66"/>
      <c r="PGN40" s="66"/>
      <c r="PGO40" s="66"/>
      <c r="PGP40" s="66"/>
      <c r="PGQ40" s="66"/>
      <c r="PGR40" s="66"/>
      <c r="PGS40" s="66"/>
      <c r="PGT40" s="66"/>
      <c r="PGU40" s="66"/>
      <c r="PGV40" s="66"/>
      <c r="PGW40" s="66"/>
      <c r="PGX40" s="66"/>
      <c r="PGY40" s="66"/>
      <c r="PGZ40" s="66"/>
      <c r="PHA40" s="66"/>
      <c r="PHB40" s="66"/>
      <c r="PHC40" s="66"/>
      <c r="PHD40" s="66"/>
      <c r="PHE40" s="66"/>
      <c r="PHF40" s="66"/>
      <c r="PHG40" s="66"/>
      <c r="PHH40" s="66"/>
      <c r="PHI40" s="66"/>
      <c r="PHJ40" s="66"/>
      <c r="PHK40" s="66"/>
      <c r="PHL40" s="66"/>
      <c r="PHM40" s="66"/>
      <c r="PHN40" s="66"/>
      <c r="PHO40" s="66"/>
      <c r="PHP40" s="66"/>
      <c r="PHQ40" s="66"/>
      <c r="PHR40" s="66"/>
      <c r="PHS40" s="66"/>
      <c r="PHT40" s="66"/>
      <c r="PHU40" s="66"/>
      <c r="PHV40" s="66"/>
      <c r="PHW40" s="66"/>
      <c r="PHX40" s="66"/>
      <c r="PHY40" s="66"/>
      <c r="PHZ40" s="66"/>
      <c r="PIA40" s="66"/>
      <c r="PIB40" s="66"/>
      <c r="PIC40" s="66"/>
      <c r="PID40" s="66"/>
      <c r="PIE40" s="66"/>
      <c r="PIF40" s="66"/>
      <c r="PIG40" s="66"/>
      <c r="PIH40" s="66"/>
      <c r="PII40" s="66"/>
      <c r="PIJ40" s="66"/>
      <c r="PIK40" s="66"/>
      <c r="PIL40" s="66"/>
      <c r="PIM40" s="66"/>
      <c r="PIN40" s="66"/>
      <c r="PIO40" s="66"/>
      <c r="PIP40" s="66"/>
      <c r="PIQ40" s="66"/>
      <c r="PIR40" s="66"/>
      <c r="PIS40" s="66"/>
      <c r="PIT40" s="66"/>
      <c r="PIU40" s="66"/>
      <c r="PIV40" s="66"/>
      <c r="PIW40" s="66"/>
      <c r="PIX40" s="66"/>
      <c r="PIY40" s="66"/>
      <c r="PIZ40" s="66"/>
      <c r="PJA40" s="66"/>
      <c r="PJB40" s="66"/>
      <c r="PJC40" s="66"/>
      <c r="PJD40" s="66"/>
      <c r="PJE40" s="66"/>
      <c r="PJF40" s="66"/>
      <c r="PJG40" s="66"/>
      <c r="PJH40" s="66"/>
      <c r="PJI40" s="66"/>
      <c r="PJJ40" s="66"/>
      <c r="PJK40" s="66"/>
      <c r="PJL40" s="66"/>
      <c r="PJM40" s="66"/>
      <c r="PJN40" s="66"/>
      <c r="PJO40" s="66"/>
      <c r="PJP40" s="66"/>
      <c r="PJQ40" s="66"/>
      <c r="PJR40" s="66"/>
      <c r="PJS40" s="66"/>
      <c r="PJT40" s="66"/>
      <c r="PJU40" s="66"/>
      <c r="PJV40" s="66"/>
      <c r="PJW40" s="66"/>
      <c r="PJX40" s="66"/>
      <c r="PJY40" s="66"/>
      <c r="PJZ40" s="66"/>
      <c r="PKA40" s="66"/>
      <c r="PKB40" s="66"/>
      <c r="PKC40" s="66"/>
      <c r="PKD40" s="66"/>
      <c r="PKE40" s="66"/>
      <c r="PKF40" s="66"/>
      <c r="PKG40" s="66"/>
      <c r="PKH40" s="66"/>
      <c r="PKI40" s="66"/>
      <c r="PKJ40" s="66"/>
      <c r="PKK40" s="66"/>
      <c r="PKL40" s="66"/>
      <c r="PKM40" s="66"/>
      <c r="PKN40" s="66"/>
      <c r="PKO40" s="66"/>
      <c r="PKP40" s="66"/>
      <c r="PKQ40" s="66"/>
      <c r="PKR40" s="66"/>
      <c r="PKS40" s="66"/>
      <c r="PKT40" s="66"/>
      <c r="PKU40" s="66"/>
      <c r="PKV40" s="66"/>
      <c r="PKW40" s="66"/>
      <c r="PKX40" s="66"/>
      <c r="PKY40" s="66"/>
      <c r="PKZ40" s="66"/>
      <c r="PLA40" s="66"/>
      <c r="PLB40" s="66"/>
      <c r="PLC40" s="66"/>
      <c r="PLD40" s="66"/>
      <c r="PLE40" s="66"/>
      <c r="PLF40" s="66"/>
      <c r="PLG40" s="66"/>
      <c r="PLH40" s="66"/>
      <c r="PLI40" s="66"/>
      <c r="PLJ40" s="66"/>
      <c r="PLK40" s="66"/>
      <c r="PLL40" s="66"/>
      <c r="PLM40" s="66"/>
      <c r="PLN40" s="66"/>
      <c r="PLO40" s="66"/>
      <c r="PLP40" s="66"/>
      <c r="PLQ40" s="66"/>
      <c r="PLR40" s="66"/>
      <c r="PLS40" s="66"/>
      <c r="PLT40" s="66"/>
      <c r="PLU40" s="66"/>
      <c r="PLV40" s="66"/>
      <c r="PLW40" s="66"/>
      <c r="PLX40" s="66"/>
      <c r="PLY40" s="66"/>
      <c r="PLZ40" s="66"/>
      <c r="PMA40" s="66"/>
      <c r="PMB40" s="66"/>
      <c r="PMC40" s="66"/>
      <c r="PMD40" s="66"/>
      <c r="PME40" s="66"/>
      <c r="PMF40" s="66"/>
      <c r="PMG40" s="66"/>
      <c r="PMH40" s="66"/>
      <c r="PMI40" s="66"/>
      <c r="PMJ40" s="66"/>
      <c r="PMK40" s="66"/>
      <c r="PML40" s="66"/>
      <c r="PMM40" s="66"/>
      <c r="PMN40" s="66"/>
      <c r="PMO40" s="66"/>
      <c r="PMP40" s="66"/>
      <c r="PMQ40" s="66"/>
      <c r="PMR40" s="66"/>
      <c r="PMS40" s="66"/>
      <c r="PMT40" s="66"/>
      <c r="PMU40" s="66"/>
      <c r="PMV40" s="66"/>
      <c r="PMW40" s="66"/>
      <c r="PMX40" s="66"/>
      <c r="PMY40" s="66"/>
      <c r="PMZ40" s="66"/>
      <c r="PNA40" s="66"/>
      <c r="PNB40" s="66"/>
      <c r="PNC40" s="66"/>
      <c r="PND40" s="66"/>
      <c r="PNE40" s="66"/>
      <c r="PNF40" s="66"/>
      <c r="PNG40" s="66"/>
      <c r="PNH40" s="66"/>
      <c r="PNI40" s="66"/>
      <c r="PNJ40" s="66"/>
      <c r="PNK40" s="66"/>
      <c r="PNL40" s="66"/>
      <c r="PNM40" s="66"/>
      <c r="PNN40" s="66"/>
      <c r="PNO40" s="66"/>
      <c r="PNP40" s="66"/>
      <c r="PNQ40" s="66"/>
      <c r="PNR40" s="66"/>
      <c r="PNS40" s="66"/>
      <c r="PNT40" s="66"/>
      <c r="PNU40" s="66"/>
      <c r="PNV40" s="66"/>
      <c r="PNW40" s="66"/>
      <c r="PNX40" s="66"/>
      <c r="PNY40" s="66"/>
      <c r="PNZ40" s="66"/>
      <c r="POA40" s="66"/>
      <c r="POB40" s="66"/>
      <c r="POC40" s="66"/>
      <c r="POD40" s="66"/>
      <c r="POE40" s="66"/>
      <c r="POF40" s="66"/>
      <c r="POG40" s="66"/>
      <c r="POH40" s="66"/>
      <c r="POI40" s="66"/>
      <c r="POJ40" s="66"/>
      <c r="POK40" s="66"/>
      <c r="POL40" s="66"/>
      <c r="POM40" s="66"/>
      <c r="PON40" s="66"/>
      <c r="POO40" s="66"/>
      <c r="POP40" s="66"/>
      <c r="POQ40" s="66"/>
      <c r="POR40" s="66"/>
      <c r="POS40" s="66"/>
      <c r="POT40" s="66"/>
      <c r="POU40" s="66"/>
      <c r="POV40" s="66"/>
      <c r="POW40" s="66"/>
      <c r="POX40" s="66"/>
      <c r="POY40" s="66"/>
      <c r="POZ40" s="66"/>
      <c r="PPA40" s="66"/>
      <c r="PPB40" s="66"/>
      <c r="PPC40" s="66"/>
      <c r="PPD40" s="66"/>
      <c r="PPE40" s="66"/>
      <c r="PPF40" s="66"/>
      <c r="PPG40" s="66"/>
      <c r="PPH40" s="66"/>
      <c r="PPI40" s="66"/>
      <c r="PPJ40" s="66"/>
      <c r="PPK40" s="66"/>
      <c r="PPL40" s="66"/>
      <c r="PPM40" s="66"/>
      <c r="PPN40" s="66"/>
      <c r="PPO40" s="66"/>
      <c r="PPP40" s="66"/>
      <c r="PPQ40" s="66"/>
      <c r="PPR40" s="66"/>
      <c r="PPS40" s="66"/>
      <c r="PPT40" s="66"/>
      <c r="PPU40" s="66"/>
      <c r="PPV40" s="66"/>
      <c r="PPW40" s="66"/>
      <c r="PPX40" s="66"/>
      <c r="PPY40" s="66"/>
      <c r="PPZ40" s="66"/>
      <c r="PQA40" s="66"/>
      <c r="PQB40" s="66"/>
      <c r="PQC40" s="66"/>
      <c r="PQD40" s="66"/>
      <c r="PQE40" s="66"/>
      <c r="PQF40" s="66"/>
      <c r="PQG40" s="66"/>
      <c r="PQH40" s="66"/>
      <c r="PQI40" s="66"/>
      <c r="PQJ40" s="66"/>
      <c r="PQK40" s="66"/>
      <c r="PQL40" s="66"/>
      <c r="PQM40" s="66"/>
      <c r="PQN40" s="66"/>
      <c r="PQO40" s="66"/>
      <c r="PQP40" s="66"/>
      <c r="PQQ40" s="66"/>
      <c r="PQR40" s="66"/>
      <c r="PQS40" s="66"/>
      <c r="PQT40" s="66"/>
      <c r="PQU40" s="66"/>
      <c r="PQV40" s="66"/>
      <c r="PQW40" s="66"/>
      <c r="PQX40" s="66"/>
      <c r="PQY40" s="66"/>
      <c r="PQZ40" s="66"/>
      <c r="PRA40" s="66"/>
      <c r="PRB40" s="66"/>
      <c r="PRC40" s="66"/>
      <c r="PRD40" s="66"/>
      <c r="PRE40" s="66"/>
      <c r="PRF40" s="66"/>
      <c r="PRG40" s="66"/>
      <c r="PRH40" s="66"/>
      <c r="PRI40" s="66"/>
      <c r="PRJ40" s="66"/>
      <c r="PRK40" s="66"/>
      <c r="PRL40" s="66"/>
      <c r="PRM40" s="66"/>
      <c r="PRN40" s="66"/>
      <c r="PRO40" s="66"/>
      <c r="PRP40" s="66"/>
      <c r="PRQ40" s="66"/>
      <c r="PRR40" s="66"/>
      <c r="PRS40" s="66"/>
      <c r="PRT40" s="66"/>
      <c r="PRU40" s="66"/>
      <c r="PRV40" s="66"/>
      <c r="PRW40" s="66"/>
      <c r="PRX40" s="66"/>
      <c r="PRY40" s="66"/>
      <c r="PRZ40" s="66"/>
      <c r="PSA40" s="66"/>
      <c r="PSB40" s="66"/>
      <c r="PSC40" s="66"/>
      <c r="PSD40" s="66"/>
      <c r="PSE40" s="66"/>
      <c r="PSF40" s="66"/>
      <c r="PSG40" s="66"/>
      <c r="PSH40" s="66"/>
      <c r="PSI40" s="66"/>
      <c r="PSJ40" s="66"/>
      <c r="PSK40" s="66"/>
      <c r="PSL40" s="66"/>
      <c r="PSM40" s="66"/>
      <c r="PSN40" s="66"/>
      <c r="PSO40" s="66"/>
      <c r="PSP40" s="66"/>
      <c r="PSQ40" s="66"/>
      <c r="PSR40" s="66"/>
      <c r="PSS40" s="66"/>
      <c r="PST40" s="66"/>
      <c r="PSU40" s="66"/>
      <c r="PSV40" s="66"/>
      <c r="PSW40" s="66"/>
      <c r="PSX40" s="66"/>
      <c r="PSY40" s="66"/>
      <c r="PSZ40" s="66"/>
      <c r="PTA40" s="66"/>
      <c r="PTB40" s="66"/>
      <c r="PTC40" s="66"/>
      <c r="PTD40" s="66"/>
      <c r="PTE40" s="66"/>
      <c r="PTF40" s="66"/>
      <c r="PTG40" s="66"/>
      <c r="PTH40" s="66"/>
      <c r="PTI40" s="66"/>
      <c r="PTJ40" s="66"/>
      <c r="PTK40" s="66"/>
      <c r="PTL40" s="66"/>
      <c r="PTM40" s="66"/>
      <c r="PTN40" s="66"/>
      <c r="PTO40" s="66"/>
      <c r="PTP40" s="66"/>
      <c r="PTQ40" s="66"/>
      <c r="PTR40" s="66"/>
      <c r="PTS40" s="66"/>
      <c r="PTT40" s="66"/>
      <c r="PTU40" s="66"/>
      <c r="PTV40" s="66"/>
      <c r="PTW40" s="66"/>
      <c r="PTX40" s="66"/>
      <c r="PTY40" s="66"/>
      <c r="PTZ40" s="66"/>
      <c r="PUA40" s="66"/>
      <c r="PUB40" s="66"/>
      <c r="PUC40" s="66"/>
      <c r="PUD40" s="66"/>
      <c r="PUE40" s="66"/>
      <c r="PUF40" s="66"/>
      <c r="PUG40" s="66"/>
      <c r="PUH40" s="66"/>
      <c r="PUI40" s="66"/>
      <c r="PUJ40" s="66"/>
      <c r="PUK40" s="66"/>
      <c r="PUL40" s="66"/>
      <c r="PUM40" s="66"/>
      <c r="PUN40" s="66"/>
      <c r="PUO40" s="66"/>
      <c r="PUP40" s="66"/>
      <c r="PUQ40" s="66"/>
      <c r="PUR40" s="66"/>
      <c r="PUS40" s="66"/>
      <c r="PUT40" s="66"/>
      <c r="PUU40" s="66"/>
      <c r="PUV40" s="66"/>
      <c r="PUW40" s="66"/>
      <c r="PUX40" s="66"/>
      <c r="PUY40" s="66"/>
      <c r="PUZ40" s="66"/>
      <c r="PVA40" s="66"/>
      <c r="PVB40" s="66"/>
      <c r="PVC40" s="66"/>
      <c r="PVD40" s="66"/>
      <c r="PVE40" s="66"/>
      <c r="PVF40" s="66"/>
      <c r="PVG40" s="66"/>
      <c r="PVH40" s="66"/>
      <c r="PVI40" s="66"/>
      <c r="PVJ40" s="66"/>
      <c r="PVK40" s="66"/>
      <c r="PVL40" s="66"/>
      <c r="PVM40" s="66"/>
      <c r="PVN40" s="66"/>
      <c r="PVO40" s="66"/>
      <c r="PVP40" s="66"/>
      <c r="PVQ40" s="66"/>
      <c r="PVR40" s="66"/>
      <c r="PVS40" s="66"/>
      <c r="PVT40" s="66"/>
      <c r="PVU40" s="66"/>
      <c r="PVV40" s="66"/>
      <c r="PVW40" s="66"/>
      <c r="PVX40" s="66"/>
      <c r="PVY40" s="66"/>
      <c r="PVZ40" s="66"/>
      <c r="PWA40" s="66"/>
      <c r="PWB40" s="66"/>
      <c r="PWC40" s="66"/>
      <c r="PWD40" s="66"/>
      <c r="PWE40" s="66"/>
      <c r="PWF40" s="66"/>
      <c r="PWG40" s="66"/>
      <c r="PWH40" s="66"/>
      <c r="PWI40" s="66"/>
      <c r="PWJ40" s="66"/>
      <c r="PWK40" s="66"/>
      <c r="PWL40" s="66"/>
      <c r="PWM40" s="66"/>
      <c r="PWN40" s="66"/>
      <c r="PWO40" s="66"/>
      <c r="PWP40" s="66"/>
      <c r="PWQ40" s="66"/>
      <c r="PWR40" s="66"/>
      <c r="PWS40" s="66"/>
      <c r="PWT40" s="66"/>
      <c r="PWU40" s="66"/>
      <c r="PWV40" s="66"/>
      <c r="PWW40" s="66"/>
      <c r="PWX40" s="66"/>
      <c r="PWY40" s="66"/>
      <c r="PWZ40" s="66"/>
      <c r="PXA40" s="66"/>
      <c r="PXB40" s="66"/>
      <c r="PXC40" s="66"/>
      <c r="PXD40" s="66"/>
      <c r="PXE40" s="66"/>
      <c r="PXF40" s="66"/>
      <c r="PXG40" s="66"/>
      <c r="PXH40" s="66"/>
      <c r="PXI40" s="66"/>
      <c r="PXJ40" s="66"/>
      <c r="PXK40" s="66"/>
      <c r="PXL40" s="66"/>
      <c r="PXM40" s="66"/>
      <c r="PXN40" s="66"/>
      <c r="PXO40" s="66"/>
      <c r="PXP40" s="66"/>
      <c r="PXQ40" s="66"/>
      <c r="PXR40" s="66"/>
      <c r="PXS40" s="66"/>
      <c r="PXT40" s="66"/>
      <c r="PXU40" s="66"/>
      <c r="PXV40" s="66"/>
      <c r="PXW40" s="66"/>
      <c r="PXX40" s="66"/>
      <c r="PXY40" s="66"/>
      <c r="PXZ40" s="66"/>
      <c r="PYA40" s="66"/>
      <c r="PYB40" s="66"/>
      <c r="PYC40" s="66"/>
      <c r="PYD40" s="66"/>
      <c r="PYE40" s="66"/>
      <c r="PYF40" s="66"/>
      <c r="PYG40" s="66"/>
      <c r="PYH40" s="66"/>
      <c r="PYI40" s="66"/>
      <c r="PYJ40" s="66"/>
      <c r="PYK40" s="66"/>
      <c r="PYL40" s="66"/>
      <c r="PYM40" s="66"/>
      <c r="PYN40" s="66"/>
      <c r="PYO40" s="66"/>
      <c r="PYP40" s="66"/>
      <c r="PYQ40" s="66"/>
      <c r="PYR40" s="66"/>
      <c r="PYS40" s="66"/>
      <c r="PYT40" s="66"/>
      <c r="PYU40" s="66"/>
      <c r="PYV40" s="66"/>
      <c r="PYW40" s="66"/>
      <c r="PYX40" s="66"/>
      <c r="PYY40" s="66"/>
      <c r="PYZ40" s="66"/>
      <c r="PZA40" s="66"/>
      <c r="PZB40" s="66"/>
      <c r="PZC40" s="66"/>
      <c r="PZD40" s="66"/>
      <c r="PZE40" s="66"/>
      <c r="PZF40" s="66"/>
      <c r="PZG40" s="66"/>
      <c r="PZH40" s="66"/>
      <c r="PZI40" s="66"/>
      <c r="PZJ40" s="66"/>
      <c r="PZK40" s="66"/>
      <c r="PZL40" s="66"/>
      <c r="PZM40" s="66"/>
      <c r="PZN40" s="66"/>
      <c r="PZO40" s="66"/>
      <c r="PZP40" s="66"/>
      <c r="PZQ40" s="66"/>
      <c r="PZR40" s="66"/>
      <c r="PZS40" s="66"/>
      <c r="PZT40" s="66"/>
      <c r="PZU40" s="66"/>
      <c r="PZV40" s="66"/>
      <c r="PZW40" s="66"/>
      <c r="PZX40" s="66"/>
      <c r="PZY40" s="66"/>
      <c r="PZZ40" s="66"/>
      <c r="QAA40" s="66"/>
      <c r="QAB40" s="66"/>
      <c r="QAC40" s="66"/>
      <c r="QAD40" s="66"/>
      <c r="QAE40" s="66"/>
      <c r="QAF40" s="66"/>
      <c r="QAG40" s="66"/>
      <c r="QAH40" s="66"/>
      <c r="QAI40" s="66"/>
      <c r="QAJ40" s="66"/>
      <c r="QAK40" s="66"/>
      <c r="QAL40" s="66"/>
      <c r="QAM40" s="66"/>
      <c r="QAN40" s="66"/>
      <c r="QAO40" s="66"/>
      <c r="QAP40" s="66"/>
      <c r="QAQ40" s="66"/>
      <c r="QAR40" s="66"/>
      <c r="QAS40" s="66"/>
      <c r="QAT40" s="66"/>
      <c r="QAU40" s="66"/>
      <c r="QAV40" s="66"/>
      <c r="QAW40" s="66"/>
      <c r="QAX40" s="66"/>
      <c r="QAY40" s="66"/>
      <c r="QAZ40" s="66"/>
      <c r="QBA40" s="66"/>
      <c r="QBB40" s="66"/>
      <c r="QBC40" s="66"/>
      <c r="QBD40" s="66"/>
      <c r="QBE40" s="66"/>
      <c r="QBF40" s="66"/>
      <c r="QBG40" s="66"/>
      <c r="QBH40" s="66"/>
      <c r="QBI40" s="66"/>
      <c r="QBJ40" s="66"/>
      <c r="QBK40" s="66"/>
      <c r="QBL40" s="66"/>
      <c r="QBM40" s="66"/>
      <c r="QBN40" s="66"/>
      <c r="QBO40" s="66"/>
      <c r="QBP40" s="66"/>
      <c r="QBQ40" s="66"/>
      <c r="QBR40" s="66"/>
      <c r="QBS40" s="66"/>
      <c r="QBT40" s="66"/>
      <c r="QBU40" s="66"/>
      <c r="QBV40" s="66"/>
      <c r="QBW40" s="66"/>
      <c r="QBX40" s="66"/>
      <c r="QBY40" s="66"/>
      <c r="QBZ40" s="66"/>
      <c r="QCA40" s="66"/>
      <c r="QCB40" s="66"/>
      <c r="QCC40" s="66"/>
      <c r="QCD40" s="66"/>
      <c r="QCE40" s="66"/>
      <c r="QCF40" s="66"/>
      <c r="QCG40" s="66"/>
      <c r="QCH40" s="66"/>
      <c r="QCI40" s="66"/>
      <c r="QCJ40" s="66"/>
      <c r="QCK40" s="66"/>
      <c r="QCL40" s="66"/>
      <c r="QCM40" s="66"/>
      <c r="QCN40" s="66"/>
      <c r="QCO40" s="66"/>
      <c r="QCP40" s="66"/>
      <c r="QCQ40" s="66"/>
      <c r="QCR40" s="66"/>
      <c r="QCS40" s="66"/>
      <c r="QCT40" s="66"/>
      <c r="QCU40" s="66"/>
      <c r="QCV40" s="66"/>
      <c r="QCW40" s="66"/>
      <c r="QCX40" s="66"/>
      <c r="QCY40" s="66"/>
      <c r="QCZ40" s="66"/>
      <c r="QDA40" s="66"/>
      <c r="QDB40" s="66"/>
      <c r="QDC40" s="66"/>
      <c r="QDD40" s="66"/>
      <c r="QDE40" s="66"/>
      <c r="QDF40" s="66"/>
      <c r="QDG40" s="66"/>
      <c r="QDH40" s="66"/>
      <c r="QDI40" s="66"/>
      <c r="QDJ40" s="66"/>
      <c r="QDK40" s="66"/>
      <c r="QDL40" s="66"/>
      <c r="QDM40" s="66"/>
      <c r="QDN40" s="66"/>
      <c r="QDO40" s="66"/>
      <c r="QDP40" s="66"/>
      <c r="QDQ40" s="66"/>
      <c r="QDR40" s="66"/>
      <c r="QDS40" s="66"/>
      <c r="QDT40" s="66"/>
      <c r="QDU40" s="66"/>
      <c r="QDV40" s="66"/>
      <c r="QDW40" s="66"/>
      <c r="QDX40" s="66"/>
      <c r="QDY40" s="66"/>
      <c r="QDZ40" s="66"/>
      <c r="QEA40" s="66"/>
      <c r="QEB40" s="66"/>
      <c r="QEC40" s="66"/>
      <c r="QED40" s="66"/>
      <c r="QEE40" s="66"/>
      <c r="QEF40" s="66"/>
      <c r="QEG40" s="66"/>
      <c r="QEH40" s="66"/>
      <c r="QEI40" s="66"/>
      <c r="QEJ40" s="66"/>
      <c r="QEK40" s="66"/>
      <c r="QEL40" s="66"/>
      <c r="QEM40" s="66"/>
      <c r="QEN40" s="66"/>
      <c r="QEO40" s="66"/>
      <c r="QEP40" s="66"/>
      <c r="QEQ40" s="66"/>
      <c r="QER40" s="66"/>
      <c r="QES40" s="66"/>
      <c r="QET40" s="66"/>
      <c r="QEU40" s="66"/>
      <c r="QEV40" s="66"/>
      <c r="QEW40" s="66"/>
      <c r="QEX40" s="66"/>
      <c r="QEY40" s="66"/>
      <c r="QEZ40" s="66"/>
      <c r="QFA40" s="66"/>
      <c r="QFB40" s="66"/>
      <c r="QFC40" s="66"/>
      <c r="QFD40" s="66"/>
      <c r="QFE40" s="66"/>
      <c r="QFF40" s="66"/>
      <c r="QFG40" s="66"/>
      <c r="QFH40" s="66"/>
      <c r="QFI40" s="66"/>
      <c r="QFJ40" s="66"/>
      <c r="QFK40" s="66"/>
      <c r="QFL40" s="66"/>
      <c r="QFM40" s="66"/>
      <c r="QFN40" s="66"/>
      <c r="QFO40" s="66"/>
      <c r="QFP40" s="66"/>
      <c r="QFQ40" s="66"/>
      <c r="QFR40" s="66"/>
      <c r="QFS40" s="66"/>
      <c r="QFT40" s="66"/>
      <c r="QFU40" s="66"/>
      <c r="QFV40" s="66"/>
      <c r="QFW40" s="66"/>
      <c r="QFX40" s="66"/>
      <c r="QFY40" s="66"/>
      <c r="QFZ40" s="66"/>
      <c r="QGA40" s="66"/>
      <c r="QGB40" s="66"/>
      <c r="QGC40" s="66"/>
      <c r="QGD40" s="66"/>
      <c r="QGE40" s="66"/>
      <c r="QGF40" s="66"/>
      <c r="QGG40" s="66"/>
      <c r="QGH40" s="66"/>
      <c r="QGI40" s="66"/>
      <c r="QGJ40" s="66"/>
      <c r="QGK40" s="66"/>
      <c r="QGL40" s="66"/>
      <c r="QGM40" s="66"/>
      <c r="QGN40" s="66"/>
      <c r="QGO40" s="66"/>
      <c r="QGP40" s="66"/>
      <c r="QGQ40" s="66"/>
      <c r="QGR40" s="66"/>
      <c r="QGS40" s="66"/>
      <c r="QGT40" s="66"/>
      <c r="QGU40" s="66"/>
      <c r="QGV40" s="66"/>
      <c r="QGW40" s="66"/>
      <c r="QGX40" s="66"/>
      <c r="QGY40" s="66"/>
      <c r="QGZ40" s="66"/>
      <c r="QHA40" s="66"/>
      <c r="QHB40" s="66"/>
      <c r="QHC40" s="66"/>
      <c r="QHD40" s="66"/>
      <c r="QHE40" s="66"/>
      <c r="QHF40" s="66"/>
      <c r="QHG40" s="66"/>
      <c r="QHH40" s="66"/>
      <c r="QHI40" s="66"/>
      <c r="QHJ40" s="66"/>
      <c r="QHK40" s="66"/>
      <c r="QHL40" s="66"/>
      <c r="QHM40" s="66"/>
      <c r="QHN40" s="66"/>
      <c r="QHO40" s="66"/>
      <c r="QHP40" s="66"/>
      <c r="QHQ40" s="66"/>
      <c r="QHR40" s="66"/>
      <c r="QHS40" s="66"/>
      <c r="QHT40" s="66"/>
      <c r="QHU40" s="66"/>
      <c r="QHV40" s="66"/>
      <c r="QHW40" s="66"/>
      <c r="QHX40" s="66"/>
      <c r="QHY40" s="66"/>
      <c r="QHZ40" s="66"/>
      <c r="QIA40" s="66"/>
      <c r="QIB40" s="66"/>
      <c r="QIC40" s="66"/>
      <c r="QID40" s="66"/>
      <c r="QIE40" s="66"/>
      <c r="QIF40" s="66"/>
      <c r="QIG40" s="66"/>
      <c r="QIH40" s="66"/>
      <c r="QII40" s="66"/>
      <c r="QIJ40" s="66"/>
      <c r="QIK40" s="66"/>
      <c r="QIL40" s="66"/>
      <c r="QIM40" s="66"/>
      <c r="QIN40" s="66"/>
      <c r="QIO40" s="66"/>
      <c r="QIP40" s="66"/>
      <c r="QIQ40" s="66"/>
      <c r="QIR40" s="66"/>
      <c r="QIS40" s="66"/>
      <c r="QIT40" s="66"/>
      <c r="QIU40" s="66"/>
      <c r="QIV40" s="66"/>
      <c r="QIW40" s="66"/>
      <c r="QIX40" s="66"/>
      <c r="QIY40" s="66"/>
      <c r="QIZ40" s="66"/>
      <c r="QJA40" s="66"/>
      <c r="QJB40" s="66"/>
      <c r="QJC40" s="66"/>
      <c r="QJD40" s="66"/>
      <c r="QJE40" s="66"/>
      <c r="QJF40" s="66"/>
      <c r="QJG40" s="66"/>
      <c r="QJH40" s="66"/>
      <c r="QJI40" s="66"/>
      <c r="QJJ40" s="66"/>
      <c r="QJK40" s="66"/>
      <c r="QJL40" s="66"/>
      <c r="QJM40" s="66"/>
      <c r="QJN40" s="66"/>
      <c r="QJO40" s="66"/>
      <c r="QJP40" s="66"/>
      <c r="QJQ40" s="66"/>
      <c r="QJR40" s="66"/>
      <c r="QJS40" s="66"/>
      <c r="QJT40" s="66"/>
      <c r="QJU40" s="66"/>
      <c r="QJV40" s="66"/>
      <c r="QJW40" s="66"/>
      <c r="QJX40" s="66"/>
      <c r="QJY40" s="66"/>
      <c r="QJZ40" s="66"/>
      <c r="QKA40" s="66"/>
      <c r="QKB40" s="66"/>
      <c r="QKC40" s="66"/>
      <c r="QKD40" s="66"/>
      <c r="QKE40" s="66"/>
      <c r="QKF40" s="66"/>
      <c r="QKG40" s="66"/>
      <c r="QKH40" s="66"/>
      <c r="QKI40" s="66"/>
      <c r="QKJ40" s="66"/>
      <c r="QKK40" s="66"/>
      <c r="QKL40" s="66"/>
      <c r="QKM40" s="66"/>
      <c r="QKN40" s="66"/>
      <c r="QKO40" s="66"/>
      <c r="QKP40" s="66"/>
      <c r="QKQ40" s="66"/>
      <c r="QKR40" s="66"/>
      <c r="QKS40" s="66"/>
      <c r="QKT40" s="66"/>
      <c r="QKU40" s="66"/>
      <c r="QKV40" s="66"/>
      <c r="QKW40" s="66"/>
      <c r="QKX40" s="66"/>
      <c r="QKY40" s="66"/>
      <c r="QKZ40" s="66"/>
      <c r="QLA40" s="66"/>
      <c r="QLB40" s="66"/>
      <c r="QLC40" s="66"/>
      <c r="QLD40" s="66"/>
      <c r="QLE40" s="66"/>
      <c r="QLF40" s="66"/>
      <c r="QLG40" s="66"/>
      <c r="QLH40" s="66"/>
      <c r="QLI40" s="66"/>
      <c r="QLJ40" s="66"/>
      <c r="QLK40" s="66"/>
      <c r="QLL40" s="66"/>
      <c r="QLM40" s="66"/>
      <c r="QLN40" s="66"/>
      <c r="QLO40" s="66"/>
      <c r="QLP40" s="66"/>
      <c r="QLQ40" s="66"/>
      <c r="QLR40" s="66"/>
      <c r="QLS40" s="66"/>
      <c r="QLT40" s="66"/>
      <c r="QLU40" s="66"/>
      <c r="QLV40" s="66"/>
      <c r="QLW40" s="66"/>
      <c r="QLX40" s="66"/>
      <c r="QLY40" s="66"/>
      <c r="QLZ40" s="66"/>
      <c r="QMA40" s="66"/>
      <c r="QMB40" s="66"/>
      <c r="QMC40" s="66"/>
      <c r="QMD40" s="66"/>
      <c r="QME40" s="66"/>
      <c r="QMF40" s="66"/>
      <c r="QMG40" s="66"/>
      <c r="QMH40" s="66"/>
      <c r="QMI40" s="66"/>
      <c r="QMJ40" s="66"/>
      <c r="QMK40" s="66"/>
      <c r="QML40" s="66"/>
      <c r="QMM40" s="66"/>
      <c r="QMN40" s="66"/>
      <c r="QMO40" s="66"/>
      <c r="QMP40" s="66"/>
      <c r="QMQ40" s="66"/>
      <c r="QMR40" s="66"/>
      <c r="QMS40" s="66"/>
      <c r="QMT40" s="66"/>
      <c r="QMU40" s="66"/>
      <c r="QMV40" s="66"/>
      <c r="QMW40" s="66"/>
      <c r="QMX40" s="66"/>
      <c r="QMY40" s="66"/>
      <c r="QMZ40" s="66"/>
      <c r="QNA40" s="66"/>
      <c r="QNB40" s="66"/>
      <c r="QNC40" s="66"/>
      <c r="QND40" s="66"/>
      <c r="QNE40" s="66"/>
      <c r="QNF40" s="66"/>
      <c r="QNG40" s="66"/>
      <c r="QNH40" s="66"/>
      <c r="QNI40" s="66"/>
      <c r="QNJ40" s="66"/>
      <c r="QNK40" s="66"/>
      <c r="QNL40" s="66"/>
      <c r="QNM40" s="66"/>
      <c r="QNN40" s="66"/>
      <c r="QNO40" s="66"/>
      <c r="QNP40" s="66"/>
      <c r="QNQ40" s="66"/>
      <c r="QNR40" s="66"/>
      <c r="QNS40" s="66"/>
      <c r="QNT40" s="66"/>
      <c r="QNU40" s="66"/>
      <c r="QNV40" s="66"/>
      <c r="QNW40" s="66"/>
      <c r="QNX40" s="66"/>
      <c r="QNY40" s="66"/>
      <c r="QNZ40" s="66"/>
      <c r="QOA40" s="66"/>
      <c r="QOB40" s="66"/>
      <c r="QOC40" s="66"/>
      <c r="QOD40" s="66"/>
      <c r="QOE40" s="66"/>
      <c r="QOF40" s="66"/>
      <c r="QOG40" s="66"/>
      <c r="QOH40" s="66"/>
      <c r="QOI40" s="66"/>
      <c r="QOJ40" s="66"/>
      <c r="QOK40" s="66"/>
      <c r="QOL40" s="66"/>
      <c r="QOM40" s="66"/>
      <c r="QON40" s="66"/>
      <c r="QOO40" s="66"/>
      <c r="QOP40" s="66"/>
      <c r="QOQ40" s="66"/>
      <c r="QOR40" s="66"/>
      <c r="QOS40" s="66"/>
      <c r="QOT40" s="66"/>
      <c r="QOU40" s="66"/>
      <c r="QOV40" s="66"/>
      <c r="QOW40" s="66"/>
      <c r="QOX40" s="66"/>
      <c r="QOY40" s="66"/>
      <c r="QOZ40" s="66"/>
      <c r="QPA40" s="66"/>
      <c r="QPB40" s="66"/>
      <c r="QPC40" s="66"/>
      <c r="QPD40" s="66"/>
      <c r="QPE40" s="66"/>
      <c r="QPF40" s="66"/>
      <c r="QPG40" s="66"/>
      <c r="QPH40" s="66"/>
      <c r="QPI40" s="66"/>
      <c r="QPJ40" s="66"/>
      <c r="QPK40" s="66"/>
      <c r="QPL40" s="66"/>
      <c r="QPM40" s="66"/>
      <c r="QPN40" s="66"/>
      <c r="QPO40" s="66"/>
      <c r="QPP40" s="66"/>
      <c r="QPQ40" s="66"/>
      <c r="QPR40" s="66"/>
      <c r="QPS40" s="66"/>
      <c r="QPT40" s="66"/>
      <c r="QPU40" s="66"/>
      <c r="QPV40" s="66"/>
      <c r="QPW40" s="66"/>
      <c r="QPX40" s="66"/>
      <c r="QPY40" s="66"/>
      <c r="QPZ40" s="66"/>
      <c r="QQA40" s="66"/>
      <c r="QQB40" s="66"/>
      <c r="QQC40" s="66"/>
      <c r="QQD40" s="66"/>
      <c r="QQE40" s="66"/>
      <c r="QQF40" s="66"/>
      <c r="QQG40" s="66"/>
      <c r="QQH40" s="66"/>
      <c r="QQI40" s="66"/>
      <c r="QQJ40" s="66"/>
      <c r="QQK40" s="66"/>
      <c r="QQL40" s="66"/>
      <c r="QQM40" s="66"/>
      <c r="QQN40" s="66"/>
      <c r="QQO40" s="66"/>
      <c r="QQP40" s="66"/>
      <c r="QQQ40" s="66"/>
      <c r="QQR40" s="66"/>
      <c r="QQS40" s="66"/>
      <c r="QQT40" s="66"/>
      <c r="QQU40" s="66"/>
      <c r="QQV40" s="66"/>
      <c r="QQW40" s="66"/>
      <c r="QQX40" s="66"/>
      <c r="QQY40" s="66"/>
      <c r="QQZ40" s="66"/>
      <c r="QRA40" s="66"/>
      <c r="QRB40" s="66"/>
      <c r="QRC40" s="66"/>
      <c r="QRD40" s="66"/>
      <c r="QRE40" s="66"/>
      <c r="QRF40" s="66"/>
      <c r="QRG40" s="66"/>
      <c r="QRH40" s="66"/>
      <c r="QRI40" s="66"/>
      <c r="QRJ40" s="66"/>
      <c r="QRK40" s="66"/>
      <c r="QRL40" s="66"/>
      <c r="QRM40" s="66"/>
      <c r="QRN40" s="66"/>
      <c r="QRO40" s="66"/>
      <c r="QRP40" s="66"/>
      <c r="QRQ40" s="66"/>
      <c r="QRR40" s="66"/>
      <c r="QRS40" s="66"/>
      <c r="QRT40" s="66"/>
      <c r="QRU40" s="66"/>
      <c r="QRV40" s="66"/>
      <c r="QRW40" s="66"/>
      <c r="QRX40" s="66"/>
      <c r="QRY40" s="66"/>
      <c r="QRZ40" s="66"/>
      <c r="QSA40" s="66"/>
      <c r="QSB40" s="66"/>
      <c r="QSC40" s="66"/>
      <c r="QSD40" s="66"/>
      <c r="QSE40" s="66"/>
      <c r="QSF40" s="66"/>
      <c r="QSG40" s="66"/>
      <c r="QSH40" s="66"/>
      <c r="QSI40" s="66"/>
      <c r="QSJ40" s="66"/>
      <c r="QSK40" s="66"/>
      <c r="QSL40" s="66"/>
      <c r="QSM40" s="66"/>
      <c r="QSN40" s="66"/>
      <c r="QSO40" s="66"/>
      <c r="QSP40" s="66"/>
      <c r="QSQ40" s="66"/>
      <c r="QSR40" s="66"/>
      <c r="QSS40" s="66"/>
      <c r="QST40" s="66"/>
      <c r="QSU40" s="66"/>
      <c r="QSV40" s="66"/>
      <c r="QSW40" s="66"/>
      <c r="QSX40" s="66"/>
      <c r="QSY40" s="66"/>
      <c r="QSZ40" s="66"/>
      <c r="QTA40" s="66"/>
      <c r="QTB40" s="66"/>
      <c r="QTC40" s="66"/>
      <c r="QTD40" s="66"/>
      <c r="QTE40" s="66"/>
      <c r="QTF40" s="66"/>
      <c r="QTG40" s="66"/>
      <c r="QTH40" s="66"/>
      <c r="QTI40" s="66"/>
      <c r="QTJ40" s="66"/>
      <c r="QTK40" s="66"/>
      <c r="QTL40" s="66"/>
      <c r="QTM40" s="66"/>
      <c r="QTN40" s="66"/>
      <c r="QTO40" s="66"/>
      <c r="QTP40" s="66"/>
      <c r="QTQ40" s="66"/>
      <c r="QTR40" s="66"/>
      <c r="QTS40" s="66"/>
      <c r="QTT40" s="66"/>
      <c r="QTU40" s="66"/>
      <c r="QTV40" s="66"/>
      <c r="QTW40" s="66"/>
      <c r="QTX40" s="66"/>
      <c r="QTY40" s="66"/>
      <c r="QTZ40" s="66"/>
      <c r="QUA40" s="66"/>
      <c r="QUB40" s="66"/>
      <c r="QUC40" s="66"/>
      <c r="QUD40" s="66"/>
      <c r="QUE40" s="66"/>
      <c r="QUF40" s="66"/>
      <c r="QUG40" s="66"/>
      <c r="QUH40" s="66"/>
      <c r="QUI40" s="66"/>
      <c r="QUJ40" s="66"/>
      <c r="QUK40" s="66"/>
      <c r="QUL40" s="66"/>
      <c r="QUM40" s="66"/>
      <c r="QUN40" s="66"/>
      <c r="QUO40" s="66"/>
      <c r="QUP40" s="66"/>
      <c r="QUQ40" s="66"/>
      <c r="QUR40" s="66"/>
      <c r="QUS40" s="66"/>
      <c r="QUT40" s="66"/>
      <c r="QUU40" s="66"/>
      <c r="QUV40" s="66"/>
      <c r="QUW40" s="66"/>
      <c r="QUX40" s="66"/>
      <c r="QUY40" s="66"/>
      <c r="QUZ40" s="66"/>
      <c r="QVA40" s="66"/>
      <c r="QVB40" s="66"/>
      <c r="QVC40" s="66"/>
      <c r="QVD40" s="66"/>
      <c r="QVE40" s="66"/>
      <c r="QVF40" s="66"/>
      <c r="QVG40" s="66"/>
      <c r="QVH40" s="66"/>
      <c r="QVI40" s="66"/>
      <c r="QVJ40" s="66"/>
      <c r="QVK40" s="66"/>
      <c r="QVL40" s="66"/>
      <c r="QVM40" s="66"/>
      <c r="QVN40" s="66"/>
      <c r="QVO40" s="66"/>
      <c r="QVP40" s="66"/>
      <c r="QVQ40" s="66"/>
      <c r="QVR40" s="66"/>
      <c r="QVS40" s="66"/>
      <c r="QVT40" s="66"/>
      <c r="QVU40" s="66"/>
      <c r="QVV40" s="66"/>
      <c r="QVW40" s="66"/>
      <c r="QVX40" s="66"/>
      <c r="QVY40" s="66"/>
      <c r="QVZ40" s="66"/>
      <c r="QWA40" s="66"/>
      <c r="QWB40" s="66"/>
      <c r="QWC40" s="66"/>
      <c r="QWD40" s="66"/>
      <c r="QWE40" s="66"/>
      <c r="QWF40" s="66"/>
      <c r="QWG40" s="66"/>
      <c r="QWH40" s="66"/>
      <c r="QWI40" s="66"/>
      <c r="QWJ40" s="66"/>
      <c r="QWK40" s="66"/>
      <c r="QWL40" s="66"/>
      <c r="QWM40" s="66"/>
      <c r="QWN40" s="66"/>
      <c r="QWO40" s="66"/>
      <c r="QWP40" s="66"/>
      <c r="QWQ40" s="66"/>
      <c r="QWR40" s="66"/>
      <c r="QWS40" s="66"/>
      <c r="QWT40" s="66"/>
      <c r="QWU40" s="66"/>
      <c r="QWV40" s="66"/>
      <c r="QWW40" s="66"/>
      <c r="QWX40" s="66"/>
      <c r="QWY40" s="66"/>
      <c r="QWZ40" s="66"/>
      <c r="QXA40" s="66"/>
      <c r="QXB40" s="66"/>
      <c r="QXC40" s="66"/>
      <c r="QXD40" s="66"/>
      <c r="QXE40" s="66"/>
      <c r="QXF40" s="66"/>
      <c r="QXG40" s="66"/>
      <c r="QXH40" s="66"/>
      <c r="QXI40" s="66"/>
      <c r="QXJ40" s="66"/>
      <c r="QXK40" s="66"/>
      <c r="QXL40" s="66"/>
      <c r="QXM40" s="66"/>
      <c r="QXN40" s="66"/>
      <c r="QXO40" s="66"/>
      <c r="QXP40" s="66"/>
      <c r="QXQ40" s="66"/>
      <c r="QXR40" s="66"/>
      <c r="QXS40" s="66"/>
      <c r="QXT40" s="66"/>
      <c r="QXU40" s="66"/>
      <c r="QXV40" s="66"/>
      <c r="QXW40" s="66"/>
      <c r="QXX40" s="66"/>
      <c r="QXY40" s="66"/>
      <c r="QXZ40" s="66"/>
      <c r="QYA40" s="66"/>
      <c r="QYB40" s="66"/>
      <c r="QYC40" s="66"/>
      <c r="QYD40" s="66"/>
      <c r="QYE40" s="66"/>
      <c r="QYF40" s="66"/>
      <c r="QYG40" s="66"/>
      <c r="QYH40" s="66"/>
      <c r="QYI40" s="66"/>
      <c r="QYJ40" s="66"/>
      <c r="QYK40" s="66"/>
      <c r="QYL40" s="66"/>
      <c r="QYM40" s="66"/>
      <c r="QYN40" s="66"/>
      <c r="QYO40" s="66"/>
      <c r="QYP40" s="66"/>
      <c r="QYQ40" s="66"/>
      <c r="QYR40" s="66"/>
      <c r="QYS40" s="66"/>
      <c r="QYT40" s="66"/>
      <c r="QYU40" s="66"/>
      <c r="QYV40" s="66"/>
      <c r="QYW40" s="66"/>
      <c r="QYX40" s="66"/>
      <c r="QYY40" s="66"/>
      <c r="QYZ40" s="66"/>
      <c r="QZA40" s="66"/>
      <c r="QZB40" s="66"/>
      <c r="QZC40" s="66"/>
      <c r="QZD40" s="66"/>
      <c r="QZE40" s="66"/>
      <c r="QZF40" s="66"/>
      <c r="QZG40" s="66"/>
      <c r="QZH40" s="66"/>
      <c r="QZI40" s="66"/>
      <c r="QZJ40" s="66"/>
      <c r="QZK40" s="66"/>
      <c r="QZL40" s="66"/>
      <c r="QZM40" s="66"/>
      <c r="QZN40" s="66"/>
      <c r="QZO40" s="66"/>
      <c r="QZP40" s="66"/>
      <c r="QZQ40" s="66"/>
      <c r="QZR40" s="66"/>
      <c r="QZS40" s="66"/>
      <c r="QZT40" s="66"/>
      <c r="QZU40" s="66"/>
      <c r="QZV40" s="66"/>
      <c r="QZW40" s="66"/>
      <c r="QZX40" s="66"/>
      <c r="QZY40" s="66"/>
      <c r="QZZ40" s="66"/>
      <c r="RAA40" s="66"/>
      <c r="RAB40" s="66"/>
      <c r="RAC40" s="66"/>
      <c r="RAD40" s="66"/>
      <c r="RAE40" s="66"/>
      <c r="RAF40" s="66"/>
      <c r="RAG40" s="66"/>
      <c r="RAH40" s="66"/>
      <c r="RAI40" s="66"/>
      <c r="RAJ40" s="66"/>
      <c r="RAK40" s="66"/>
      <c r="RAL40" s="66"/>
      <c r="RAM40" s="66"/>
      <c r="RAN40" s="66"/>
      <c r="RAO40" s="66"/>
      <c r="RAP40" s="66"/>
      <c r="RAQ40" s="66"/>
      <c r="RAR40" s="66"/>
      <c r="RAS40" s="66"/>
      <c r="RAT40" s="66"/>
      <c r="RAU40" s="66"/>
      <c r="RAV40" s="66"/>
      <c r="RAW40" s="66"/>
      <c r="RAX40" s="66"/>
      <c r="RAY40" s="66"/>
      <c r="RAZ40" s="66"/>
      <c r="RBA40" s="66"/>
      <c r="RBB40" s="66"/>
      <c r="RBC40" s="66"/>
      <c r="RBD40" s="66"/>
      <c r="RBE40" s="66"/>
      <c r="RBF40" s="66"/>
      <c r="RBG40" s="66"/>
      <c r="RBH40" s="66"/>
      <c r="RBI40" s="66"/>
      <c r="RBJ40" s="66"/>
      <c r="RBK40" s="66"/>
      <c r="RBL40" s="66"/>
      <c r="RBM40" s="66"/>
      <c r="RBN40" s="66"/>
      <c r="RBO40" s="66"/>
      <c r="RBP40" s="66"/>
      <c r="RBQ40" s="66"/>
      <c r="RBR40" s="66"/>
      <c r="RBS40" s="66"/>
      <c r="RBT40" s="66"/>
      <c r="RBU40" s="66"/>
      <c r="RBV40" s="66"/>
      <c r="RBW40" s="66"/>
      <c r="RBX40" s="66"/>
      <c r="RBY40" s="66"/>
      <c r="RBZ40" s="66"/>
      <c r="RCA40" s="66"/>
      <c r="RCB40" s="66"/>
      <c r="RCC40" s="66"/>
      <c r="RCD40" s="66"/>
      <c r="RCE40" s="66"/>
      <c r="RCF40" s="66"/>
      <c r="RCG40" s="66"/>
      <c r="RCH40" s="66"/>
      <c r="RCI40" s="66"/>
      <c r="RCJ40" s="66"/>
      <c r="RCK40" s="66"/>
      <c r="RCL40" s="66"/>
      <c r="RCM40" s="66"/>
      <c r="RCN40" s="66"/>
      <c r="RCO40" s="66"/>
      <c r="RCP40" s="66"/>
      <c r="RCQ40" s="66"/>
      <c r="RCR40" s="66"/>
      <c r="RCS40" s="66"/>
      <c r="RCT40" s="66"/>
      <c r="RCU40" s="66"/>
      <c r="RCV40" s="66"/>
      <c r="RCW40" s="66"/>
      <c r="RCX40" s="66"/>
      <c r="RCY40" s="66"/>
      <c r="RCZ40" s="66"/>
      <c r="RDA40" s="66"/>
      <c r="RDB40" s="66"/>
      <c r="RDC40" s="66"/>
      <c r="RDD40" s="66"/>
      <c r="RDE40" s="66"/>
      <c r="RDF40" s="66"/>
      <c r="RDG40" s="66"/>
      <c r="RDH40" s="66"/>
      <c r="RDI40" s="66"/>
      <c r="RDJ40" s="66"/>
      <c r="RDK40" s="66"/>
      <c r="RDL40" s="66"/>
      <c r="RDM40" s="66"/>
      <c r="RDN40" s="66"/>
      <c r="RDO40" s="66"/>
      <c r="RDP40" s="66"/>
      <c r="RDQ40" s="66"/>
      <c r="RDR40" s="66"/>
      <c r="RDS40" s="66"/>
      <c r="RDT40" s="66"/>
      <c r="RDU40" s="66"/>
      <c r="RDV40" s="66"/>
      <c r="RDW40" s="66"/>
      <c r="RDX40" s="66"/>
      <c r="RDY40" s="66"/>
      <c r="RDZ40" s="66"/>
      <c r="REA40" s="66"/>
      <c r="REB40" s="66"/>
      <c r="REC40" s="66"/>
      <c r="RED40" s="66"/>
      <c r="REE40" s="66"/>
      <c r="REF40" s="66"/>
      <c r="REG40" s="66"/>
      <c r="REH40" s="66"/>
      <c r="REI40" s="66"/>
      <c r="REJ40" s="66"/>
      <c r="REK40" s="66"/>
      <c r="REL40" s="66"/>
      <c r="REM40" s="66"/>
      <c r="REN40" s="66"/>
      <c r="REO40" s="66"/>
      <c r="REP40" s="66"/>
      <c r="REQ40" s="66"/>
      <c r="RER40" s="66"/>
      <c r="RES40" s="66"/>
      <c r="RET40" s="66"/>
      <c r="REU40" s="66"/>
      <c r="REV40" s="66"/>
      <c r="REW40" s="66"/>
      <c r="REX40" s="66"/>
      <c r="REY40" s="66"/>
      <c r="REZ40" s="66"/>
      <c r="RFA40" s="66"/>
      <c r="RFB40" s="66"/>
      <c r="RFC40" s="66"/>
      <c r="RFD40" s="66"/>
      <c r="RFE40" s="66"/>
      <c r="RFF40" s="66"/>
      <c r="RFG40" s="66"/>
      <c r="RFH40" s="66"/>
      <c r="RFI40" s="66"/>
      <c r="RFJ40" s="66"/>
      <c r="RFK40" s="66"/>
      <c r="RFL40" s="66"/>
      <c r="RFM40" s="66"/>
      <c r="RFN40" s="66"/>
      <c r="RFO40" s="66"/>
      <c r="RFP40" s="66"/>
      <c r="RFQ40" s="66"/>
      <c r="RFR40" s="66"/>
      <c r="RFS40" s="66"/>
      <c r="RFT40" s="66"/>
      <c r="RFU40" s="66"/>
      <c r="RFV40" s="66"/>
      <c r="RFW40" s="66"/>
      <c r="RFX40" s="66"/>
      <c r="RFY40" s="66"/>
      <c r="RFZ40" s="66"/>
      <c r="RGA40" s="66"/>
      <c r="RGB40" s="66"/>
      <c r="RGC40" s="66"/>
      <c r="RGD40" s="66"/>
      <c r="RGE40" s="66"/>
      <c r="RGF40" s="66"/>
      <c r="RGG40" s="66"/>
      <c r="RGH40" s="66"/>
      <c r="RGI40" s="66"/>
      <c r="RGJ40" s="66"/>
      <c r="RGK40" s="66"/>
      <c r="RGL40" s="66"/>
      <c r="RGM40" s="66"/>
      <c r="RGN40" s="66"/>
      <c r="RGO40" s="66"/>
      <c r="RGP40" s="66"/>
      <c r="RGQ40" s="66"/>
      <c r="RGR40" s="66"/>
      <c r="RGS40" s="66"/>
      <c r="RGT40" s="66"/>
      <c r="RGU40" s="66"/>
      <c r="RGV40" s="66"/>
      <c r="RGW40" s="66"/>
      <c r="RGX40" s="66"/>
      <c r="RGY40" s="66"/>
      <c r="RGZ40" s="66"/>
      <c r="RHA40" s="66"/>
      <c r="RHB40" s="66"/>
      <c r="RHC40" s="66"/>
      <c r="RHD40" s="66"/>
      <c r="RHE40" s="66"/>
      <c r="RHF40" s="66"/>
      <c r="RHG40" s="66"/>
      <c r="RHH40" s="66"/>
      <c r="RHI40" s="66"/>
      <c r="RHJ40" s="66"/>
      <c r="RHK40" s="66"/>
      <c r="RHL40" s="66"/>
      <c r="RHM40" s="66"/>
      <c r="RHN40" s="66"/>
      <c r="RHO40" s="66"/>
      <c r="RHP40" s="66"/>
      <c r="RHQ40" s="66"/>
      <c r="RHR40" s="66"/>
      <c r="RHS40" s="66"/>
      <c r="RHT40" s="66"/>
      <c r="RHU40" s="66"/>
      <c r="RHV40" s="66"/>
      <c r="RHW40" s="66"/>
      <c r="RHX40" s="66"/>
      <c r="RHY40" s="66"/>
      <c r="RHZ40" s="66"/>
      <c r="RIA40" s="66"/>
      <c r="RIB40" s="66"/>
      <c r="RIC40" s="66"/>
      <c r="RID40" s="66"/>
      <c r="RIE40" s="66"/>
      <c r="RIF40" s="66"/>
      <c r="RIG40" s="66"/>
      <c r="RIH40" s="66"/>
      <c r="RII40" s="66"/>
      <c r="RIJ40" s="66"/>
      <c r="RIK40" s="66"/>
      <c r="RIL40" s="66"/>
      <c r="RIM40" s="66"/>
      <c r="RIN40" s="66"/>
      <c r="RIO40" s="66"/>
      <c r="RIP40" s="66"/>
      <c r="RIQ40" s="66"/>
      <c r="RIR40" s="66"/>
      <c r="RIS40" s="66"/>
      <c r="RIT40" s="66"/>
      <c r="RIU40" s="66"/>
      <c r="RIV40" s="66"/>
      <c r="RIW40" s="66"/>
      <c r="RIX40" s="66"/>
      <c r="RIY40" s="66"/>
      <c r="RIZ40" s="66"/>
      <c r="RJA40" s="66"/>
      <c r="RJB40" s="66"/>
      <c r="RJC40" s="66"/>
      <c r="RJD40" s="66"/>
      <c r="RJE40" s="66"/>
      <c r="RJF40" s="66"/>
      <c r="RJG40" s="66"/>
      <c r="RJH40" s="66"/>
      <c r="RJI40" s="66"/>
      <c r="RJJ40" s="66"/>
      <c r="RJK40" s="66"/>
      <c r="RJL40" s="66"/>
      <c r="RJM40" s="66"/>
      <c r="RJN40" s="66"/>
      <c r="RJO40" s="66"/>
      <c r="RJP40" s="66"/>
      <c r="RJQ40" s="66"/>
      <c r="RJR40" s="66"/>
      <c r="RJS40" s="66"/>
      <c r="RJT40" s="66"/>
      <c r="RJU40" s="66"/>
      <c r="RJV40" s="66"/>
      <c r="RJW40" s="66"/>
      <c r="RJX40" s="66"/>
      <c r="RJY40" s="66"/>
      <c r="RJZ40" s="66"/>
      <c r="RKA40" s="66"/>
      <c r="RKB40" s="66"/>
      <c r="RKC40" s="66"/>
      <c r="RKD40" s="66"/>
      <c r="RKE40" s="66"/>
      <c r="RKF40" s="66"/>
      <c r="RKG40" s="66"/>
      <c r="RKH40" s="66"/>
      <c r="RKI40" s="66"/>
      <c r="RKJ40" s="66"/>
      <c r="RKK40" s="66"/>
      <c r="RKL40" s="66"/>
      <c r="RKM40" s="66"/>
      <c r="RKN40" s="66"/>
      <c r="RKO40" s="66"/>
      <c r="RKP40" s="66"/>
      <c r="RKQ40" s="66"/>
      <c r="RKR40" s="66"/>
      <c r="RKS40" s="66"/>
      <c r="RKT40" s="66"/>
      <c r="RKU40" s="66"/>
      <c r="RKV40" s="66"/>
      <c r="RKW40" s="66"/>
      <c r="RKX40" s="66"/>
      <c r="RKY40" s="66"/>
      <c r="RKZ40" s="66"/>
      <c r="RLA40" s="66"/>
      <c r="RLB40" s="66"/>
      <c r="RLC40" s="66"/>
      <c r="RLD40" s="66"/>
      <c r="RLE40" s="66"/>
      <c r="RLF40" s="66"/>
      <c r="RLG40" s="66"/>
      <c r="RLH40" s="66"/>
      <c r="RLI40" s="66"/>
      <c r="RLJ40" s="66"/>
      <c r="RLK40" s="66"/>
      <c r="RLL40" s="66"/>
      <c r="RLM40" s="66"/>
      <c r="RLN40" s="66"/>
      <c r="RLO40" s="66"/>
      <c r="RLP40" s="66"/>
      <c r="RLQ40" s="66"/>
      <c r="RLR40" s="66"/>
      <c r="RLS40" s="66"/>
      <c r="RLT40" s="66"/>
      <c r="RLU40" s="66"/>
      <c r="RLV40" s="66"/>
      <c r="RLW40" s="66"/>
      <c r="RLX40" s="66"/>
      <c r="RLY40" s="66"/>
      <c r="RLZ40" s="66"/>
      <c r="RMA40" s="66"/>
      <c r="RMB40" s="66"/>
      <c r="RMC40" s="66"/>
      <c r="RMD40" s="66"/>
      <c r="RME40" s="66"/>
      <c r="RMF40" s="66"/>
      <c r="RMG40" s="66"/>
      <c r="RMH40" s="66"/>
      <c r="RMI40" s="66"/>
      <c r="RMJ40" s="66"/>
      <c r="RMK40" s="66"/>
      <c r="RML40" s="66"/>
      <c r="RMM40" s="66"/>
      <c r="RMN40" s="66"/>
      <c r="RMO40" s="66"/>
      <c r="RMP40" s="66"/>
      <c r="RMQ40" s="66"/>
      <c r="RMR40" s="66"/>
      <c r="RMS40" s="66"/>
      <c r="RMT40" s="66"/>
      <c r="RMU40" s="66"/>
      <c r="RMV40" s="66"/>
      <c r="RMW40" s="66"/>
      <c r="RMX40" s="66"/>
      <c r="RMY40" s="66"/>
      <c r="RMZ40" s="66"/>
      <c r="RNA40" s="66"/>
      <c r="RNB40" s="66"/>
      <c r="RNC40" s="66"/>
      <c r="RND40" s="66"/>
      <c r="RNE40" s="66"/>
      <c r="RNF40" s="66"/>
      <c r="RNG40" s="66"/>
      <c r="RNH40" s="66"/>
      <c r="RNI40" s="66"/>
      <c r="RNJ40" s="66"/>
      <c r="RNK40" s="66"/>
      <c r="RNL40" s="66"/>
      <c r="RNM40" s="66"/>
      <c r="RNN40" s="66"/>
      <c r="RNO40" s="66"/>
      <c r="RNP40" s="66"/>
      <c r="RNQ40" s="66"/>
      <c r="RNR40" s="66"/>
      <c r="RNS40" s="66"/>
      <c r="RNT40" s="66"/>
      <c r="RNU40" s="66"/>
      <c r="RNV40" s="66"/>
      <c r="RNW40" s="66"/>
      <c r="RNX40" s="66"/>
      <c r="RNY40" s="66"/>
      <c r="RNZ40" s="66"/>
      <c r="ROA40" s="66"/>
      <c r="ROB40" s="66"/>
      <c r="ROC40" s="66"/>
      <c r="ROD40" s="66"/>
      <c r="ROE40" s="66"/>
      <c r="ROF40" s="66"/>
      <c r="ROG40" s="66"/>
      <c r="ROH40" s="66"/>
      <c r="ROI40" s="66"/>
      <c r="ROJ40" s="66"/>
      <c r="ROK40" s="66"/>
      <c r="ROL40" s="66"/>
      <c r="ROM40" s="66"/>
      <c r="RON40" s="66"/>
      <c r="ROO40" s="66"/>
      <c r="ROP40" s="66"/>
      <c r="ROQ40" s="66"/>
      <c r="ROR40" s="66"/>
      <c r="ROS40" s="66"/>
      <c r="ROT40" s="66"/>
      <c r="ROU40" s="66"/>
      <c r="ROV40" s="66"/>
      <c r="ROW40" s="66"/>
      <c r="ROX40" s="66"/>
      <c r="ROY40" s="66"/>
      <c r="ROZ40" s="66"/>
      <c r="RPA40" s="66"/>
      <c r="RPB40" s="66"/>
      <c r="RPC40" s="66"/>
      <c r="RPD40" s="66"/>
      <c r="RPE40" s="66"/>
      <c r="RPF40" s="66"/>
      <c r="RPG40" s="66"/>
      <c r="RPH40" s="66"/>
      <c r="RPI40" s="66"/>
      <c r="RPJ40" s="66"/>
      <c r="RPK40" s="66"/>
      <c r="RPL40" s="66"/>
      <c r="RPM40" s="66"/>
      <c r="RPN40" s="66"/>
      <c r="RPO40" s="66"/>
      <c r="RPP40" s="66"/>
      <c r="RPQ40" s="66"/>
      <c r="RPR40" s="66"/>
      <c r="RPS40" s="66"/>
      <c r="RPT40" s="66"/>
      <c r="RPU40" s="66"/>
      <c r="RPV40" s="66"/>
      <c r="RPW40" s="66"/>
      <c r="RPX40" s="66"/>
      <c r="RPY40" s="66"/>
      <c r="RPZ40" s="66"/>
      <c r="RQA40" s="66"/>
      <c r="RQB40" s="66"/>
      <c r="RQC40" s="66"/>
      <c r="RQD40" s="66"/>
      <c r="RQE40" s="66"/>
      <c r="RQF40" s="66"/>
      <c r="RQG40" s="66"/>
      <c r="RQH40" s="66"/>
      <c r="RQI40" s="66"/>
      <c r="RQJ40" s="66"/>
      <c r="RQK40" s="66"/>
      <c r="RQL40" s="66"/>
      <c r="RQM40" s="66"/>
      <c r="RQN40" s="66"/>
      <c r="RQO40" s="66"/>
      <c r="RQP40" s="66"/>
      <c r="RQQ40" s="66"/>
      <c r="RQR40" s="66"/>
      <c r="RQS40" s="66"/>
      <c r="RQT40" s="66"/>
      <c r="RQU40" s="66"/>
      <c r="RQV40" s="66"/>
      <c r="RQW40" s="66"/>
      <c r="RQX40" s="66"/>
      <c r="RQY40" s="66"/>
      <c r="RQZ40" s="66"/>
      <c r="RRA40" s="66"/>
      <c r="RRB40" s="66"/>
      <c r="RRC40" s="66"/>
      <c r="RRD40" s="66"/>
      <c r="RRE40" s="66"/>
      <c r="RRF40" s="66"/>
      <c r="RRG40" s="66"/>
      <c r="RRH40" s="66"/>
      <c r="RRI40" s="66"/>
      <c r="RRJ40" s="66"/>
      <c r="RRK40" s="66"/>
      <c r="RRL40" s="66"/>
      <c r="RRM40" s="66"/>
      <c r="RRN40" s="66"/>
      <c r="RRO40" s="66"/>
      <c r="RRP40" s="66"/>
      <c r="RRQ40" s="66"/>
      <c r="RRR40" s="66"/>
      <c r="RRS40" s="66"/>
      <c r="RRT40" s="66"/>
      <c r="RRU40" s="66"/>
      <c r="RRV40" s="66"/>
      <c r="RRW40" s="66"/>
      <c r="RRX40" s="66"/>
      <c r="RRY40" s="66"/>
      <c r="RRZ40" s="66"/>
      <c r="RSA40" s="66"/>
      <c r="RSB40" s="66"/>
      <c r="RSC40" s="66"/>
      <c r="RSD40" s="66"/>
      <c r="RSE40" s="66"/>
      <c r="RSF40" s="66"/>
      <c r="RSG40" s="66"/>
      <c r="RSH40" s="66"/>
      <c r="RSI40" s="66"/>
      <c r="RSJ40" s="66"/>
      <c r="RSK40" s="66"/>
      <c r="RSL40" s="66"/>
      <c r="RSM40" s="66"/>
      <c r="RSN40" s="66"/>
      <c r="RSO40" s="66"/>
      <c r="RSP40" s="66"/>
      <c r="RSQ40" s="66"/>
      <c r="RSR40" s="66"/>
      <c r="RSS40" s="66"/>
      <c r="RST40" s="66"/>
      <c r="RSU40" s="66"/>
      <c r="RSV40" s="66"/>
      <c r="RSW40" s="66"/>
      <c r="RSX40" s="66"/>
      <c r="RSY40" s="66"/>
      <c r="RSZ40" s="66"/>
      <c r="RTA40" s="66"/>
      <c r="RTB40" s="66"/>
      <c r="RTC40" s="66"/>
      <c r="RTD40" s="66"/>
      <c r="RTE40" s="66"/>
      <c r="RTF40" s="66"/>
      <c r="RTG40" s="66"/>
      <c r="RTH40" s="66"/>
      <c r="RTI40" s="66"/>
      <c r="RTJ40" s="66"/>
      <c r="RTK40" s="66"/>
      <c r="RTL40" s="66"/>
      <c r="RTM40" s="66"/>
      <c r="RTN40" s="66"/>
      <c r="RTO40" s="66"/>
      <c r="RTP40" s="66"/>
      <c r="RTQ40" s="66"/>
      <c r="RTR40" s="66"/>
      <c r="RTS40" s="66"/>
      <c r="RTT40" s="66"/>
      <c r="RTU40" s="66"/>
      <c r="RTV40" s="66"/>
      <c r="RTW40" s="66"/>
      <c r="RTX40" s="66"/>
      <c r="RTY40" s="66"/>
      <c r="RTZ40" s="66"/>
      <c r="RUA40" s="66"/>
      <c r="RUB40" s="66"/>
      <c r="RUC40" s="66"/>
      <c r="RUD40" s="66"/>
      <c r="RUE40" s="66"/>
      <c r="RUF40" s="66"/>
      <c r="RUG40" s="66"/>
      <c r="RUH40" s="66"/>
      <c r="RUI40" s="66"/>
      <c r="RUJ40" s="66"/>
      <c r="RUK40" s="66"/>
      <c r="RUL40" s="66"/>
      <c r="RUM40" s="66"/>
      <c r="RUN40" s="66"/>
      <c r="RUO40" s="66"/>
      <c r="RUP40" s="66"/>
      <c r="RUQ40" s="66"/>
      <c r="RUR40" s="66"/>
      <c r="RUS40" s="66"/>
      <c r="RUT40" s="66"/>
      <c r="RUU40" s="66"/>
      <c r="RUV40" s="66"/>
      <c r="RUW40" s="66"/>
      <c r="RUX40" s="66"/>
      <c r="RUY40" s="66"/>
      <c r="RUZ40" s="66"/>
      <c r="RVA40" s="66"/>
      <c r="RVB40" s="66"/>
      <c r="RVC40" s="66"/>
      <c r="RVD40" s="66"/>
      <c r="RVE40" s="66"/>
      <c r="RVF40" s="66"/>
      <c r="RVG40" s="66"/>
      <c r="RVH40" s="66"/>
      <c r="RVI40" s="66"/>
      <c r="RVJ40" s="66"/>
      <c r="RVK40" s="66"/>
      <c r="RVL40" s="66"/>
      <c r="RVM40" s="66"/>
      <c r="RVN40" s="66"/>
      <c r="RVO40" s="66"/>
      <c r="RVP40" s="66"/>
      <c r="RVQ40" s="66"/>
      <c r="RVR40" s="66"/>
      <c r="RVS40" s="66"/>
      <c r="RVT40" s="66"/>
      <c r="RVU40" s="66"/>
      <c r="RVV40" s="66"/>
      <c r="RVW40" s="66"/>
      <c r="RVX40" s="66"/>
      <c r="RVY40" s="66"/>
      <c r="RVZ40" s="66"/>
      <c r="RWA40" s="66"/>
      <c r="RWB40" s="66"/>
      <c r="RWC40" s="66"/>
      <c r="RWD40" s="66"/>
      <c r="RWE40" s="66"/>
      <c r="RWF40" s="66"/>
      <c r="RWG40" s="66"/>
      <c r="RWH40" s="66"/>
      <c r="RWI40" s="66"/>
      <c r="RWJ40" s="66"/>
      <c r="RWK40" s="66"/>
      <c r="RWL40" s="66"/>
      <c r="RWM40" s="66"/>
      <c r="RWN40" s="66"/>
      <c r="RWO40" s="66"/>
      <c r="RWP40" s="66"/>
      <c r="RWQ40" s="66"/>
      <c r="RWR40" s="66"/>
      <c r="RWS40" s="66"/>
      <c r="RWT40" s="66"/>
      <c r="RWU40" s="66"/>
      <c r="RWV40" s="66"/>
      <c r="RWW40" s="66"/>
      <c r="RWX40" s="66"/>
      <c r="RWY40" s="66"/>
      <c r="RWZ40" s="66"/>
      <c r="RXA40" s="66"/>
      <c r="RXB40" s="66"/>
      <c r="RXC40" s="66"/>
      <c r="RXD40" s="66"/>
      <c r="RXE40" s="66"/>
      <c r="RXF40" s="66"/>
      <c r="RXG40" s="66"/>
      <c r="RXH40" s="66"/>
      <c r="RXI40" s="66"/>
      <c r="RXJ40" s="66"/>
      <c r="RXK40" s="66"/>
      <c r="RXL40" s="66"/>
      <c r="RXM40" s="66"/>
      <c r="RXN40" s="66"/>
      <c r="RXO40" s="66"/>
      <c r="RXP40" s="66"/>
      <c r="RXQ40" s="66"/>
      <c r="RXR40" s="66"/>
      <c r="RXS40" s="66"/>
      <c r="RXT40" s="66"/>
      <c r="RXU40" s="66"/>
      <c r="RXV40" s="66"/>
      <c r="RXW40" s="66"/>
      <c r="RXX40" s="66"/>
      <c r="RXY40" s="66"/>
      <c r="RXZ40" s="66"/>
      <c r="RYA40" s="66"/>
      <c r="RYB40" s="66"/>
      <c r="RYC40" s="66"/>
      <c r="RYD40" s="66"/>
      <c r="RYE40" s="66"/>
      <c r="RYF40" s="66"/>
      <c r="RYG40" s="66"/>
      <c r="RYH40" s="66"/>
      <c r="RYI40" s="66"/>
      <c r="RYJ40" s="66"/>
      <c r="RYK40" s="66"/>
      <c r="RYL40" s="66"/>
      <c r="RYM40" s="66"/>
      <c r="RYN40" s="66"/>
      <c r="RYO40" s="66"/>
      <c r="RYP40" s="66"/>
      <c r="RYQ40" s="66"/>
      <c r="RYR40" s="66"/>
      <c r="RYS40" s="66"/>
      <c r="RYT40" s="66"/>
      <c r="RYU40" s="66"/>
      <c r="RYV40" s="66"/>
      <c r="RYW40" s="66"/>
      <c r="RYX40" s="66"/>
      <c r="RYY40" s="66"/>
      <c r="RYZ40" s="66"/>
      <c r="RZA40" s="66"/>
      <c r="RZB40" s="66"/>
      <c r="RZC40" s="66"/>
      <c r="RZD40" s="66"/>
      <c r="RZE40" s="66"/>
      <c r="RZF40" s="66"/>
      <c r="RZG40" s="66"/>
      <c r="RZH40" s="66"/>
      <c r="RZI40" s="66"/>
      <c r="RZJ40" s="66"/>
      <c r="RZK40" s="66"/>
      <c r="RZL40" s="66"/>
      <c r="RZM40" s="66"/>
      <c r="RZN40" s="66"/>
      <c r="RZO40" s="66"/>
      <c r="RZP40" s="66"/>
      <c r="RZQ40" s="66"/>
      <c r="RZR40" s="66"/>
      <c r="RZS40" s="66"/>
      <c r="RZT40" s="66"/>
      <c r="RZU40" s="66"/>
      <c r="RZV40" s="66"/>
      <c r="RZW40" s="66"/>
      <c r="RZX40" s="66"/>
      <c r="RZY40" s="66"/>
      <c r="RZZ40" s="66"/>
      <c r="SAA40" s="66"/>
      <c r="SAB40" s="66"/>
      <c r="SAC40" s="66"/>
      <c r="SAD40" s="66"/>
      <c r="SAE40" s="66"/>
      <c r="SAF40" s="66"/>
      <c r="SAG40" s="66"/>
      <c r="SAH40" s="66"/>
      <c r="SAI40" s="66"/>
      <c r="SAJ40" s="66"/>
      <c r="SAK40" s="66"/>
      <c r="SAL40" s="66"/>
      <c r="SAM40" s="66"/>
      <c r="SAN40" s="66"/>
      <c r="SAO40" s="66"/>
      <c r="SAP40" s="66"/>
      <c r="SAQ40" s="66"/>
      <c r="SAR40" s="66"/>
      <c r="SAS40" s="66"/>
      <c r="SAT40" s="66"/>
      <c r="SAU40" s="66"/>
      <c r="SAV40" s="66"/>
      <c r="SAW40" s="66"/>
      <c r="SAX40" s="66"/>
      <c r="SAY40" s="66"/>
      <c r="SAZ40" s="66"/>
      <c r="SBA40" s="66"/>
      <c r="SBB40" s="66"/>
      <c r="SBC40" s="66"/>
      <c r="SBD40" s="66"/>
      <c r="SBE40" s="66"/>
      <c r="SBF40" s="66"/>
      <c r="SBG40" s="66"/>
      <c r="SBH40" s="66"/>
      <c r="SBI40" s="66"/>
      <c r="SBJ40" s="66"/>
      <c r="SBK40" s="66"/>
      <c r="SBL40" s="66"/>
      <c r="SBM40" s="66"/>
      <c r="SBN40" s="66"/>
      <c r="SBO40" s="66"/>
      <c r="SBP40" s="66"/>
      <c r="SBQ40" s="66"/>
      <c r="SBR40" s="66"/>
      <c r="SBS40" s="66"/>
      <c r="SBT40" s="66"/>
      <c r="SBU40" s="66"/>
      <c r="SBV40" s="66"/>
      <c r="SBW40" s="66"/>
      <c r="SBX40" s="66"/>
      <c r="SBY40" s="66"/>
      <c r="SBZ40" s="66"/>
      <c r="SCA40" s="66"/>
      <c r="SCB40" s="66"/>
      <c r="SCC40" s="66"/>
      <c r="SCD40" s="66"/>
      <c r="SCE40" s="66"/>
      <c r="SCF40" s="66"/>
      <c r="SCG40" s="66"/>
      <c r="SCH40" s="66"/>
      <c r="SCI40" s="66"/>
      <c r="SCJ40" s="66"/>
      <c r="SCK40" s="66"/>
      <c r="SCL40" s="66"/>
      <c r="SCM40" s="66"/>
      <c r="SCN40" s="66"/>
      <c r="SCO40" s="66"/>
      <c r="SCP40" s="66"/>
      <c r="SCQ40" s="66"/>
      <c r="SCR40" s="66"/>
      <c r="SCS40" s="66"/>
      <c r="SCT40" s="66"/>
      <c r="SCU40" s="66"/>
      <c r="SCV40" s="66"/>
      <c r="SCW40" s="66"/>
      <c r="SCX40" s="66"/>
      <c r="SCY40" s="66"/>
      <c r="SCZ40" s="66"/>
      <c r="SDA40" s="66"/>
      <c r="SDB40" s="66"/>
      <c r="SDC40" s="66"/>
      <c r="SDD40" s="66"/>
      <c r="SDE40" s="66"/>
      <c r="SDF40" s="66"/>
      <c r="SDG40" s="66"/>
      <c r="SDH40" s="66"/>
      <c r="SDI40" s="66"/>
      <c r="SDJ40" s="66"/>
      <c r="SDK40" s="66"/>
      <c r="SDL40" s="66"/>
      <c r="SDM40" s="66"/>
      <c r="SDN40" s="66"/>
      <c r="SDO40" s="66"/>
      <c r="SDP40" s="66"/>
      <c r="SDQ40" s="66"/>
      <c r="SDR40" s="66"/>
      <c r="SDS40" s="66"/>
      <c r="SDT40" s="66"/>
      <c r="SDU40" s="66"/>
      <c r="SDV40" s="66"/>
      <c r="SDW40" s="66"/>
      <c r="SDX40" s="66"/>
      <c r="SDY40" s="66"/>
      <c r="SDZ40" s="66"/>
      <c r="SEA40" s="66"/>
      <c r="SEB40" s="66"/>
      <c r="SEC40" s="66"/>
      <c r="SED40" s="66"/>
      <c r="SEE40" s="66"/>
      <c r="SEF40" s="66"/>
      <c r="SEG40" s="66"/>
      <c r="SEH40" s="66"/>
      <c r="SEI40" s="66"/>
      <c r="SEJ40" s="66"/>
      <c r="SEK40" s="66"/>
      <c r="SEL40" s="66"/>
      <c r="SEM40" s="66"/>
      <c r="SEN40" s="66"/>
      <c r="SEO40" s="66"/>
      <c r="SEP40" s="66"/>
      <c r="SEQ40" s="66"/>
      <c r="SER40" s="66"/>
      <c r="SES40" s="66"/>
      <c r="SET40" s="66"/>
      <c r="SEU40" s="66"/>
      <c r="SEV40" s="66"/>
      <c r="SEW40" s="66"/>
      <c r="SEX40" s="66"/>
      <c r="SEY40" s="66"/>
      <c r="SEZ40" s="66"/>
      <c r="SFA40" s="66"/>
      <c r="SFB40" s="66"/>
      <c r="SFC40" s="66"/>
      <c r="SFD40" s="66"/>
      <c r="SFE40" s="66"/>
      <c r="SFF40" s="66"/>
      <c r="SFG40" s="66"/>
      <c r="SFH40" s="66"/>
      <c r="SFI40" s="66"/>
      <c r="SFJ40" s="66"/>
      <c r="SFK40" s="66"/>
      <c r="SFL40" s="66"/>
      <c r="SFM40" s="66"/>
      <c r="SFN40" s="66"/>
      <c r="SFO40" s="66"/>
      <c r="SFP40" s="66"/>
      <c r="SFQ40" s="66"/>
      <c r="SFR40" s="66"/>
      <c r="SFS40" s="66"/>
      <c r="SFT40" s="66"/>
      <c r="SFU40" s="66"/>
      <c r="SFV40" s="66"/>
      <c r="SFW40" s="66"/>
      <c r="SFX40" s="66"/>
      <c r="SFY40" s="66"/>
      <c r="SFZ40" s="66"/>
      <c r="SGA40" s="66"/>
      <c r="SGB40" s="66"/>
      <c r="SGC40" s="66"/>
      <c r="SGD40" s="66"/>
      <c r="SGE40" s="66"/>
      <c r="SGF40" s="66"/>
      <c r="SGG40" s="66"/>
      <c r="SGH40" s="66"/>
      <c r="SGI40" s="66"/>
      <c r="SGJ40" s="66"/>
      <c r="SGK40" s="66"/>
      <c r="SGL40" s="66"/>
      <c r="SGM40" s="66"/>
      <c r="SGN40" s="66"/>
      <c r="SGO40" s="66"/>
      <c r="SGP40" s="66"/>
      <c r="SGQ40" s="66"/>
      <c r="SGR40" s="66"/>
      <c r="SGS40" s="66"/>
      <c r="SGT40" s="66"/>
      <c r="SGU40" s="66"/>
      <c r="SGV40" s="66"/>
      <c r="SGW40" s="66"/>
      <c r="SGX40" s="66"/>
      <c r="SGY40" s="66"/>
      <c r="SGZ40" s="66"/>
      <c r="SHA40" s="66"/>
      <c r="SHB40" s="66"/>
      <c r="SHC40" s="66"/>
      <c r="SHD40" s="66"/>
      <c r="SHE40" s="66"/>
      <c r="SHF40" s="66"/>
      <c r="SHG40" s="66"/>
      <c r="SHH40" s="66"/>
      <c r="SHI40" s="66"/>
      <c r="SHJ40" s="66"/>
      <c r="SHK40" s="66"/>
      <c r="SHL40" s="66"/>
      <c r="SHM40" s="66"/>
      <c r="SHN40" s="66"/>
      <c r="SHO40" s="66"/>
      <c r="SHP40" s="66"/>
      <c r="SHQ40" s="66"/>
      <c r="SHR40" s="66"/>
      <c r="SHS40" s="66"/>
      <c r="SHT40" s="66"/>
      <c r="SHU40" s="66"/>
      <c r="SHV40" s="66"/>
      <c r="SHW40" s="66"/>
      <c r="SHX40" s="66"/>
      <c r="SHY40" s="66"/>
      <c r="SHZ40" s="66"/>
      <c r="SIA40" s="66"/>
      <c r="SIB40" s="66"/>
      <c r="SIC40" s="66"/>
      <c r="SID40" s="66"/>
      <c r="SIE40" s="66"/>
      <c r="SIF40" s="66"/>
      <c r="SIG40" s="66"/>
      <c r="SIH40" s="66"/>
      <c r="SII40" s="66"/>
      <c r="SIJ40" s="66"/>
      <c r="SIK40" s="66"/>
      <c r="SIL40" s="66"/>
      <c r="SIM40" s="66"/>
      <c r="SIN40" s="66"/>
      <c r="SIO40" s="66"/>
      <c r="SIP40" s="66"/>
      <c r="SIQ40" s="66"/>
      <c r="SIR40" s="66"/>
      <c r="SIS40" s="66"/>
      <c r="SIT40" s="66"/>
      <c r="SIU40" s="66"/>
      <c r="SIV40" s="66"/>
      <c r="SIW40" s="66"/>
      <c r="SIX40" s="66"/>
      <c r="SIY40" s="66"/>
      <c r="SIZ40" s="66"/>
      <c r="SJA40" s="66"/>
      <c r="SJB40" s="66"/>
      <c r="SJC40" s="66"/>
      <c r="SJD40" s="66"/>
      <c r="SJE40" s="66"/>
      <c r="SJF40" s="66"/>
      <c r="SJG40" s="66"/>
      <c r="SJH40" s="66"/>
      <c r="SJI40" s="66"/>
      <c r="SJJ40" s="66"/>
      <c r="SJK40" s="66"/>
      <c r="SJL40" s="66"/>
      <c r="SJM40" s="66"/>
      <c r="SJN40" s="66"/>
      <c r="SJO40" s="66"/>
      <c r="SJP40" s="66"/>
      <c r="SJQ40" s="66"/>
      <c r="SJR40" s="66"/>
      <c r="SJS40" s="66"/>
      <c r="SJT40" s="66"/>
      <c r="SJU40" s="66"/>
      <c r="SJV40" s="66"/>
      <c r="SJW40" s="66"/>
      <c r="SJX40" s="66"/>
      <c r="SJY40" s="66"/>
      <c r="SJZ40" s="66"/>
      <c r="SKA40" s="66"/>
      <c r="SKB40" s="66"/>
      <c r="SKC40" s="66"/>
      <c r="SKD40" s="66"/>
      <c r="SKE40" s="66"/>
      <c r="SKF40" s="66"/>
      <c r="SKG40" s="66"/>
      <c r="SKH40" s="66"/>
      <c r="SKI40" s="66"/>
      <c r="SKJ40" s="66"/>
      <c r="SKK40" s="66"/>
      <c r="SKL40" s="66"/>
      <c r="SKM40" s="66"/>
      <c r="SKN40" s="66"/>
      <c r="SKO40" s="66"/>
      <c r="SKP40" s="66"/>
      <c r="SKQ40" s="66"/>
      <c r="SKR40" s="66"/>
      <c r="SKS40" s="66"/>
      <c r="SKT40" s="66"/>
      <c r="SKU40" s="66"/>
      <c r="SKV40" s="66"/>
      <c r="SKW40" s="66"/>
      <c r="SKX40" s="66"/>
      <c r="SKY40" s="66"/>
      <c r="SKZ40" s="66"/>
      <c r="SLA40" s="66"/>
      <c r="SLB40" s="66"/>
      <c r="SLC40" s="66"/>
      <c r="SLD40" s="66"/>
      <c r="SLE40" s="66"/>
      <c r="SLF40" s="66"/>
      <c r="SLG40" s="66"/>
      <c r="SLH40" s="66"/>
      <c r="SLI40" s="66"/>
      <c r="SLJ40" s="66"/>
      <c r="SLK40" s="66"/>
      <c r="SLL40" s="66"/>
      <c r="SLM40" s="66"/>
      <c r="SLN40" s="66"/>
      <c r="SLO40" s="66"/>
      <c r="SLP40" s="66"/>
      <c r="SLQ40" s="66"/>
      <c r="SLR40" s="66"/>
      <c r="SLS40" s="66"/>
      <c r="SLT40" s="66"/>
      <c r="SLU40" s="66"/>
      <c r="SLV40" s="66"/>
      <c r="SLW40" s="66"/>
      <c r="SLX40" s="66"/>
      <c r="SLY40" s="66"/>
      <c r="SLZ40" s="66"/>
      <c r="SMA40" s="66"/>
      <c r="SMB40" s="66"/>
      <c r="SMC40" s="66"/>
      <c r="SMD40" s="66"/>
      <c r="SME40" s="66"/>
      <c r="SMF40" s="66"/>
      <c r="SMG40" s="66"/>
      <c r="SMH40" s="66"/>
      <c r="SMI40" s="66"/>
      <c r="SMJ40" s="66"/>
      <c r="SMK40" s="66"/>
      <c r="SML40" s="66"/>
      <c r="SMM40" s="66"/>
      <c r="SMN40" s="66"/>
      <c r="SMO40" s="66"/>
      <c r="SMP40" s="66"/>
      <c r="SMQ40" s="66"/>
      <c r="SMR40" s="66"/>
      <c r="SMS40" s="66"/>
      <c r="SMT40" s="66"/>
      <c r="SMU40" s="66"/>
      <c r="SMV40" s="66"/>
      <c r="SMW40" s="66"/>
      <c r="SMX40" s="66"/>
      <c r="SMY40" s="66"/>
      <c r="SMZ40" s="66"/>
      <c r="SNA40" s="66"/>
      <c r="SNB40" s="66"/>
      <c r="SNC40" s="66"/>
      <c r="SND40" s="66"/>
      <c r="SNE40" s="66"/>
      <c r="SNF40" s="66"/>
      <c r="SNG40" s="66"/>
      <c r="SNH40" s="66"/>
      <c r="SNI40" s="66"/>
      <c r="SNJ40" s="66"/>
      <c r="SNK40" s="66"/>
      <c r="SNL40" s="66"/>
      <c r="SNM40" s="66"/>
      <c r="SNN40" s="66"/>
      <c r="SNO40" s="66"/>
      <c r="SNP40" s="66"/>
      <c r="SNQ40" s="66"/>
      <c r="SNR40" s="66"/>
      <c r="SNS40" s="66"/>
      <c r="SNT40" s="66"/>
      <c r="SNU40" s="66"/>
      <c r="SNV40" s="66"/>
      <c r="SNW40" s="66"/>
      <c r="SNX40" s="66"/>
      <c r="SNY40" s="66"/>
      <c r="SNZ40" s="66"/>
      <c r="SOA40" s="66"/>
      <c r="SOB40" s="66"/>
      <c r="SOC40" s="66"/>
      <c r="SOD40" s="66"/>
      <c r="SOE40" s="66"/>
      <c r="SOF40" s="66"/>
      <c r="SOG40" s="66"/>
      <c r="SOH40" s="66"/>
      <c r="SOI40" s="66"/>
      <c r="SOJ40" s="66"/>
      <c r="SOK40" s="66"/>
      <c r="SOL40" s="66"/>
      <c r="SOM40" s="66"/>
      <c r="SON40" s="66"/>
      <c r="SOO40" s="66"/>
      <c r="SOP40" s="66"/>
      <c r="SOQ40" s="66"/>
      <c r="SOR40" s="66"/>
      <c r="SOS40" s="66"/>
      <c r="SOT40" s="66"/>
      <c r="SOU40" s="66"/>
      <c r="SOV40" s="66"/>
      <c r="SOW40" s="66"/>
      <c r="SOX40" s="66"/>
      <c r="SOY40" s="66"/>
      <c r="SOZ40" s="66"/>
      <c r="SPA40" s="66"/>
      <c r="SPB40" s="66"/>
      <c r="SPC40" s="66"/>
      <c r="SPD40" s="66"/>
      <c r="SPE40" s="66"/>
      <c r="SPF40" s="66"/>
      <c r="SPG40" s="66"/>
      <c r="SPH40" s="66"/>
      <c r="SPI40" s="66"/>
      <c r="SPJ40" s="66"/>
      <c r="SPK40" s="66"/>
      <c r="SPL40" s="66"/>
      <c r="SPM40" s="66"/>
      <c r="SPN40" s="66"/>
      <c r="SPO40" s="66"/>
      <c r="SPP40" s="66"/>
      <c r="SPQ40" s="66"/>
      <c r="SPR40" s="66"/>
      <c r="SPS40" s="66"/>
      <c r="SPT40" s="66"/>
      <c r="SPU40" s="66"/>
      <c r="SPV40" s="66"/>
      <c r="SPW40" s="66"/>
      <c r="SPX40" s="66"/>
      <c r="SPY40" s="66"/>
      <c r="SPZ40" s="66"/>
      <c r="SQA40" s="66"/>
      <c r="SQB40" s="66"/>
      <c r="SQC40" s="66"/>
      <c r="SQD40" s="66"/>
      <c r="SQE40" s="66"/>
      <c r="SQF40" s="66"/>
      <c r="SQG40" s="66"/>
      <c r="SQH40" s="66"/>
      <c r="SQI40" s="66"/>
      <c r="SQJ40" s="66"/>
      <c r="SQK40" s="66"/>
      <c r="SQL40" s="66"/>
      <c r="SQM40" s="66"/>
      <c r="SQN40" s="66"/>
      <c r="SQO40" s="66"/>
      <c r="SQP40" s="66"/>
      <c r="SQQ40" s="66"/>
      <c r="SQR40" s="66"/>
      <c r="SQS40" s="66"/>
      <c r="SQT40" s="66"/>
      <c r="SQU40" s="66"/>
      <c r="SQV40" s="66"/>
      <c r="SQW40" s="66"/>
      <c r="SQX40" s="66"/>
      <c r="SQY40" s="66"/>
      <c r="SQZ40" s="66"/>
      <c r="SRA40" s="66"/>
      <c r="SRB40" s="66"/>
      <c r="SRC40" s="66"/>
      <c r="SRD40" s="66"/>
      <c r="SRE40" s="66"/>
      <c r="SRF40" s="66"/>
      <c r="SRG40" s="66"/>
      <c r="SRH40" s="66"/>
      <c r="SRI40" s="66"/>
      <c r="SRJ40" s="66"/>
      <c r="SRK40" s="66"/>
      <c r="SRL40" s="66"/>
      <c r="SRM40" s="66"/>
      <c r="SRN40" s="66"/>
      <c r="SRO40" s="66"/>
      <c r="SRP40" s="66"/>
      <c r="SRQ40" s="66"/>
      <c r="SRR40" s="66"/>
      <c r="SRS40" s="66"/>
      <c r="SRT40" s="66"/>
      <c r="SRU40" s="66"/>
      <c r="SRV40" s="66"/>
      <c r="SRW40" s="66"/>
      <c r="SRX40" s="66"/>
      <c r="SRY40" s="66"/>
      <c r="SRZ40" s="66"/>
      <c r="SSA40" s="66"/>
      <c r="SSB40" s="66"/>
      <c r="SSC40" s="66"/>
      <c r="SSD40" s="66"/>
      <c r="SSE40" s="66"/>
      <c r="SSF40" s="66"/>
      <c r="SSG40" s="66"/>
      <c r="SSH40" s="66"/>
      <c r="SSI40" s="66"/>
      <c r="SSJ40" s="66"/>
      <c r="SSK40" s="66"/>
      <c r="SSL40" s="66"/>
      <c r="SSM40" s="66"/>
      <c r="SSN40" s="66"/>
      <c r="SSO40" s="66"/>
      <c r="SSP40" s="66"/>
      <c r="SSQ40" s="66"/>
      <c r="SSR40" s="66"/>
      <c r="SSS40" s="66"/>
      <c r="SST40" s="66"/>
      <c r="SSU40" s="66"/>
      <c r="SSV40" s="66"/>
      <c r="SSW40" s="66"/>
      <c r="SSX40" s="66"/>
      <c r="SSY40" s="66"/>
      <c r="SSZ40" s="66"/>
      <c r="STA40" s="66"/>
      <c r="STB40" s="66"/>
      <c r="STC40" s="66"/>
      <c r="STD40" s="66"/>
      <c r="STE40" s="66"/>
      <c r="STF40" s="66"/>
      <c r="STG40" s="66"/>
      <c r="STH40" s="66"/>
      <c r="STI40" s="66"/>
      <c r="STJ40" s="66"/>
      <c r="STK40" s="66"/>
      <c r="STL40" s="66"/>
      <c r="STM40" s="66"/>
      <c r="STN40" s="66"/>
      <c r="STO40" s="66"/>
      <c r="STP40" s="66"/>
      <c r="STQ40" s="66"/>
      <c r="STR40" s="66"/>
      <c r="STS40" s="66"/>
      <c r="STT40" s="66"/>
      <c r="STU40" s="66"/>
      <c r="STV40" s="66"/>
      <c r="STW40" s="66"/>
      <c r="STX40" s="66"/>
      <c r="STY40" s="66"/>
      <c r="STZ40" s="66"/>
      <c r="SUA40" s="66"/>
      <c r="SUB40" s="66"/>
      <c r="SUC40" s="66"/>
      <c r="SUD40" s="66"/>
      <c r="SUE40" s="66"/>
      <c r="SUF40" s="66"/>
      <c r="SUG40" s="66"/>
      <c r="SUH40" s="66"/>
      <c r="SUI40" s="66"/>
      <c r="SUJ40" s="66"/>
      <c r="SUK40" s="66"/>
      <c r="SUL40" s="66"/>
      <c r="SUM40" s="66"/>
      <c r="SUN40" s="66"/>
      <c r="SUO40" s="66"/>
      <c r="SUP40" s="66"/>
      <c r="SUQ40" s="66"/>
      <c r="SUR40" s="66"/>
      <c r="SUS40" s="66"/>
      <c r="SUT40" s="66"/>
      <c r="SUU40" s="66"/>
      <c r="SUV40" s="66"/>
      <c r="SUW40" s="66"/>
      <c r="SUX40" s="66"/>
      <c r="SUY40" s="66"/>
      <c r="SUZ40" s="66"/>
      <c r="SVA40" s="66"/>
      <c r="SVB40" s="66"/>
      <c r="SVC40" s="66"/>
      <c r="SVD40" s="66"/>
      <c r="SVE40" s="66"/>
      <c r="SVF40" s="66"/>
      <c r="SVG40" s="66"/>
      <c r="SVH40" s="66"/>
      <c r="SVI40" s="66"/>
      <c r="SVJ40" s="66"/>
      <c r="SVK40" s="66"/>
      <c r="SVL40" s="66"/>
      <c r="SVM40" s="66"/>
      <c r="SVN40" s="66"/>
      <c r="SVO40" s="66"/>
      <c r="SVP40" s="66"/>
      <c r="SVQ40" s="66"/>
      <c r="SVR40" s="66"/>
      <c r="SVS40" s="66"/>
      <c r="SVT40" s="66"/>
      <c r="SVU40" s="66"/>
      <c r="SVV40" s="66"/>
      <c r="SVW40" s="66"/>
      <c r="SVX40" s="66"/>
      <c r="SVY40" s="66"/>
      <c r="SVZ40" s="66"/>
      <c r="SWA40" s="66"/>
      <c r="SWB40" s="66"/>
      <c r="SWC40" s="66"/>
      <c r="SWD40" s="66"/>
      <c r="SWE40" s="66"/>
      <c r="SWF40" s="66"/>
      <c r="SWG40" s="66"/>
      <c r="SWH40" s="66"/>
      <c r="SWI40" s="66"/>
      <c r="SWJ40" s="66"/>
      <c r="SWK40" s="66"/>
      <c r="SWL40" s="66"/>
      <c r="SWM40" s="66"/>
      <c r="SWN40" s="66"/>
      <c r="SWO40" s="66"/>
      <c r="SWP40" s="66"/>
      <c r="SWQ40" s="66"/>
      <c r="SWR40" s="66"/>
      <c r="SWS40" s="66"/>
      <c r="SWT40" s="66"/>
      <c r="SWU40" s="66"/>
      <c r="SWV40" s="66"/>
      <c r="SWW40" s="66"/>
      <c r="SWX40" s="66"/>
      <c r="SWY40" s="66"/>
      <c r="SWZ40" s="66"/>
      <c r="SXA40" s="66"/>
      <c r="SXB40" s="66"/>
      <c r="SXC40" s="66"/>
      <c r="SXD40" s="66"/>
      <c r="SXE40" s="66"/>
      <c r="SXF40" s="66"/>
      <c r="SXG40" s="66"/>
      <c r="SXH40" s="66"/>
      <c r="SXI40" s="66"/>
      <c r="SXJ40" s="66"/>
      <c r="SXK40" s="66"/>
      <c r="SXL40" s="66"/>
      <c r="SXM40" s="66"/>
      <c r="SXN40" s="66"/>
      <c r="SXO40" s="66"/>
      <c r="SXP40" s="66"/>
      <c r="SXQ40" s="66"/>
      <c r="SXR40" s="66"/>
      <c r="SXS40" s="66"/>
      <c r="SXT40" s="66"/>
      <c r="SXU40" s="66"/>
      <c r="SXV40" s="66"/>
      <c r="SXW40" s="66"/>
      <c r="SXX40" s="66"/>
      <c r="SXY40" s="66"/>
      <c r="SXZ40" s="66"/>
      <c r="SYA40" s="66"/>
      <c r="SYB40" s="66"/>
      <c r="SYC40" s="66"/>
      <c r="SYD40" s="66"/>
      <c r="SYE40" s="66"/>
      <c r="SYF40" s="66"/>
      <c r="SYG40" s="66"/>
      <c r="SYH40" s="66"/>
      <c r="SYI40" s="66"/>
      <c r="SYJ40" s="66"/>
      <c r="SYK40" s="66"/>
      <c r="SYL40" s="66"/>
      <c r="SYM40" s="66"/>
      <c r="SYN40" s="66"/>
      <c r="SYO40" s="66"/>
      <c r="SYP40" s="66"/>
      <c r="SYQ40" s="66"/>
      <c r="SYR40" s="66"/>
      <c r="SYS40" s="66"/>
      <c r="SYT40" s="66"/>
      <c r="SYU40" s="66"/>
      <c r="SYV40" s="66"/>
      <c r="SYW40" s="66"/>
      <c r="SYX40" s="66"/>
      <c r="SYY40" s="66"/>
      <c r="SYZ40" s="66"/>
      <c r="SZA40" s="66"/>
      <c r="SZB40" s="66"/>
      <c r="SZC40" s="66"/>
      <c r="SZD40" s="66"/>
      <c r="SZE40" s="66"/>
      <c r="SZF40" s="66"/>
      <c r="SZG40" s="66"/>
      <c r="SZH40" s="66"/>
      <c r="SZI40" s="66"/>
      <c r="SZJ40" s="66"/>
      <c r="SZK40" s="66"/>
      <c r="SZL40" s="66"/>
      <c r="SZM40" s="66"/>
      <c r="SZN40" s="66"/>
      <c r="SZO40" s="66"/>
      <c r="SZP40" s="66"/>
      <c r="SZQ40" s="66"/>
      <c r="SZR40" s="66"/>
      <c r="SZS40" s="66"/>
      <c r="SZT40" s="66"/>
      <c r="SZU40" s="66"/>
      <c r="SZV40" s="66"/>
      <c r="SZW40" s="66"/>
      <c r="SZX40" s="66"/>
      <c r="SZY40" s="66"/>
      <c r="SZZ40" s="66"/>
      <c r="TAA40" s="66"/>
      <c r="TAB40" s="66"/>
      <c r="TAC40" s="66"/>
      <c r="TAD40" s="66"/>
      <c r="TAE40" s="66"/>
      <c r="TAF40" s="66"/>
      <c r="TAG40" s="66"/>
      <c r="TAH40" s="66"/>
      <c r="TAI40" s="66"/>
      <c r="TAJ40" s="66"/>
      <c r="TAK40" s="66"/>
      <c r="TAL40" s="66"/>
      <c r="TAM40" s="66"/>
      <c r="TAN40" s="66"/>
      <c r="TAO40" s="66"/>
      <c r="TAP40" s="66"/>
      <c r="TAQ40" s="66"/>
      <c r="TAR40" s="66"/>
      <c r="TAS40" s="66"/>
      <c r="TAT40" s="66"/>
      <c r="TAU40" s="66"/>
      <c r="TAV40" s="66"/>
      <c r="TAW40" s="66"/>
      <c r="TAX40" s="66"/>
      <c r="TAY40" s="66"/>
      <c r="TAZ40" s="66"/>
      <c r="TBA40" s="66"/>
      <c r="TBB40" s="66"/>
      <c r="TBC40" s="66"/>
      <c r="TBD40" s="66"/>
      <c r="TBE40" s="66"/>
      <c r="TBF40" s="66"/>
      <c r="TBG40" s="66"/>
      <c r="TBH40" s="66"/>
      <c r="TBI40" s="66"/>
      <c r="TBJ40" s="66"/>
      <c r="TBK40" s="66"/>
      <c r="TBL40" s="66"/>
      <c r="TBM40" s="66"/>
      <c r="TBN40" s="66"/>
      <c r="TBO40" s="66"/>
      <c r="TBP40" s="66"/>
      <c r="TBQ40" s="66"/>
      <c r="TBR40" s="66"/>
      <c r="TBS40" s="66"/>
      <c r="TBT40" s="66"/>
      <c r="TBU40" s="66"/>
      <c r="TBV40" s="66"/>
      <c r="TBW40" s="66"/>
      <c r="TBX40" s="66"/>
      <c r="TBY40" s="66"/>
      <c r="TBZ40" s="66"/>
      <c r="TCA40" s="66"/>
      <c r="TCB40" s="66"/>
      <c r="TCC40" s="66"/>
      <c r="TCD40" s="66"/>
      <c r="TCE40" s="66"/>
      <c r="TCF40" s="66"/>
      <c r="TCG40" s="66"/>
      <c r="TCH40" s="66"/>
      <c r="TCI40" s="66"/>
      <c r="TCJ40" s="66"/>
      <c r="TCK40" s="66"/>
      <c r="TCL40" s="66"/>
      <c r="TCM40" s="66"/>
      <c r="TCN40" s="66"/>
      <c r="TCO40" s="66"/>
      <c r="TCP40" s="66"/>
      <c r="TCQ40" s="66"/>
      <c r="TCR40" s="66"/>
      <c r="TCS40" s="66"/>
      <c r="TCT40" s="66"/>
      <c r="TCU40" s="66"/>
      <c r="TCV40" s="66"/>
      <c r="TCW40" s="66"/>
      <c r="TCX40" s="66"/>
      <c r="TCY40" s="66"/>
      <c r="TCZ40" s="66"/>
      <c r="TDA40" s="66"/>
      <c r="TDB40" s="66"/>
      <c r="TDC40" s="66"/>
      <c r="TDD40" s="66"/>
      <c r="TDE40" s="66"/>
      <c r="TDF40" s="66"/>
      <c r="TDG40" s="66"/>
      <c r="TDH40" s="66"/>
      <c r="TDI40" s="66"/>
      <c r="TDJ40" s="66"/>
      <c r="TDK40" s="66"/>
      <c r="TDL40" s="66"/>
      <c r="TDM40" s="66"/>
      <c r="TDN40" s="66"/>
      <c r="TDO40" s="66"/>
      <c r="TDP40" s="66"/>
      <c r="TDQ40" s="66"/>
      <c r="TDR40" s="66"/>
      <c r="TDS40" s="66"/>
      <c r="TDT40" s="66"/>
      <c r="TDU40" s="66"/>
      <c r="TDV40" s="66"/>
      <c r="TDW40" s="66"/>
      <c r="TDX40" s="66"/>
      <c r="TDY40" s="66"/>
      <c r="TDZ40" s="66"/>
      <c r="TEA40" s="66"/>
      <c r="TEB40" s="66"/>
      <c r="TEC40" s="66"/>
      <c r="TED40" s="66"/>
      <c r="TEE40" s="66"/>
      <c r="TEF40" s="66"/>
      <c r="TEG40" s="66"/>
      <c r="TEH40" s="66"/>
      <c r="TEI40" s="66"/>
      <c r="TEJ40" s="66"/>
      <c r="TEK40" s="66"/>
      <c r="TEL40" s="66"/>
      <c r="TEM40" s="66"/>
      <c r="TEN40" s="66"/>
      <c r="TEO40" s="66"/>
      <c r="TEP40" s="66"/>
      <c r="TEQ40" s="66"/>
      <c r="TER40" s="66"/>
      <c r="TES40" s="66"/>
      <c r="TET40" s="66"/>
      <c r="TEU40" s="66"/>
      <c r="TEV40" s="66"/>
      <c r="TEW40" s="66"/>
      <c r="TEX40" s="66"/>
      <c r="TEY40" s="66"/>
      <c r="TEZ40" s="66"/>
      <c r="TFA40" s="66"/>
      <c r="TFB40" s="66"/>
      <c r="TFC40" s="66"/>
      <c r="TFD40" s="66"/>
      <c r="TFE40" s="66"/>
      <c r="TFF40" s="66"/>
      <c r="TFG40" s="66"/>
      <c r="TFH40" s="66"/>
      <c r="TFI40" s="66"/>
      <c r="TFJ40" s="66"/>
      <c r="TFK40" s="66"/>
      <c r="TFL40" s="66"/>
      <c r="TFM40" s="66"/>
      <c r="TFN40" s="66"/>
      <c r="TFO40" s="66"/>
      <c r="TFP40" s="66"/>
      <c r="TFQ40" s="66"/>
      <c r="TFR40" s="66"/>
      <c r="TFS40" s="66"/>
      <c r="TFT40" s="66"/>
      <c r="TFU40" s="66"/>
      <c r="TFV40" s="66"/>
      <c r="TFW40" s="66"/>
      <c r="TFX40" s="66"/>
      <c r="TFY40" s="66"/>
      <c r="TFZ40" s="66"/>
      <c r="TGA40" s="66"/>
      <c r="TGB40" s="66"/>
      <c r="TGC40" s="66"/>
      <c r="TGD40" s="66"/>
      <c r="TGE40" s="66"/>
      <c r="TGF40" s="66"/>
      <c r="TGG40" s="66"/>
      <c r="TGH40" s="66"/>
      <c r="TGI40" s="66"/>
      <c r="TGJ40" s="66"/>
      <c r="TGK40" s="66"/>
      <c r="TGL40" s="66"/>
      <c r="TGM40" s="66"/>
      <c r="TGN40" s="66"/>
      <c r="TGO40" s="66"/>
      <c r="TGP40" s="66"/>
      <c r="TGQ40" s="66"/>
      <c r="TGR40" s="66"/>
      <c r="TGS40" s="66"/>
      <c r="TGT40" s="66"/>
      <c r="TGU40" s="66"/>
      <c r="TGV40" s="66"/>
      <c r="TGW40" s="66"/>
      <c r="TGX40" s="66"/>
      <c r="TGY40" s="66"/>
      <c r="TGZ40" s="66"/>
      <c r="THA40" s="66"/>
      <c r="THB40" s="66"/>
      <c r="THC40" s="66"/>
      <c r="THD40" s="66"/>
      <c r="THE40" s="66"/>
      <c r="THF40" s="66"/>
      <c r="THG40" s="66"/>
      <c r="THH40" s="66"/>
      <c r="THI40" s="66"/>
      <c r="THJ40" s="66"/>
      <c r="THK40" s="66"/>
      <c r="THL40" s="66"/>
      <c r="THM40" s="66"/>
      <c r="THN40" s="66"/>
      <c r="THO40" s="66"/>
      <c r="THP40" s="66"/>
      <c r="THQ40" s="66"/>
      <c r="THR40" s="66"/>
      <c r="THS40" s="66"/>
      <c r="THT40" s="66"/>
      <c r="THU40" s="66"/>
      <c r="THV40" s="66"/>
      <c r="THW40" s="66"/>
      <c r="THX40" s="66"/>
      <c r="THY40" s="66"/>
      <c r="THZ40" s="66"/>
      <c r="TIA40" s="66"/>
      <c r="TIB40" s="66"/>
      <c r="TIC40" s="66"/>
      <c r="TID40" s="66"/>
      <c r="TIE40" s="66"/>
      <c r="TIF40" s="66"/>
      <c r="TIG40" s="66"/>
      <c r="TIH40" s="66"/>
      <c r="TII40" s="66"/>
      <c r="TIJ40" s="66"/>
      <c r="TIK40" s="66"/>
      <c r="TIL40" s="66"/>
      <c r="TIM40" s="66"/>
      <c r="TIN40" s="66"/>
      <c r="TIO40" s="66"/>
      <c r="TIP40" s="66"/>
      <c r="TIQ40" s="66"/>
      <c r="TIR40" s="66"/>
      <c r="TIS40" s="66"/>
      <c r="TIT40" s="66"/>
      <c r="TIU40" s="66"/>
      <c r="TIV40" s="66"/>
      <c r="TIW40" s="66"/>
      <c r="TIX40" s="66"/>
      <c r="TIY40" s="66"/>
      <c r="TIZ40" s="66"/>
      <c r="TJA40" s="66"/>
      <c r="TJB40" s="66"/>
      <c r="TJC40" s="66"/>
      <c r="TJD40" s="66"/>
      <c r="TJE40" s="66"/>
      <c r="TJF40" s="66"/>
      <c r="TJG40" s="66"/>
      <c r="TJH40" s="66"/>
      <c r="TJI40" s="66"/>
      <c r="TJJ40" s="66"/>
      <c r="TJK40" s="66"/>
      <c r="TJL40" s="66"/>
      <c r="TJM40" s="66"/>
      <c r="TJN40" s="66"/>
      <c r="TJO40" s="66"/>
      <c r="TJP40" s="66"/>
      <c r="TJQ40" s="66"/>
      <c r="TJR40" s="66"/>
      <c r="TJS40" s="66"/>
      <c r="TJT40" s="66"/>
      <c r="TJU40" s="66"/>
      <c r="TJV40" s="66"/>
      <c r="TJW40" s="66"/>
      <c r="TJX40" s="66"/>
      <c r="TJY40" s="66"/>
      <c r="TJZ40" s="66"/>
      <c r="TKA40" s="66"/>
      <c r="TKB40" s="66"/>
      <c r="TKC40" s="66"/>
      <c r="TKD40" s="66"/>
      <c r="TKE40" s="66"/>
      <c r="TKF40" s="66"/>
      <c r="TKG40" s="66"/>
      <c r="TKH40" s="66"/>
      <c r="TKI40" s="66"/>
      <c r="TKJ40" s="66"/>
      <c r="TKK40" s="66"/>
      <c r="TKL40" s="66"/>
      <c r="TKM40" s="66"/>
      <c r="TKN40" s="66"/>
      <c r="TKO40" s="66"/>
      <c r="TKP40" s="66"/>
      <c r="TKQ40" s="66"/>
      <c r="TKR40" s="66"/>
      <c r="TKS40" s="66"/>
      <c r="TKT40" s="66"/>
      <c r="TKU40" s="66"/>
      <c r="TKV40" s="66"/>
      <c r="TKW40" s="66"/>
      <c r="TKX40" s="66"/>
      <c r="TKY40" s="66"/>
      <c r="TKZ40" s="66"/>
      <c r="TLA40" s="66"/>
      <c r="TLB40" s="66"/>
      <c r="TLC40" s="66"/>
      <c r="TLD40" s="66"/>
      <c r="TLE40" s="66"/>
      <c r="TLF40" s="66"/>
      <c r="TLG40" s="66"/>
      <c r="TLH40" s="66"/>
      <c r="TLI40" s="66"/>
      <c r="TLJ40" s="66"/>
      <c r="TLK40" s="66"/>
      <c r="TLL40" s="66"/>
      <c r="TLM40" s="66"/>
      <c r="TLN40" s="66"/>
      <c r="TLO40" s="66"/>
      <c r="TLP40" s="66"/>
      <c r="TLQ40" s="66"/>
      <c r="TLR40" s="66"/>
      <c r="TLS40" s="66"/>
      <c r="TLT40" s="66"/>
      <c r="TLU40" s="66"/>
      <c r="TLV40" s="66"/>
      <c r="TLW40" s="66"/>
      <c r="TLX40" s="66"/>
      <c r="TLY40" s="66"/>
      <c r="TLZ40" s="66"/>
      <c r="TMA40" s="66"/>
      <c r="TMB40" s="66"/>
      <c r="TMC40" s="66"/>
      <c r="TMD40" s="66"/>
      <c r="TME40" s="66"/>
      <c r="TMF40" s="66"/>
      <c r="TMG40" s="66"/>
      <c r="TMH40" s="66"/>
      <c r="TMI40" s="66"/>
      <c r="TMJ40" s="66"/>
      <c r="TMK40" s="66"/>
      <c r="TML40" s="66"/>
      <c r="TMM40" s="66"/>
      <c r="TMN40" s="66"/>
      <c r="TMO40" s="66"/>
      <c r="TMP40" s="66"/>
      <c r="TMQ40" s="66"/>
      <c r="TMR40" s="66"/>
      <c r="TMS40" s="66"/>
      <c r="TMT40" s="66"/>
      <c r="TMU40" s="66"/>
      <c r="TMV40" s="66"/>
      <c r="TMW40" s="66"/>
      <c r="TMX40" s="66"/>
      <c r="TMY40" s="66"/>
      <c r="TMZ40" s="66"/>
      <c r="TNA40" s="66"/>
      <c r="TNB40" s="66"/>
      <c r="TNC40" s="66"/>
      <c r="TND40" s="66"/>
      <c r="TNE40" s="66"/>
      <c r="TNF40" s="66"/>
      <c r="TNG40" s="66"/>
      <c r="TNH40" s="66"/>
      <c r="TNI40" s="66"/>
      <c r="TNJ40" s="66"/>
      <c r="TNK40" s="66"/>
      <c r="TNL40" s="66"/>
      <c r="TNM40" s="66"/>
      <c r="TNN40" s="66"/>
      <c r="TNO40" s="66"/>
      <c r="TNP40" s="66"/>
      <c r="TNQ40" s="66"/>
      <c r="TNR40" s="66"/>
      <c r="TNS40" s="66"/>
      <c r="TNT40" s="66"/>
      <c r="TNU40" s="66"/>
      <c r="TNV40" s="66"/>
      <c r="TNW40" s="66"/>
      <c r="TNX40" s="66"/>
      <c r="TNY40" s="66"/>
      <c r="TNZ40" s="66"/>
      <c r="TOA40" s="66"/>
      <c r="TOB40" s="66"/>
      <c r="TOC40" s="66"/>
      <c r="TOD40" s="66"/>
      <c r="TOE40" s="66"/>
      <c r="TOF40" s="66"/>
      <c r="TOG40" s="66"/>
      <c r="TOH40" s="66"/>
      <c r="TOI40" s="66"/>
      <c r="TOJ40" s="66"/>
      <c r="TOK40" s="66"/>
      <c r="TOL40" s="66"/>
      <c r="TOM40" s="66"/>
      <c r="TON40" s="66"/>
      <c r="TOO40" s="66"/>
      <c r="TOP40" s="66"/>
      <c r="TOQ40" s="66"/>
      <c r="TOR40" s="66"/>
      <c r="TOS40" s="66"/>
      <c r="TOT40" s="66"/>
      <c r="TOU40" s="66"/>
      <c r="TOV40" s="66"/>
      <c r="TOW40" s="66"/>
      <c r="TOX40" s="66"/>
      <c r="TOY40" s="66"/>
      <c r="TOZ40" s="66"/>
      <c r="TPA40" s="66"/>
      <c r="TPB40" s="66"/>
      <c r="TPC40" s="66"/>
      <c r="TPD40" s="66"/>
      <c r="TPE40" s="66"/>
      <c r="TPF40" s="66"/>
      <c r="TPG40" s="66"/>
      <c r="TPH40" s="66"/>
      <c r="TPI40" s="66"/>
      <c r="TPJ40" s="66"/>
      <c r="TPK40" s="66"/>
      <c r="TPL40" s="66"/>
      <c r="TPM40" s="66"/>
      <c r="TPN40" s="66"/>
      <c r="TPO40" s="66"/>
      <c r="TPP40" s="66"/>
      <c r="TPQ40" s="66"/>
      <c r="TPR40" s="66"/>
      <c r="TPS40" s="66"/>
      <c r="TPT40" s="66"/>
      <c r="TPU40" s="66"/>
      <c r="TPV40" s="66"/>
      <c r="TPW40" s="66"/>
      <c r="TPX40" s="66"/>
      <c r="TPY40" s="66"/>
      <c r="TPZ40" s="66"/>
      <c r="TQA40" s="66"/>
      <c r="TQB40" s="66"/>
      <c r="TQC40" s="66"/>
      <c r="TQD40" s="66"/>
      <c r="TQE40" s="66"/>
      <c r="TQF40" s="66"/>
      <c r="TQG40" s="66"/>
      <c r="TQH40" s="66"/>
      <c r="TQI40" s="66"/>
      <c r="TQJ40" s="66"/>
      <c r="TQK40" s="66"/>
      <c r="TQL40" s="66"/>
      <c r="TQM40" s="66"/>
      <c r="TQN40" s="66"/>
      <c r="TQO40" s="66"/>
      <c r="TQP40" s="66"/>
      <c r="TQQ40" s="66"/>
      <c r="TQR40" s="66"/>
      <c r="TQS40" s="66"/>
      <c r="TQT40" s="66"/>
      <c r="TQU40" s="66"/>
      <c r="TQV40" s="66"/>
      <c r="TQW40" s="66"/>
      <c r="TQX40" s="66"/>
      <c r="TQY40" s="66"/>
      <c r="TQZ40" s="66"/>
      <c r="TRA40" s="66"/>
      <c r="TRB40" s="66"/>
      <c r="TRC40" s="66"/>
      <c r="TRD40" s="66"/>
      <c r="TRE40" s="66"/>
      <c r="TRF40" s="66"/>
      <c r="TRG40" s="66"/>
      <c r="TRH40" s="66"/>
      <c r="TRI40" s="66"/>
      <c r="TRJ40" s="66"/>
      <c r="TRK40" s="66"/>
      <c r="TRL40" s="66"/>
      <c r="TRM40" s="66"/>
      <c r="TRN40" s="66"/>
      <c r="TRO40" s="66"/>
      <c r="TRP40" s="66"/>
      <c r="TRQ40" s="66"/>
      <c r="TRR40" s="66"/>
      <c r="TRS40" s="66"/>
      <c r="TRT40" s="66"/>
      <c r="TRU40" s="66"/>
      <c r="TRV40" s="66"/>
      <c r="TRW40" s="66"/>
      <c r="TRX40" s="66"/>
      <c r="TRY40" s="66"/>
      <c r="TRZ40" s="66"/>
      <c r="TSA40" s="66"/>
      <c r="TSB40" s="66"/>
      <c r="TSC40" s="66"/>
      <c r="TSD40" s="66"/>
      <c r="TSE40" s="66"/>
      <c r="TSF40" s="66"/>
      <c r="TSG40" s="66"/>
      <c r="TSH40" s="66"/>
      <c r="TSI40" s="66"/>
      <c r="TSJ40" s="66"/>
      <c r="TSK40" s="66"/>
      <c r="TSL40" s="66"/>
      <c r="TSM40" s="66"/>
      <c r="TSN40" s="66"/>
      <c r="TSO40" s="66"/>
      <c r="TSP40" s="66"/>
      <c r="TSQ40" s="66"/>
      <c r="TSR40" s="66"/>
      <c r="TSS40" s="66"/>
      <c r="TST40" s="66"/>
      <c r="TSU40" s="66"/>
      <c r="TSV40" s="66"/>
      <c r="TSW40" s="66"/>
      <c r="TSX40" s="66"/>
      <c r="TSY40" s="66"/>
      <c r="TSZ40" s="66"/>
      <c r="TTA40" s="66"/>
      <c r="TTB40" s="66"/>
      <c r="TTC40" s="66"/>
      <c r="TTD40" s="66"/>
      <c r="TTE40" s="66"/>
      <c r="TTF40" s="66"/>
      <c r="TTG40" s="66"/>
      <c r="TTH40" s="66"/>
      <c r="TTI40" s="66"/>
      <c r="TTJ40" s="66"/>
      <c r="TTK40" s="66"/>
      <c r="TTL40" s="66"/>
      <c r="TTM40" s="66"/>
      <c r="TTN40" s="66"/>
      <c r="TTO40" s="66"/>
      <c r="TTP40" s="66"/>
      <c r="TTQ40" s="66"/>
      <c r="TTR40" s="66"/>
      <c r="TTS40" s="66"/>
      <c r="TTT40" s="66"/>
      <c r="TTU40" s="66"/>
      <c r="TTV40" s="66"/>
      <c r="TTW40" s="66"/>
      <c r="TTX40" s="66"/>
      <c r="TTY40" s="66"/>
      <c r="TTZ40" s="66"/>
      <c r="TUA40" s="66"/>
      <c r="TUB40" s="66"/>
      <c r="TUC40" s="66"/>
      <c r="TUD40" s="66"/>
      <c r="TUE40" s="66"/>
      <c r="TUF40" s="66"/>
      <c r="TUG40" s="66"/>
      <c r="TUH40" s="66"/>
      <c r="TUI40" s="66"/>
      <c r="TUJ40" s="66"/>
      <c r="TUK40" s="66"/>
      <c r="TUL40" s="66"/>
      <c r="TUM40" s="66"/>
      <c r="TUN40" s="66"/>
      <c r="TUO40" s="66"/>
      <c r="TUP40" s="66"/>
      <c r="TUQ40" s="66"/>
      <c r="TUR40" s="66"/>
      <c r="TUS40" s="66"/>
      <c r="TUT40" s="66"/>
      <c r="TUU40" s="66"/>
      <c r="TUV40" s="66"/>
      <c r="TUW40" s="66"/>
      <c r="TUX40" s="66"/>
      <c r="TUY40" s="66"/>
      <c r="TUZ40" s="66"/>
      <c r="TVA40" s="66"/>
      <c r="TVB40" s="66"/>
      <c r="TVC40" s="66"/>
      <c r="TVD40" s="66"/>
      <c r="TVE40" s="66"/>
      <c r="TVF40" s="66"/>
      <c r="TVG40" s="66"/>
      <c r="TVH40" s="66"/>
      <c r="TVI40" s="66"/>
      <c r="TVJ40" s="66"/>
      <c r="TVK40" s="66"/>
      <c r="TVL40" s="66"/>
      <c r="TVM40" s="66"/>
      <c r="TVN40" s="66"/>
      <c r="TVO40" s="66"/>
      <c r="TVP40" s="66"/>
      <c r="TVQ40" s="66"/>
      <c r="TVR40" s="66"/>
      <c r="TVS40" s="66"/>
      <c r="TVT40" s="66"/>
      <c r="TVU40" s="66"/>
      <c r="TVV40" s="66"/>
      <c r="TVW40" s="66"/>
      <c r="TVX40" s="66"/>
      <c r="TVY40" s="66"/>
      <c r="TVZ40" s="66"/>
      <c r="TWA40" s="66"/>
      <c r="TWB40" s="66"/>
      <c r="TWC40" s="66"/>
      <c r="TWD40" s="66"/>
      <c r="TWE40" s="66"/>
      <c r="TWF40" s="66"/>
      <c r="TWG40" s="66"/>
      <c r="TWH40" s="66"/>
      <c r="TWI40" s="66"/>
      <c r="TWJ40" s="66"/>
      <c r="TWK40" s="66"/>
      <c r="TWL40" s="66"/>
      <c r="TWM40" s="66"/>
      <c r="TWN40" s="66"/>
      <c r="TWO40" s="66"/>
      <c r="TWP40" s="66"/>
      <c r="TWQ40" s="66"/>
      <c r="TWR40" s="66"/>
      <c r="TWS40" s="66"/>
      <c r="TWT40" s="66"/>
      <c r="TWU40" s="66"/>
      <c r="TWV40" s="66"/>
      <c r="TWW40" s="66"/>
      <c r="TWX40" s="66"/>
      <c r="TWY40" s="66"/>
      <c r="TWZ40" s="66"/>
      <c r="TXA40" s="66"/>
      <c r="TXB40" s="66"/>
      <c r="TXC40" s="66"/>
      <c r="TXD40" s="66"/>
      <c r="TXE40" s="66"/>
      <c r="TXF40" s="66"/>
      <c r="TXG40" s="66"/>
      <c r="TXH40" s="66"/>
      <c r="TXI40" s="66"/>
      <c r="TXJ40" s="66"/>
      <c r="TXK40" s="66"/>
      <c r="TXL40" s="66"/>
      <c r="TXM40" s="66"/>
      <c r="TXN40" s="66"/>
      <c r="TXO40" s="66"/>
      <c r="TXP40" s="66"/>
      <c r="TXQ40" s="66"/>
      <c r="TXR40" s="66"/>
      <c r="TXS40" s="66"/>
      <c r="TXT40" s="66"/>
      <c r="TXU40" s="66"/>
      <c r="TXV40" s="66"/>
      <c r="TXW40" s="66"/>
      <c r="TXX40" s="66"/>
      <c r="TXY40" s="66"/>
      <c r="TXZ40" s="66"/>
      <c r="TYA40" s="66"/>
      <c r="TYB40" s="66"/>
      <c r="TYC40" s="66"/>
      <c r="TYD40" s="66"/>
      <c r="TYE40" s="66"/>
      <c r="TYF40" s="66"/>
      <c r="TYG40" s="66"/>
      <c r="TYH40" s="66"/>
      <c r="TYI40" s="66"/>
      <c r="TYJ40" s="66"/>
      <c r="TYK40" s="66"/>
      <c r="TYL40" s="66"/>
      <c r="TYM40" s="66"/>
      <c r="TYN40" s="66"/>
      <c r="TYO40" s="66"/>
      <c r="TYP40" s="66"/>
      <c r="TYQ40" s="66"/>
      <c r="TYR40" s="66"/>
      <c r="TYS40" s="66"/>
      <c r="TYT40" s="66"/>
      <c r="TYU40" s="66"/>
      <c r="TYV40" s="66"/>
      <c r="TYW40" s="66"/>
      <c r="TYX40" s="66"/>
      <c r="TYY40" s="66"/>
      <c r="TYZ40" s="66"/>
      <c r="TZA40" s="66"/>
      <c r="TZB40" s="66"/>
      <c r="TZC40" s="66"/>
      <c r="TZD40" s="66"/>
      <c r="TZE40" s="66"/>
      <c r="TZF40" s="66"/>
      <c r="TZG40" s="66"/>
      <c r="TZH40" s="66"/>
      <c r="TZI40" s="66"/>
      <c r="TZJ40" s="66"/>
      <c r="TZK40" s="66"/>
      <c r="TZL40" s="66"/>
      <c r="TZM40" s="66"/>
      <c r="TZN40" s="66"/>
      <c r="TZO40" s="66"/>
      <c r="TZP40" s="66"/>
      <c r="TZQ40" s="66"/>
      <c r="TZR40" s="66"/>
      <c r="TZS40" s="66"/>
      <c r="TZT40" s="66"/>
      <c r="TZU40" s="66"/>
      <c r="TZV40" s="66"/>
      <c r="TZW40" s="66"/>
      <c r="TZX40" s="66"/>
      <c r="TZY40" s="66"/>
      <c r="TZZ40" s="66"/>
      <c r="UAA40" s="66"/>
      <c r="UAB40" s="66"/>
      <c r="UAC40" s="66"/>
      <c r="UAD40" s="66"/>
      <c r="UAE40" s="66"/>
      <c r="UAF40" s="66"/>
      <c r="UAG40" s="66"/>
      <c r="UAH40" s="66"/>
      <c r="UAI40" s="66"/>
      <c r="UAJ40" s="66"/>
      <c r="UAK40" s="66"/>
      <c r="UAL40" s="66"/>
      <c r="UAM40" s="66"/>
      <c r="UAN40" s="66"/>
      <c r="UAO40" s="66"/>
      <c r="UAP40" s="66"/>
      <c r="UAQ40" s="66"/>
      <c r="UAR40" s="66"/>
      <c r="UAS40" s="66"/>
      <c r="UAT40" s="66"/>
      <c r="UAU40" s="66"/>
      <c r="UAV40" s="66"/>
      <c r="UAW40" s="66"/>
      <c r="UAX40" s="66"/>
      <c r="UAY40" s="66"/>
      <c r="UAZ40" s="66"/>
      <c r="UBA40" s="66"/>
      <c r="UBB40" s="66"/>
      <c r="UBC40" s="66"/>
      <c r="UBD40" s="66"/>
      <c r="UBE40" s="66"/>
      <c r="UBF40" s="66"/>
      <c r="UBG40" s="66"/>
      <c r="UBH40" s="66"/>
      <c r="UBI40" s="66"/>
      <c r="UBJ40" s="66"/>
      <c r="UBK40" s="66"/>
      <c r="UBL40" s="66"/>
      <c r="UBM40" s="66"/>
      <c r="UBN40" s="66"/>
      <c r="UBO40" s="66"/>
      <c r="UBP40" s="66"/>
      <c r="UBQ40" s="66"/>
      <c r="UBR40" s="66"/>
      <c r="UBS40" s="66"/>
      <c r="UBT40" s="66"/>
      <c r="UBU40" s="66"/>
      <c r="UBV40" s="66"/>
      <c r="UBW40" s="66"/>
      <c r="UBX40" s="66"/>
      <c r="UBY40" s="66"/>
      <c r="UBZ40" s="66"/>
      <c r="UCA40" s="66"/>
      <c r="UCB40" s="66"/>
      <c r="UCC40" s="66"/>
      <c r="UCD40" s="66"/>
      <c r="UCE40" s="66"/>
      <c r="UCF40" s="66"/>
      <c r="UCG40" s="66"/>
      <c r="UCH40" s="66"/>
      <c r="UCI40" s="66"/>
      <c r="UCJ40" s="66"/>
      <c r="UCK40" s="66"/>
      <c r="UCL40" s="66"/>
      <c r="UCM40" s="66"/>
      <c r="UCN40" s="66"/>
      <c r="UCO40" s="66"/>
      <c r="UCP40" s="66"/>
      <c r="UCQ40" s="66"/>
      <c r="UCR40" s="66"/>
      <c r="UCS40" s="66"/>
      <c r="UCT40" s="66"/>
      <c r="UCU40" s="66"/>
      <c r="UCV40" s="66"/>
      <c r="UCW40" s="66"/>
      <c r="UCX40" s="66"/>
      <c r="UCY40" s="66"/>
      <c r="UCZ40" s="66"/>
      <c r="UDA40" s="66"/>
      <c r="UDB40" s="66"/>
      <c r="UDC40" s="66"/>
      <c r="UDD40" s="66"/>
      <c r="UDE40" s="66"/>
      <c r="UDF40" s="66"/>
      <c r="UDG40" s="66"/>
      <c r="UDH40" s="66"/>
      <c r="UDI40" s="66"/>
      <c r="UDJ40" s="66"/>
      <c r="UDK40" s="66"/>
      <c r="UDL40" s="66"/>
      <c r="UDM40" s="66"/>
      <c r="UDN40" s="66"/>
      <c r="UDO40" s="66"/>
      <c r="UDP40" s="66"/>
      <c r="UDQ40" s="66"/>
      <c r="UDR40" s="66"/>
      <c r="UDS40" s="66"/>
      <c r="UDT40" s="66"/>
      <c r="UDU40" s="66"/>
      <c r="UDV40" s="66"/>
      <c r="UDW40" s="66"/>
      <c r="UDX40" s="66"/>
      <c r="UDY40" s="66"/>
      <c r="UDZ40" s="66"/>
      <c r="UEA40" s="66"/>
      <c r="UEB40" s="66"/>
      <c r="UEC40" s="66"/>
      <c r="UED40" s="66"/>
      <c r="UEE40" s="66"/>
      <c r="UEF40" s="66"/>
      <c r="UEG40" s="66"/>
      <c r="UEH40" s="66"/>
      <c r="UEI40" s="66"/>
      <c r="UEJ40" s="66"/>
      <c r="UEK40" s="66"/>
      <c r="UEL40" s="66"/>
      <c r="UEM40" s="66"/>
      <c r="UEN40" s="66"/>
      <c r="UEO40" s="66"/>
      <c r="UEP40" s="66"/>
      <c r="UEQ40" s="66"/>
      <c r="UER40" s="66"/>
      <c r="UES40" s="66"/>
      <c r="UET40" s="66"/>
      <c r="UEU40" s="66"/>
      <c r="UEV40" s="66"/>
      <c r="UEW40" s="66"/>
      <c r="UEX40" s="66"/>
      <c r="UEY40" s="66"/>
      <c r="UEZ40" s="66"/>
      <c r="UFA40" s="66"/>
      <c r="UFB40" s="66"/>
      <c r="UFC40" s="66"/>
      <c r="UFD40" s="66"/>
      <c r="UFE40" s="66"/>
      <c r="UFF40" s="66"/>
      <c r="UFG40" s="66"/>
      <c r="UFH40" s="66"/>
      <c r="UFI40" s="66"/>
      <c r="UFJ40" s="66"/>
      <c r="UFK40" s="66"/>
      <c r="UFL40" s="66"/>
      <c r="UFM40" s="66"/>
      <c r="UFN40" s="66"/>
      <c r="UFO40" s="66"/>
      <c r="UFP40" s="66"/>
      <c r="UFQ40" s="66"/>
      <c r="UFR40" s="66"/>
      <c r="UFS40" s="66"/>
      <c r="UFT40" s="66"/>
      <c r="UFU40" s="66"/>
      <c r="UFV40" s="66"/>
      <c r="UFW40" s="66"/>
      <c r="UFX40" s="66"/>
      <c r="UFY40" s="66"/>
      <c r="UFZ40" s="66"/>
      <c r="UGA40" s="66"/>
      <c r="UGB40" s="66"/>
      <c r="UGC40" s="66"/>
      <c r="UGD40" s="66"/>
      <c r="UGE40" s="66"/>
      <c r="UGF40" s="66"/>
      <c r="UGG40" s="66"/>
      <c r="UGH40" s="66"/>
      <c r="UGI40" s="66"/>
      <c r="UGJ40" s="66"/>
      <c r="UGK40" s="66"/>
      <c r="UGL40" s="66"/>
      <c r="UGM40" s="66"/>
      <c r="UGN40" s="66"/>
      <c r="UGO40" s="66"/>
      <c r="UGP40" s="66"/>
      <c r="UGQ40" s="66"/>
      <c r="UGR40" s="66"/>
      <c r="UGS40" s="66"/>
      <c r="UGT40" s="66"/>
      <c r="UGU40" s="66"/>
      <c r="UGV40" s="66"/>
      <c r="UGW40" s="66"/>
      <c r="UGX40" s="66"/>
      <c r="UGY40" s="66"/>
      <c r="UGZ40" s="66"/>
      <c r="UHA40" s="66"/>
      <c r="UHB40" s="66"/>
      <c r="UHC40" s="66"/>
      <c r="UHD40" s="66"/>
      <c r="UHE40" s="66"/>
      <c r="UHF40" s="66"/>
      <c r="UHG40" s="66"/>
      <c r="UHH40" s="66"/>
      <c r="UHI40" s="66"/>
      <c r="UHJ40" s="66"/>
      <c r="UHK40" s="66"/>
      <c r="UHL40" s="66"/>
      <c r="UHM40" s="66"/>
      <c r="UHN40" s="66"/>
      <c r="UHO40" s="66"/>
      <c r="UHP40" s="66"/>
      <c r="UHQ40" s="66"/>
      <c r="UHR40" s="66"/>
      <c r="UHS40" s="66"/>
      <c r="UHT40" s="66"/>
      <c r="UHU40" s="66"/>
      <c r="UHV40" s="66"/>
      <c r="UHW40" s="66"/>
      <c r="UHX40" s="66"/>
      <c r="UHY40" s="66"/>
      <c r="UHZ40" s="66"/>
      <c r="UIA40" s="66"/>
      <c r="UIB40" s="66"/>
      <c r="UIC40" s="66"/>
      <c r="UID40" s="66"/>
      <c r="UIE40" s="66"/>
      <c r="UIF40" s="66"/>
      <c r="UIG40" s="66"/>
      <c r="UIH40" s="66"/>
      <c r="UII40" s="66"/>
      <c r="UIJ40" s="66"/>
      <c r="UIK40" s="66"/>
      <c r="UIL40" s="66"/>
      <c r="UIM40" s="66"/>
      <c r="UIN40" s="66"/>
      <c r="UIO40" s="66"/>
      <c r="UIP40" s="66"/>
      <c r="UIQ40" s="66"/>
      <c r="UIR40" s="66"/>
      <c r="UIS40" s="66"/>
      <c r="UIT40" s="66"/>
      <c r="UIU40" s="66"/>
      <c r="UIV40" s="66"/>
      <c r="UIW40" s="66"/>
      <c r="UIX40" s="66"/>
      <c r="UIY40" s="66"/>
      <c r="UIZ40" s="66"/>
      <c r="UJA40" s="66"/>
      <c r="UJB40" s="66"/>
      <c r="UJC40" s="66"/>
      <c r="UJD40" s="66"/>
      <c r="UJE40" s="66"/>
      <c r="UJF40" s="66"/>
      <c r="UJG40" s="66"/>
      <c r="UJH40" s="66"/>
      <c r="UJI40" s="66"/>
      <c r="UJJ40" s="66"/>
      <c r="UJK40" s="66"/>
      <c r="UJL40" s="66"/>
      <c r="UJM40" s="66"/>
      <c r="UJN40" s="66"/>
      <c r="UJO40" s="66"/>
      <c r="UJP40" s="66"/>
      <c r="UJQ40" s="66"/>
      <c r="UJR40" s="66"/>
      <c r="UJS40" s="66"/>
      <c r="UJT40" s="66"/>
      <c r="UJU40" s="66"/>
      <c r="UJV40" s="66"/>
      <c r="UJW40" s="66"/>
      <c r="UJX40" s="66"/>
      <c r="UJY40" s="66"/>
      <c r="UJZ40" s="66"/>
      <c r="UKA40" s="66"/>
      <c r="UKB40" s="66"/>
      <c r="UKC40" s="66"/>
      <c r="UKD40" s="66"/>
      <c r="UKE40" s="66"/>
      <c r="UKF40" s="66"/>
      <c r="UKG40" s="66"/>
      <c r="UKH40" s="66"/>
      <c r="UKI40" s="66"/>
      <c r="UKJ40" s="66"/>
      <c r="UKK40" s="66"/>
      <c r="UKL40" s="66"/>
      <c r="UKM40" s="66"/>
      <c r="UKN40" s="66"/>
      <c r="UKO40" s="66"/>
      <c r="UKP40" s="66"/>
      <c r="UKQ40" s="66"/>
      <c r="UKR40" s="66"/>
      <c r="UKS40" s="66"/>
      <c r="UKT40" s="66"/>
      <c r="UKU40" s="66"/>
      <c r="UKV40" s="66"/>
      <c r="UKW40" s="66"/>
      <c r="UKX40" s="66"/>
      <c r="UKY40" s="66"/>
      <c r="UKZ40" s="66"/>
      <c r="ULA40" s="66"/>
      <c r="ULB40" s="66"/>
      <c r="ULC40" s="66"/>
      <c r="ULD40" s="66"/>
      <c r="ULE40" s="66"/>
      <c r="ULF40" s="66"/>
      <c r="ULG40" s="66"/>
      <c r="ULH40" s="66"/>
      <c r="ULI40" s="66"/>
      <c r="ULJ40" s="66"/>
      <c r="ULK40" s="66"/>
      <c r="ULL40" s="66"/>
      <c r="ULM40" s="66"/>
      <c r="ULN40" s="66"/>
      <c r="ULO40" s="66"/>
      <c r="ULP40" s="66"/>
      <c r="ULQ40" s="66"/>
      <c r="ULR40" s="66"/>
      <c r="ULS40" s="66"/>
      <c r="ULT40" s="66"/>
      <c r="ULU40" s="66"/>
      <c r="ULV40" s="66"/>
      <c r="ULW40" s="66"/>
      <c r="ULX40" s="66"/>
      <c r="ULY40" s="66"/>
      <c r="ULZ40" s="66"/>
      <c r="UMA40" s="66"/>
      <c r="UMB40" s="66"/>
      <c r="UMC40" s="66"/>
      <c r="UMD40" s="66"/>
      <c r="UME40" s="66"/>
      <c r="UMF40" s="66"/>
      <c r="UMG40" s="66"/>
      <c r="UMH40" s="66"/>
      <c r="UMI40" s="66"/>
      <c r="UMJ40" s="66"/>
      <c r="UMK40" s="66"/>
      <c r="UML40" s="66"/>
      <c r="UMM40" s="66"/>
      <c r="UMN40" s="66"/>
      <c r="UMO40" s="66"/>
      <c r="UMP40" s="66"/>
      <c r="UMQ40" s="66"/>
      <c r="UMR40" s="66"/>
      <c r="UMS40" s="66"/>
      <c r="UMT40" s="66"/>
      <c r="UMU40" s="66"/>
      <c r="UMV40" s="66"/>
      <c r="UMW40" s="66"/>
      <c r="UMX40" s="66"/>
      <c r="UMY40" s="66"/>
      <c r="UMZ40" s="66"/>
      <c r="UNA40" s="66"/>
      <c r="UNB40" s="66"/>
      <c r="UNC40" s="66"/>
      <c r="UND40" s="66"/>
      <c r="UNE40" s="66"/>
      <c r="UNF40" s="66"/>
      <c r="UNG40" s="66"/>
      <c r="UNH40" s="66"/>
      <c r="UNI40" s="66"/>
      <c r="UNJ40" s="66"/>
      <c r="UNK40" s="66"/>
      <c r="UNL40" s="66"/>
      <c r="UNM40" s="66"/>
      <c r="UNN40" s="66"/>
      <c r="UNO40" s="66"/>
      <c r="UNP40" s="66"/>
      <c r="UNQ40" s="66"/>
      <c r="UNR40" s="66"/>
      <c r="UNS40" s="66"/>
      <c r="UNT40" s="66"/>
      <c r="UNU40" s="66"/>
      <c r="UNV40" s="66"/>
      <c r="UNW40" s="66"/>
      <c r="UNX40" s="66"/>
      <c r="UNY40" s="66"/>
      <c r="UNZ40" s="66"/>
      <c r="UOA40" s="66"/>
      <c r="UOB40" s="66"/>
      <c r="UOC40" s="66"/>
      <c r="UOD40" s="66"/>
      <c r="UOE40" s="66"/>
      <c r="UOF40" s="66"/>
      <c r="UOG40" s="66"/>
      <c r="UOH40" s="66"/>
      <c r="UOI40" s="66"/>
      <c r="UOJ40" s="66"/>
      <c r="UOK40" s="66"/>
      <c r="UOL40" s="66"/>
      <c r="UOM40" s="66"/>
      <c r="UON40" s="66"/>
      <c r="UOO40" s="66"/>
      <c r="UOP40" s="66"/>
      <c r="UOQ40" s="66"/>
      <c r="UOR40" s="66"/>
      <c r="UOS40" s="66"/>
      <c r="UOT40" s="66"/>
      <c r="UOU40" s="66"/>
      <c r="UOV40" s="66"/>
      <c r="UOW40" s="66"/>
      <c r="UOX40" s="66"/>
      <c r="UOY40" s="66"/>
      <c r="UOZ40" s="66"/>
      <c r="UPA40" s="66"/>
      <c r="UPB40" s="66"/>
      <c r="UPC40" s="66"/>
      <c r="UPD40" s="66"/>
      <c r="UPE40" s="66"/>
      <c r="UPF40" s="66"/>
      <c r="UPG40" s="66"/>
      <c r="UPH40" s="66"/>
      <c r="UPI40" s="66"/>
      <c r="UPJ40" s="66"/>
      <c r="UPK40" s="66"/>
      <c r="UPL40" s="66"/>
      <c r="UPM40" s="66"/>
      <c r="UPN40" s="66"/>
      <c r="UPO40" s="66"/>
      <c r="UPP40" s="66"/>
      <c r="UPQ40" s="66"/>
      <c r="UPR40" s="66"/>
      <c r="UPS40" s="66"/>
      <c r="UPT40" s="66"/>
      <c r="UPU40" s="66"/>
      <c r="UPV40" s="66"/>
      <c r="UPW40" s="66"/>
      <c r="UPX40" s="66"/>
      <c r="UPY40" s="66"/>
      <c r="UPZ40" s="66"/>
      <c r="UQA40" s="66"/>
      <c r="UQB40" s="66"/>
      <c r="UQC40" s="66"/>
      <c r="UQD40" s="66"/>
      <c r="UQE40" s="66"/>
      <c r="UQF40" s="66"/>
      <c r="UQG40" s="66"/>
      <c r="UQH40" s="66"/>
      <c r="UQI40" s="66"/>
      <c r="UQJ40" s="66"/>
      <c r="UQK40" s="66"/>
      <c r="UQL40" s="66"/>
      <c r="UQM40" s="66"/>
      <c r="UQN40" s="66"/>
      <c r="UQO40" s="66"/>
      <c r="UQP40" s="66"/>
      <c r="UQQ40" s="66"/>
      <c r="UQR40" s="66"/>
      <c r="UQS40" s="66"/>
      <c r="UQT40" s="66"/>
      <c r="UQU40" s="66"/>
      <c r="UQV40" s="66"/>
      <c r="UQW40" s="66"/>
      <c r="UQX40" s="66"/>
      <c r="UQY40" s="66"/>
      <c r="UQZ40" s="66"/>
      <c r="URA40" s="66"/>
      <c r="URB40" s="66"/>
      <c r="URC40" s="66"/>
      <c r="URD40" s="66"/>
      <c r="URE40" s="66"/>
      <c r="URF40" s="66"/>
      <c r="URG40" s="66"/>
      <c r="URH40" s="66"/>
      <c r="URI40" s="66"/>
      <c r="URJ40" s="66"/>
      <c r="URK40" s="66"/>
      <c r="URL40" s="66"/>
      <c r="URM40" s="66"/>
      <c r="URN40" s="66"/>
      <c r="URO40" s="66"/>
      <c r="URP40" s="66"/>
      <c r="URQ40" s="66"/>
      <c r="URR40" s="66"/>
      <c r="URS40" s="66"/>
      <c r="URT40" s="66"/>
      <c r="URU40" s="66"/>
      <c r="URV40" s="66"/>
      <c r="URW40" s="66"/>
      <c r="URX40" s="66"/>
      <c r="URY40" s="66"/>
      <c r="URZ40" s="66"/>
      <c r="USA40" s="66"/>
      <c r="USB40" s="66"/>
      <c r="USC40" s="66"/>
      <c r="USD40" s="66"/>
      <c r="USE40" s="66"/>
      <c r="USF40" s="66"/>
      <c r="USG40" s="66"/>
      <c r="USH40" s="66"/>
      <c r="USI40" s="66"/>
      <c r="USJ40" s="66"/>
      <c r="USK40" s="66"/>
      <c r="USL40" s="66"/>
      <c r="USM40" s="66"/>
      <c r="USN40" s="66"/>
      <c r="USO40" s="66"/>
      <c r="USP40" s="66"/>
      <c r="USQ40" s="66"/>
      <c r="USR40" s="66"/>
      <c r="USS40" s="66"/>
      <c r="UST40" s="66"/>
      <c r="USU40" s="66"/>
      <c r="USV40" s="66"/>
      <c r="USW40" s="66"/>
      <c r="USX40" s="66"/>
      <c r="USY40" s="66"/>
      <c r="USZ40" s="66"/>
      <c r="UTA40" s="66"/>
      <c r="UTB40" s="66"/>
      <c r="UTC40" s="66"/>
      <c r="UTD40" s="66"/>
      <c r="UTE40" s="66"/>
      <c r="UTF40" s="66"/>
      <c r="UTG40" s="66"/>
      <c r="UTH40" s="66"/>
      <c r="UTI40" s="66"/>
      <c r="UTJ40" s="66"/>
      <c r="UTK40" s="66"/>
      <c r="UTL40" s="66"/>
      <c r="UTM40" s="66"/>
      <c r="UTN40" s="66"/>
      <c r="UTO40" s="66"/>
      <c r="UTP40" s="66"/>
      <c r="UTQ40" s="66"/>
      <c r="UTR40" s="66"/>
      <c r="UTS40" s="66"/>
      <c r="UTT40" s="66"/>
      <c r="UTU40" s="66"/>
      <c r="UTV40" s="66"/>
      <c r="UTW40" s="66"/>
      <c r="UTX40" s="66"/>
      <c r="UTY40" s="66"/>
      <c r="UTZ40" s="66"/>
      <c r="UUA40" s="66"/>
      <c r="UUB40" s="66"/>
      <c r="UUC40" s="66"/>
      <c r="UUD40" s="66"/>
      <c r="UUE40" s="66"/>
      <c r="UUF40" s="66"/>
      <c r="UUG40" s="66"/>
      <c r="UUH40" s="66"/>
      <c r="UUI40" s="66"/>
      <c r="UUJ40" s="66"/>
      <c r="UUK40" s="66"/>
      <c r="UUL40" s="66"/>
      <c r="UUM40" s="66"/>
      <c r="UUN40" s="66"/>
      <c r="UUO40" s="66"/>
      <c r="UUP40" s="66"/>
      <c r="UUQ40" s="66"/>
      <c r="UUR40" s="66"/>
      <c r="UUS40" s="66"/>
      <c r="UUT40" s="66"/>
      <c r="UUU40" s="66"/>
      <c r="UUV40" s="66"/>
      <c r="UUW40" s="66"/>
      <c r="UUX40" s="66"/>
      <c r="UUY40" s="66"/>
      <c r="UUZ40" s="66"/>
      <c r="UVA40" s="66"/>
      <c r="UVB40" s="66"/>
      <c r="UVC40" s="66"/>
      <c r="UVD40" s="66"/>
      <c r="UVE40" s="66"/>
      <c r="UVF40" s="66"/>
      <c r="UVG40" s="66"/>
      <c r="UVH40" s="66"/>
      <c r="UVI40" s="66"/>
      <c r="UVJ40" s="66"/>
      <c r="UVK40" s="66"/>
      <c r="UVL40" s="66"/>
      <c r="UVM40" s="66"/>
      <c r="UVN40" s="66"/>
      <c r="UVO40" s="66"/>
      <c r="UVP40" s="66"/>
      <c r="UVQ40" s="66"/>
      <c r="UVR40" s="66"/>
      <c r="UVS40" s="66"/>
      <c r="UVT40" s="66"/>
      <c r="UVU40" s="66"/>
      <c r="UVV40" s="66"/>
      <c r="UVW40" s="66"/>
      <c r="UVX40" s="66"/>
      <c r="UVY40" s="66"/>
      <c r="UVZ40" s="66"/>
      <c r="UWA40" s="66"/>
      <c r="UWB40" s="66"/>
      <c r="UWC40" s="66"/>
      <c r="UWD40" s="66"/>
      <c r="UWE40" s="66"/>
      <c r="UWF40" s="66"/>
      <c r="UWG40" s="66"/>
      <c r="UWH40" s="66"/>
      <c r="UWI40" s="66"/>
      <c r="UWJ40" s="66"/>
      <c r="UWK40" s="66"/>
      <c r="UWL40" s="66"/>
      <c r="UWM40" s="66"/>
      <c r="UWN40" s="66"/>
      <c r="UWO40" s="66"/>
      <c r="UWP40" s="66"/>
      <c r="UWQ40" s="66"/>
      <c r="UWR40" s="66"/>
      <c r="UWS40" s="66"/>
      <c r="UWT40" s="66"/>
      <c r="UWU40" s="66"/>
      <c r="UWV40" s="66"/>
      <c r="UWW40" s="66"/>
      <c r="UWX40" s="66"/>
      <c r="UWY40" s="66"/>
      <c r="UWZ40" s="66"/>
      <c r="UXA40" s="66"/>
      <c r="UXB40" s="66"/>
      <c r="UXC40" s="66"/>
      <c r="UXD40" s="66"/>
      <c r="UXE40" s="66"/>
      <c r="UXF40" s="66"/>
      <c r="UXG40" s="66"/>
      <c r="UXH40" s="66"/>
      <c r="UXI40" s="66"/>
      <c r="UXJ40" s="66"/>
      <c r="UXK40" s="66"/>
      <c r="UXL40" s="66"/>
      <c r="UXM40" s="66"/>
      <c r="UXN40" s="66"/>
      <c r="UXO40" s="66"/>
      <c r="UXP40" s="66"/>
      <c r="UXQ40" s="66"/>
      <c r="UXR40" s="66"/>
      <c r="UXS40" s="66"/>
      <c r="UXT40" s="66"/>
      <c r="UXU40" s="66"/>
      <c r="UXV40" s="66"/>
      <c r="UXW40" s="66"/>
      <c r="UXX40" s="66"/>
      <c r="UXY40" s="66"/>
      <c r="UXZ40" s="66"/>
      <c r="UYA40" s="66"/>
      <c r="UYB40" s="66"/>
      <c r="UYC40" s="66"/>
      <c r="UYD40" s="66"/>
      <c r="UYE40" s="66"/>
      <c r="UYF40" s="66"/>
      <c r="UYG40" s="66"/>
      <c r="UYH40" s="66"/>
      <c r="UYI40" s="66"/>
      <c r="UYJ40" s="66"/>
      <c r="UYK40" s="66"/>
      <c r="UYL40" s="66"/>
      <c r="UYM40" s="66"/>
      <c r="UYN40" s="66"/>
      <c r="UYO40" s="66"/>
      <c r="UYP40" s="66"/>
      <c r="UYQ40" s="66"/>
      <c r="UYR40" s="66"/>
      <c r="UYS40" s="66"/>
      <c r="UYT40" s="66"/>
      <c r="UYU40" s="66"/>
      <c r="UYV40" s="66"/>
      <c r="UYW40" s="66"/>
      <c r="UYX40" s="66"/>
      <c r="UYY40" s="66"/>
      <c r="UYZ40" s="66"/>
      <c r="UZA40" s="66"/>
      <c r="UZB40" s="66"/>
      <c r="UZC40" s="66"/>
      <c r="UZD40" s="66"/>
      <c r="UZE40" s="66"/>
      <c r="UZF40" s="66"/>
      <c r="UZG40" s="66"/>
      <c r="UZH40" s="66"/>
      <c r="UZI40" s="66"/>
      <c r="UZJ40" s="66"/>
      <c r="UZK40" s="66"/>
      <c r="UZL40" s="66"/>
      <c r="UZM40" s="66"/>
      <c r="UZN40" s="66"/>
      <c r="UZO40" s="66"/>
      <c r="UZP40" s="66"/>
      <c r="UZQ40" s="66"/>
      <c r="UZR40" s="66"/>
      <c r="UZS40" s="66"/>
      <c r="UZT40" s="66"/>
      <c r="UZU40" s="66"/>
      <c r="UZV40" s="66"/>
      <c r="UZW40" s="66"/>
      <c r="UZX40" s="66"/>
      <c r="UZY40" s="66"/>
      <c r="UZZ40" s="66"/>
      <c r="VAA40" s="66"/>
      <c r="VAB40" s="66"/>
      <c r="VAC40" s="66"/>
      <c r="VAD40" s="66"/>
      <c r="VAE40" s="66"/>
      <c r="VAF40" s="66"/>
      <c r="VAG40" s="66"/>
      <c r="VAH40" s="66"/>
      <c r="VAI40" s="66"/>
      <c r="VAJ40" s="66"/>
      <c r="VAK40" s="66"/>
      <c r="VAL40" s="66"/>
      <c r="VAM40" s="66"/>
      <c r="VAN40" s="66"/>
      <c r="VAO40" s="66"/>
      <c r="VAP40" s="66"/>
      <c r="VAQ40" s="66"/>
      <c r="VAR40" s="66"/>
      <c r="VAS40" s="66"/>
      <c r="VAT40" s="66"/>
      <c r="VAU40" s="66"/>
      <c r="VAV40" s="66"/>
      <c r="VAW40" s="66"/>
      <c r="VAX40" s="66"/>
      <c r="VAY40" s="66"/>
      <c r="VAZ40" s="66"/>
      <c r="VBA40" s="66"/>
      <c r="VBB40" s="66"/>
      <c r="VBC40" s="66"/>
      <c r="VBD40" s="66"/>
      <c r="VBE40" s="66"/>
      <c r="VBF40" s="66"/>
      <c r="VBG40" s="66"/>
      <c r="VBH40" s="66"/>
      <c r="VBI40" s="66"/>
      <c r="VBJ40" s="66"/>
      <c r="VBK40" s="66"/>
      <c r="VBL40" s="66"/>
      <c r="VBM40" s="66"/>
      <c r="VBN40" s="66"/>
      <c r="VBO40" s="66"/>
      <c r="VBP40" s="66"/>
      <c r="VBQ40" s="66"/>
      <c r="VBR40" s="66"/>
      <c r="VBS40" s="66"/>
      <c r="VBT40" s="66"/>
      <c r="VBU40" s="66"/>
      <c r="VBV40" s="66"/>
      <c r="VBW40" s="66"/>
      <c r="VBX40" s="66"/>
      <c r="VBY40" s="66"/>
      <c r="VBZ40" s="66"/>
      <c r="VCA40" s="66"/>
      <c r="VCB40" s="66"/>
      <c r="VCC40" s="66"/>
      <c r="VCD40" s="66"/>
      <c r="VCE40" s="66"/>
      <c r="VCF40" s="66"/>
      <c r="VCG40" s="66"/>
      <c r="VCH40" s="66"/>
      <c r="VCI40" s="66"/>
      <c r="VCJ40" s="66"/>
      <c r="VCK40" s="66"/>
      <c r="VCL40" s="66"/>
      <c r="VCM40" s="66"/>
      <c r="VCN40" s="66"/>
      <c r="VCO40" s="66"/>
      <c r="VCP40" s="66"/>
      <c r="VCQ40" s="66"/>
      <c r="VCR40" s="66"/>
      <c r="VCS40" s="66"/>
      <c r="VCT40" s="66"/>
      <c r="VCU40" s="66"/>
      <c r="VCV40" s="66"/>
      <c r="VCW40" s="66"/>
      <c r="VCX40" s="66"/>
      <c r="VCY40" s="66"/>
      <c r="VCZ40" s="66"/>
      <c r="VDA40" s="66"/>
      <c r="VDB40" s="66"/>
      <c r="VDC40" s="66"/>
      <c r="VDD40" s="66"/>
      <c r="VDE40" s="66"/>
      <c r="VDF40" s="66"/>
      <c r="VDG40" s="66"/>
      <c r="VDH40" s="66"/>
      <c r="VDI40" s="66"/>
      <c r="VDJ40" s="66"/>
      <c r="VDK40" s="66"/>
      <c r="VDL40" s="66"/>
      <c r="VDM40" s="66"/>
      <c r="VDN40" s="66"/>
      <c r="VDO40" s="66"/>
      <c r="VDP40" s="66"/>
      <c r="VDQ40" s="66"/>
      <c r="VDR40" s="66"/>
      <c r="VDS40" s="66"/>
      <c r="VDT40" s="66"/>
      <c r="VDU40" s="66"/>
      <c r="VDV40" s="66"/>
      <c r="VDW40" s="66"/>
      <c r="VDX40" s="66"/>
      <c r="VDY40" s="66"/>
      <c r="VDZ40" s="66"/>
      <c r="VEA40" s="66"/>
      <c r="VEB40" s="66"/>
      <c r="VEC40" s="66"/>
      <c r="VED40" s="66"/>
      <c r="VEE40" s="66"/>
      <c r="VEF40" s="66"/>
      <c r="VEG40" s="66"/>
      <c r="VEH40" s="66"/>
      <c r="VEI40" s="66"/>
      <c r="VEJ40" s="66"/>
      <c r="VEK40" s="66"/>
      <c r="VEL40" s="66"/>
      <c r="VEM40" s="66"/>
      <c r="VEN40" s="66"/>
      <c r="VEO40" s="66"/>
      <c r="VEP40" s="66"/>
      <c r="VEQ40" s="66"/>
      <c r="VER40" s="66"/>
      <c r="VES40" s="66"/>
      <c r="VET40" s="66"/>
      <c r="VEU40" s="66"/>
      <c r="VEV40" s="66"/>
      <c r="VEW40" s="66"/>
      <c r="VEX40" s="66"/>
      <c r="VEY40" s="66"/>
      <c r="VEZ40" s="66"/>
      <c r="VFA40" s="66"/>
      <c r="VFB40" s="66"/>
      <c r="VFC40" s="66"/>
      <c r="VFD40" s="66"/>
      <c r="VFE40" s="66"/>
      <c r="VFF40" s="66"/>
      <c r="VFG40" s="66"/>
      <c r="VFH40" s="66"/>
      <c r="VFI40" s="66"/>
      <c r="VFJ40" s="66"/>
      <c r="VFK40" s="66"/>
      <c r="VFL40" s="66"/>
      <c r="VFM40" s="66"/>
      <c r="VFN40" s="66"/>
      <c r="VFO40" s="66"/>
      <c r="VFP40" s="66"/>
      <c r="VFQ40" s="66"/>
      <c r="VFR40" s="66"/>
      <c r="VFS40" s="66"/>
      <c r="VFT40" s="66"/>
      <c r="VFU40" s="66"/>
      <c r="VFV40" s="66"/>
      <c r="VFW40" s="66"/>
      <c r="VFX40" s="66"/>
      <c r="VFY40" s="66"/>
      <c r="VFZ40" s="66"/>
      <c r="VGA40" s="66"/>
      <c r="VGB40" s="66"/>
      <c r="VGC40" s="66"/>
      <c r="VGD40" s="66"/>
      <c r="VGE40" s="66"/>
      <c r="VGF40" s="66"/>
      <c r="VGG40" s="66"/>
      <c r="VGH40" s="66"/>
      <c r="VGI40" s="66"/>
      <c r="VGJ40" s="66"/>
      <c r="VGK40" s="66"/>
      <c r="VGL40" s="66"/>
      <c r="VGM40" s="66"/>
      <c r="VGN40" s="66"/>
      <c r="VGO40" s="66"/>
      <c r="VGP40" s="66"/>
      <c r="VGQ40" s="66"/>
      <c r="VGR40" s="66"/>
      <c r="VGS40" s="66"/>
      <c r="VGT40" s="66"/>
      <c r="VGU40" s="66"/>
      <c r="VGV40" s="66"/>
      <c r="VGW40" s="66"/>
      <c r="VGX40" s="66"/>
      <c r="VGY40" s="66"/>
      <c r="VGZ40" s="66"/>
      <c r="VHA40" s="66"/>
      <c r="VHB40" s="66"/>
      <c r="VHC40" s="66"/>
      <c r="VHD40" s="66"/>
      <c r="VHE40" s="66"/>
      <c r="VHF40" s="66"/>
      <c r="VHG40" s="66"/>
      <c r="VHH40" s="66"/>
      <c r="VHI40" s="66"/>
      <c r="VHJ40" s="66"/>
      <c r="VHK40" s="66"/>
      <c r="VHL40" s="66"/>
      <c r="VHM40" s="66"/>
      <c r="VHN40" s="66"/>
      <c r="VHO40" s="66"/>
      <c r="VHP40" s="66"/>
      <c r="VHQ40" s="66"/>
      <c r="VHR40" s="66"/>
      <c r="VHS40" s="66"/>
      <c r="VHT40" s="66"/>
      <c r="VHU40" s="66"/>
      <c r="VHV40" s="66"/>
      <c r="VHW40" s="66"/>
      <c r="VHX40" s="66"/>
      <c r="VHY40" s="66"/>
      <c r="VHZ40" s="66"/>
      <c r="VIA40" s="66"/>
      <c r="VIB40" s="66"/>
      <c r="VIC40" s="66"/>
      <c r="VID40" s="66"/>
      <c r="VIE40" s="66"/>
      <c r="VIF40" s="66"/>
      <c r="VIG40" s="66"/>
      <c r="VIH40" s="66"/>
      <c r="VII40" s="66"/>
      <c r="VIJ40" s="66"/>
      <c r="VIK40" s="66"/>
      <c r="VIL40" s="66"/>
      <c r="VIM40" s="66"/>
      <c r="VIN40" s="66"/>
      <c r="VIO40" s="66"/>
      <c r="VIP40" s="66"/>
      <c r="VIQ40" s="66"/>
      <c r="VIR40" s="66"/>
      <c r="VIS40" s="66"/>
      <c r="VIT40" s="66"/>
      <c r="VIU40" s="66"/>
      <c r="VIV40" s="66"/>
      <c r="VIW40" s="66"/>
      <c r="VIX40" s="66"/>
      <c r="VIY40" s="66"/>
      <c r="VIZ40" s="66"/>
      <c r="VJA40" s="66"/>
      <c r="VJB40" s="66"/>
      <c r="VJC40" s="66"/>
      <c r="VJD40" s="66"/>
      <c r="VJE40" s="66"/>
      <c r="VJF40" s="66"/>
      <c r="VJG40" s="66"/>
      <c r="VJH40" s="66"/>
      <c r="VJI40" s="66"/>
      <c r="VJJ40" s="66"/>
      <c r="VJK40" s="66"/>
      <c r="VJL40" s="66"/>
      <c r="VJM40" s="66"/>
      <c r="VJN40" s="66"/>
      <c r="VJO40" s="66"/>
      <c r="VJP40" s="66"/>
      <c r="VJQ40" s="66"/>
      <c r="VJR40" s="66"/>
      <c r="VJS40" s="66"/>
      <c r="VJT40" s="66"/>
      <c r="VJU40" s="66"/>
      <c r="VJV40" s="66"/>
      <c r="VJW40" s="66"/>
      <c r="VJX40" s="66"/>
      <c r="VJY40" s="66"/>
      <c r="VJZ40" s="66"/>
      <c r="VKA40" s="66"/>
      <c r="VKB40" s="66"/>
      <c r="VKC40" s="66"/>
      <c r="VKD40" s="66"/>
      <c r="VKE40" s="66"/>
      <c r="VKF40" s="66"/>
      <c r="VKG40" s="66"/>
      <c r="VKH40" s="66"/>
      <c r="VKI40" s="66"/>
      <c r="VKJ40" s="66"/>
      <c r="VKK40" s="66"/>
      <c r="VKL40" s="66"/>
      <c r="VKM40" s="66"/>
      <c r="VKN40" s="66"/>
      <c r="VKO40" s="66"/>
      <c r="VKP40" s="66"/>
      <c r="VKQ40" s="66"/>
      <c r="VKR40" s="66"/>
      <c r="VKS40" s="66"/>
      <c r="VKT40" s="66"/>
      <c r="VKU40" s="66"/>
      <c r="VKV40" s="66"/>
      <c r="VKW40" s="66"/>
      <c r="VKX40" s="66"/>
      <c r="VKY40" s="66"/>
      <c r="VKZ40" s="66"/>
      <c r="VLA40" s="66"/>
      <c r="VLB40" s="66"/>
      <c r="VLC40" s="66"/>
      <c r="VLD40" s="66"/>
      <c r="VLE40" s="66"/>
      <c r="VLF40" s="66"/>
      <c r="VLG40" s="66"/>
      <c r="VLH40" s="66"/>
      <c r="VLI40" s="66"/>
      <c r="VLJ40" s="66"/>
      <c r="VLK40" s="66"/>
      <c r="VLL40" s="66"/>
      <c r="VLM40" s="66"/>
      <c r="VLN40" s="66"/>
      <c r="VLO40" s="66"/>
      <c r="VLP40" s="66"/>
      <c r="VLQ40" s="66"/>
      <c r="VLR40" s="66"/>
      <c r="VLS40" s="66"/>
      <c r="VLT40" s="66"/>
      <c r="VLU40" s="66"/>
      <c r="VLV40" s="66"/>
      <c r="VLW40" s="66"/>
      <c r="VLX40" s="66"/>
      <c r="VLY40" s="66"/>
      <c r="VLZ40" s="66"/>
      <c r="VMA40" s="66"/>
      <c r="VMB40" s="66"/>
      <c r="VMC40" s="66"/>
      <c r="VMD40" s="66"/>
      <c r="VME40" s="66"/>
      <c r="VMF40" s="66"/>
      <c r="VMG40" s="66"/>
      <c r="VMH40" s="66"/>
      <c r="VMI40" s="66"/>
      <c r="VMJ40" s="66"/>
      <c r="VMK40" s="66"/>
      <c r="VML40" s="66"/>
      <c r="VMM40" s="66"/>
      <c r="VMN40" s="66"/>
      <c r="VMO40" s="66"/>
      <c r="VMP40" s="66"/>
      <c r="VMQ40" s="66"/>
      <c r="VMR40" s="66"/>
      <c r="VMS40" s="66"/>
      <c r="VMT40" s="66"/>
      <c r="VMU40" s="66"/>
      <c r="VMV40" s="66"/>
      <c r="VMW40" s="66"/>
      <c r="VMX40" s="66"/>
      <c r="VMY40" s="66"/>
      <c r="VMZ40" s="66"/>
      <c r="VNA40" s="66"/>
      <c r="VNB40" s="66"/>
      <c r="VNC40" s="66"/>
      <c r="VND40" s="66"/>
      <c r="VNE40" s="66"/>
      <c r="VNF40" s="66"/>
      <c r="VNG40" s="66"/>
      <c r="VNH40" s="66"/>
      <c r="VNI40" s="66"/>
      <c r="VNJ40" s="66"/>
      <c r="VNK40" s="66"/>
      <c r="VNL40" s="66"/>
      <c r="VNM40" s="66"/>
      <c r="VNN40" s="66"/>
      <c r="VNO40" s="66"/>
      <c r="VNP40" s="66"/>
      <c r="VNQ40" s="66"/>
      <c r="VNR40" s="66"/>
      <c r="VNS40" s="66"/>
      <c r="VNT40" s="66"/>
      <c r="VNU40" s="66"/>
      <c r="VNV40" s="66"/>
      <c r="VNW40" s="66"/>
      <c r="VNX40" s="66"/>
      <c r="VNY40" s="66"/>
      <c r="VNZ40" s="66"/>
      <c r="VOA40" s="66"/>
      <c r="VOB40" s="66"/>
      <c r="VOC40" s="66"/>
      <c r="VOD40" s="66"/>
      <c r="VOE40" s="66"/>
      <c r="VOF40" s="66"/>
      <c r="VOG40" s="66"/>
      <c r="VOH40" s="66"/>
      <c r="VOI40" s="66"/>
      <c r="VOJ40" s="66"/>
      <c r="VOK40" s="66"/>
      <c r="VOL40" s="66"/>
      <c r="VOM40" s="66"/>
      <c r="VON40" s="66"/>
      <c r="VOO40" s="66"/>
      <c r="VOP40" s="66"/>
      <c r="VOQ40" s="66"/>
      <c r="VOR40" s="66"/>
      <c r="VOS40" s="66"/>
      <c r="VOT40" s="66"/>
      <c r="VOU40" s="66"/>
      <c r="VOV40" s="66"/>
      <c r="VOW40" s="66"/>
      <c r="VOX40" s="66"/>
      <c r="VOY40" s="66"/>
      <c r="VOZ40" s="66"/>
      <c r="VPA40" s="66"/>
      <c r="VPB40" s="66"/>
      <c r="VPC40" s="66"/>
      <c r="VPD40" s="66"/>
      <c r="VPE40" s="66"/>
      <c r="VPF40" s="66"/>
      <c r="VPG40" s="66"/>
      <c r="VPH40" s="66"/>
      <c r="VPI40" s="66"/>
      <c r="VPJ40" s="66"/>
      <c r="VPK40" s="66"/>
      <c r="VPL40" s="66"/>
      <c r="VPM40" s="66"/>
      <c r="VPN40" s="66"/>
      <c r="VPO40" s="66"/>
      <c r="VPP40" s="66"/>
      <c r="VPQ40" s="66"/>
      <c r="VPR40" s="66"/>
      <c r="VPS40" s="66"/>
      <c r="VPT40" s="66"/>
      <c r="VPU40" s="66"/>
      <c r="VPV40" s="66"/>
      <c r="VPW40" s="66"/>
      <c r="VPX40" s="66"/>
      <c r="VPY40" s="66"/>
      <c r="VPZ40" s="66"/>
      <c r="VQA40" s="66"/>
      <c r="VQB40" s="66"/>
      <c r="VQC40" s="66"/>
      <c r="VQD40" s="66"/>
      <c r="VQE40" s="66"/>
      <c r="VQF40" s="66"/>
      <c r="VQG40" s="66"/>
      <c r="VQH40" s="66"/>
      <c r="VQI40" s="66"/>
      <c r="VQJ40" s="66"/>
      <c r="VQK40" s="66"/>
      <c r="VQL40" s="66"/>
      <c r="VQM40" s="66"/>
      <c r="VQN40" s="66"/>
      <c r="VQO40" s="66"/>
      <c r="VQP40" s="66"/>
      <c r="VQQ40" s="66"/>
      <c r="VQR40" s="66"/>
      <c r="VQS40" s="66"/>
      <c r="VQT40" s="66"/>
      <c r="VQU40" s="66"/>
      <c r="VQV40" s="66"/>
      <c r="VQW40" s="66"/>
      <c r="VQX40" s="66"/>
      <c r="VQY40" s="66"/>
      <c r="VQZ40" s="66"/>
      <c r="VRA40" s="66"/>
      <c r="VRB40" s="66"/>
      <c r="VRC40" s="66"/>
      <c r="VRD40" s="66"/>
      <c r="VRE40" s="66"/>
      <c r="VRF40" s="66"/>
      <c r="VRG40" s="66"/>
      <c r="VRH40" s="66"/>
      <c r="VRI40" s="66"/>
      <c r="VRJ40" s="66"/>
      <c r="VRK40" s="66"/>
      <c r="VRL40" s="66"/>
      <c r="VRM40" s="66"/>
      <c r="VRN40" s="66"/>
      <c r="VRO40" s="66"/>
      <c r="VRP40" s="66"/>
      <c r="VRQ40" s="66"/>
      <c r="VRR40" s="66"/>
      <c r="VRS40" s="66"/>
      <c r="VRT40" s="66"/>
      <c r="VRU40" s="66"/>
      <c r="VRV40" s="66"/>
      <c r="VRW40" s="66"/>
      <c r="VRX40" s="66"/>
      <c r="VRY40" s="66"/>
      <c r="VRZ40" s="66"/>
      <c r="VSA40" s="66"/>
      <c r="VSB40" s="66"/>
      <c r="VSC40" s="66"/>
      <c r="VSD40" s="66"/>
      <c r="VSE40" s="66"/>
      <c r="VSF40" s="66"/>
      <c r="VSG40" s="66"/>
      <c r="VSH40" s="66"/>
      <c r="VSI40" s="66"/>
      <c r="VSJ40" s="66"/>
      <c r="VSK40" s="66"/>
      <c r="VSL40" s="66"/>
      <c r="VSM40" s="66"/>
      <c r="VSN40" s="66"/>
      <c r="VSO40" s="66"/>
      <c r="VSP40" s="66"/>
      <c r="VSQ40" s="66"/>
      <c r="VSR40" s="66"/>
      <c r="VSS40" s="66"/>
      <c r="VST40" s="66"/>
      <c r="VSU40" s="66"/>
      <c r="VSV40" s="66"/>
      <c r="VSW40" s="66"/>
      <c r="VSX40" s="66"/>
      <c r="VSY40" s="66"/>
      <c r="VSZ40" s="66"/>
      <c r="VTA40" s="66"/>
      <c r="VTB40" s="66"/>
      <c r="VTC40" s="66"/>
      <c r="VTD40" s="66"/>
      <c r="VTE40" s="66"/>
      <c r="VTF40" s="66"/>
      <c r="VTG40" s="66"/>
      <c r="VTH40" s="66"/>
      <c r="VTI40" s="66"/>
      <c r="VTJ40" s="66"/>
      <c r="VTK40" s="66"/>
      <c r="VTL40" s="66"/>
      <c r="VTM40" s="66"/>
      <c r="VTN40" s="66"/>
      <c r="VTO40" s="66"/>
      <c r="VTP40" s="66"/>
      <c r="VTQ40" s="66"/>
      <c r="VTR40" s="66"/>
      <c r="VTS40" s="66"/>
      <c r="VTT40" s="66"/>
      <c r="VTU40" s="66"/>
      <c r="VTV40" s="66"/>
      <c r="VTW40" s="66"/>
      <c r="VTX40" s="66"/>
      <c r="VTY40" s="66"/>
      <c r="VTZ40" s="66"/>
      <c r="VUA40" s="66"/>
      <c r="VUB40" s="66"/>
      <c r="VUC40" s="66"/>
      <c r="VUD40" s="66"/>
      <c r="VUE40" s="66"/>
      <c r="VUF40" s="66"/>
      <c r="VUG40" s="66"/>
      <c r="VUH40" s="66"/>
      <c r="VUI40" s="66"/>
      <c r="VUJ40" s="66"/>
      <c r="VUK40" s="66"/>
      <c r="VUL40" s="66"/>
      <c r="VUM40" s="66"/>
      <c r="VUN40" s="66"/>
      <c r="VUO40" s="66"/>
      <c r="VUP40" s="66"/>
      <c r="VUQ40" s="66"/>
      <c r="VUR40" s="66"/>
      <c r="VUS40" s="66"/>
      <c r="VUT40" s="66"/>
      <c r="VUU40" s="66"/>
      <c r="VUV40" s="66"/>
      <c r="VUW40" s="66"/>
      <c r="VUX40" s="66"/>
      <c r="VUY40" s="66"/>
      <c r="VUZ40" s="66"/>
      <c r="VVA40" s="66"/>
      <c r="VVB40" s="66"/>
      <c r="VVC40" s="66"/>
      <c r="VVD40" s="66"/>
      <c r="VVE40" s="66"/>
      <c r="VVF40" s="66"/>
      <c r="VVG40" s="66"/>
      <c r="VVH40" s="66"/>
      <c r="VVI40" s="66"/>
      <c r="VVJ40" s="66"/>
      <c r="VVK40" s="66"/>
      <c r="VVL40" s="66"/>
      <c r="VVM40" s="66"/>
      <c r="VVN40" s="66"/>
      <c r="VVO40" s="66"/>
      <c r="VVP40" s="66"/>
      <c r="VVQ40" s="66"/>
      <c r="VVR40" s="66"/>
      <c r="VVS40" s="66"/>
      <c r="VVT40" s="66"/>
      <c r="VVU40" s="66"/>
      <c r="VVV40" s="66"/>
      <c r="VVW40" s="66"/>
      <c r="VVX40" s="66"/>
      <c r="VVY40" s="66"/>
      <c r="VVZ40" s="66"/>
      <c r="VWA40" s="66"/>
      <c r="VWB40" s="66"/>
      <c r="VWC40" s="66"/>
      <c r="VWD40" s="66"/>
      <c r="VWE40" s="66"/>
      <c r="VWF40" s="66"/>
      <c r="VWG40" s="66"/>
      <c r="VWH40" s="66"/>
      <c r="VWI40" s="66"/>
      <c r="VWJ40" s="66"/>
      <c r="VWK40" s="66"/>
      <c r="VWL40" s="66"/>
      <c r="VWM40" s="66"/>
      <c r="VWN40" s="66"/>
      <c r="VWO40" s="66"/>
      <c r="VWP40" s="66"/>
      <c r="VWQ40" s="66"/>
      <c r="VWR40" s="66"/>
      <c r="VWS40" s="66"/>
      <c r="VWT40" s="66"/>
      <c r="VWU40" s="66"/>
      <c r="VWV40" s="66"/>
      <c r="VWW40" s="66"/>
      <c r="VWX40" s="66"/>
      <c r="VWY40" s="66"/>
      <c r="VWZ40" s="66"/>
      <c r="VXA40" s="66"/>
      <c r="VXB40" s="66"/>
      <c r="VXC40" s="66"/>
      <c r="VXD40" s="66"/>
      <c r="VXE40" s="66"/>
      <c r="VXF40" s="66"/>
      <c r="VXG40" s="66"/>
      <c r="VXH40" s="66"/>
      <c r="VXI40" s="66"/>
      <c r="VXJ40" s="66"/>
      <c r="VXK40" s="66"/>
      <c r="VXL40" s="66"/>
      <c r="VXM40" s="66"/>
      <c r="VXN40" s="66"/>
      <c r="VXO40" s="66"/>
      <c r="VXP40" s="66"/>
      <c r="VXQ40" s="66"/>
      <c r="VXR40" s="66"/>
      <c r="VXS40" s="66"/>
      <c r="VXT40" s="66"/>
      <c r="VXU40" s="66"/>
      <c r="VXV40" s="66"/>
      <c r="VXW40" s="66"/>
      <c r="VXX40" s="66"/>
      <c r="VXY40" s="66"/>
      <c r="VXZ40" s="66"/>
      <c r="VYA40" s="66"/>
      <c r="VYB40" s="66"/>
      <c r="VYC40" s="66"/>
      <c r="VYD40" s="66"/>
      <c r="VYE40" s="66"/>
      <c r="VYF40" s="66"/>
      <c r="VYG40" s="66"/>
      <c r="VYH40" s="66"/>
      <c r="VYI40" s="66"/>
      <c r="VYJ40" s="66"/>
      <c r="VYK40" s="66"/>
      <c r="VYL40" s="66"/>
      <c r="VYM40" s="66"/>
      <c r="VYN40" s="66"/>
      <c r="VYO40" s="66"/>
      <c r="VYP40" s="66"/>
      <c r="VYQ40" s="66"/>
      <c r="VYR40" s="66"/>
      <c r="VYS40" s="66"/>
      <c r="VYT40" s="66"/>
      <c r="VYU40" s="66"/>
      <c r="VYV40" s="66"/>
      <c r="VYW40" s="66"/>
      <c r="VYX40" s="66"/>
      <c r="VYY40" s="66"/>
      <c r="VYZ40" s="66"/>
      <c r="VZA40" s="66"/>
      <c r="VZB40" s="66"/>
      <c r="VZC40" s="66"/>
      <c r="VZD40" s="66"/>
      <c r="VZE40" s="66"/>
      <c r="VZF40" s="66"/>
      <c r="VZG40" s="66"/>
      <c r="VZH40" s="66"/>
      <c r="VZI40" s="66"/>
      <c r="VZJ40" s="66"/>
      <c r="VZK40" s="66"/>
      <c r="VZL40" s="66"/>
      <c r="VZM40" s="66"/>
      <c r="VZN40" s="66"/>
      <c r="VZO40" s="66"/>
      <c r="VZP40" s="66"/>
      <c r="VZQ40" s="66"/>
      <c r="VZR40" s="66"/>
      <c r="VZS40" s="66"/>
      <c r="VZT40" s="66"/>
      <c r="VZU40" s="66"/>
      <c r="VZV40" s="66"/>
      <c r="VZW40" s="66"/>
      <c r="VZX40" s="66"/>
      <c r="VZY40" s="66"/>
      <c r="VZZ40" s="66"/>
      <c r="WAA40" s="66"/>
      <c r="WAB40" s="66"/>
      <c r="WAC40" s="66"/>
      <c r="WAD40" s="66"/>
      <c r="WAE40" s="66"/>
      <c r="WAF40" s="66"/>
      <c r="WAG40" s="66"/>
      <c r="WAH40" s="66"/>
      <c r="WAI40" s="66"/>
      <c r="WAJ40" s="66"/>
      <c r="WAK40" s="66"/>
      <c r="WAL40" s="66"/>
      <c r="WAM40" s="66"/>
      <c r="WAN40" s="66"/>
      <c r="WAO40" s="66"/>
      <c r="WAP40" s="66"/>
      <c r="WAQ40" s="66"/>
      <c r="WAR40" s="66"/>
      <c r="WAS40" s="66"/>
      <c r="WAT40" s="66"/>
      <c r="WAU40" s="66"/>
      <c r="WAV40" s="66"/>
      <c r="WAW40" s="66"/>
      <c r="WAX40" s="66"/>
      <c r="WAY40" s="66"/>
      <c r="WAZ40" s="66"/>
      <c r="WBA40" s="66"/>
      <c r="WBB40" s="66"/>
      <c r="WBC40" s="66"/>
      <c r="WBD40" s="66"/>
      <c r="WBE40" s="66"/>
      <c r="WBF40" s="66"/>
      <c r="WBG40" s="66"/>
      <c r="WBH40" s="66"/>
      <c r="WBI40" s="66"/>
      <c r="WBJ40" s="66"/>
      <c r="WBK40" s="66"/>
      <c r="WBL40" s="66"/>
      <c r="WBM40" s="66"/>
      <c r="WBN40" s="66"/>
      <c r="WBO40" s="66"/>
      <c r="WBP40" s="66"/>
      <c r="WBQ40" s="66"/>
      <c r="WBR40" s="66"/>
      <c r="WBS40" s="66"/>
      <c r="WBT40" s="66"/>
      <c r="WBU40" s="66"/>
      <c r="WBV40" s="66"/>
      <c r="WBW40" s="66"/>
      <c r="WBX40" s="66"/>
      <c r="WBY40" s="66"/>
      <c r="WBZ40" s="66"/>
      <c r="WCA40" s="66"/>
      <c r="WCB40" s="66"/>
      <c r="WCC40" s="66"/>
      <c r="WCD40" s="66"/>
      <c r="WCE40" s="66"/>
      <c r="WCF40" s="66"/>
      <c r="WCG40" s="66"/>
      <c r="WCH40" s="66"/>
      <c r="WCI40" s="66"/>
      <c r="WCJ40" s="66"/>
      <c r="WCK40" s="66"/>
      <c r="WCL40" s="66"/>
      <c r="WCM40" s="66"/>
      <c r="WCN40" s="66"/>
      <c r="WCO40" s="66"/>
      <c r="WCP40" s="66"/>
      <c r="WCQ40" s="66"/>
      <c r="WCR40" s="66"/>
      <c r="WCS40" s="66"/>
      <c r="WCT40" s="66"/>
      <c r="WCU40" s="66"/>
      <c r="WCV40" s="66"/>
      <c r="WCW40" s="66"/>
      <c r="WCX40" s="66"/>
      <c r="WCY40" s="66"/>
      <c r="WCZ40" s="66"/>
      <c r="WDA40" s="66"/>
      <c r="WDB40" s="66"/>
      <c r="WDC40" s="66"/>
      <c r="WDD40" s="66"/>
      <c r="WDE40" s="66"/>
      <c r="WDF40" s="66"/>
      <c r="WDG40" s="66"/>
      <c r="WDH40" s="66"/>
      <c r="WDI40" s="66"/>
      <c r="WDJ40" s="66"/>
      <c r="WDK40" s="66"/>
      <c r="WDL40" s="66"/>
      <c r="WDM40" s="66"/>
      <c r="WDN40" s="66"/>
      <c r="WDO40" s="66"/>
      <c r="WDP40" s="66"/>
      <c r="WDQ40" s="66"/>
      <c r="WDR40" s="66"/>
      <c r="WDS40" s="66"/>
      <c r="WDT40" s="66"/>
      <c r="WDU40" s="66"/>
      <c r="WDV40" s="66"/>
      <c r="WDW40" s="66"/>
      <c r="WDX40" s="66"/>
      <c r="WDY40" s="66"/>
      <c r="WDZ40" s="66"/>
      <c r="WEA40" s="66"/>
      <c r="WEB40" s="66"/>
      <c r="WEC40" s="66"/>
      <c r="WED40" s="66"/>
      <c r="WEE40" s="66"/>
      <c r="WEF40" s="66"/>
      <c r="WEG40" s="66"/>
      <c r="WEH40" s="66"/>
      <c r="WEI40" s="66"/>
      <c r="WEJ40" s="66"/>
      <c r="WEK40" s="66"/>
      <c r="WEL40" s="66"/>
      <c r="WEM40" s="66"/>
      <c r="WEN40" s="66"/>
      <c r="WEO40" s="66"/>
      <c r="WEP40" s="66"/>
      <c r="WEQ40" s="66"/>
      <c r="WER40" s="66"/>
      <c r="WES40" s="66"/>
      <c r="WET40" s="66"/>
      <c r="WEU40" s="66"/>
      <c r="WEV40" s="66"/>
      <c r="WEW40" s="66"/>
      <c r="WEX40" s="66"/>
      <c r="WEY40" s="66"/>
      <c r="WEZ40" s="66"/>
      <c r="WFA40" s="66"/>
      <c r="WFB40" s="66"/>
      <c r="WFC40" s="66"/>
      <c r="WFD40" s="66"/>
      <c r="WFE40" s="66"/>
      <c r="WFF40" s="66"/>
      <c r="WFG40" s="66"/>
      <c r="WFH40" s="66"/>
      <c r="WFI40" s="66"/>
      <c r="WFJ40" s="66"/>
      <c r="WFK40" s="66"/>
      <c r="WFL40" s="66"/>
      <c r="WFM40" s="66"/>
      <c r="WFN40" s="66"/>
      <c r="WFO40" s="66"/>
      <c r="WFP40" s="66"/>
      <c r="WFQ40" s="66"/>
      <c r="WFR40" s="66"/>
      <c r="WFS40" s="66"/>
      <c r="WFT40" s="66"/>
      <c r="WFU40" s="66"/>
      <c r="WFV40" s="66"/>
      <c r="WFW40" s="66"/>
      <c r="WFX40" s="66"/>
      <c r="WFY40" s="66"/>
      <c r="WFZ40" s="66"/>
      <c r="WGA40" s="66"/>
      <c r="WGB40" s="66"/>
      <c r="WGC40" s="66"/>
      <c r="WGD40" s="66"/>
      <c r="WGE40" s="66"/>
      <c r="WGF40" s="66"/>
      <c r="WGG40" s="66"/>
      <c r="WGH40" s="66"/>
      <c r="WGI40" s="66"/>
      <c r="WGJ40" s="66"/>
      <c r="WGK40" s="66"/>
      <c r="WGL40" s="66"/>
      <c r="WGM40" s="66"/>
      <c r="WGN40" s="66"/>
      <c r="WGO40" s="66"/>
      <c r="WGP40" s="66"/>
      <c r="WGQ40" s="66"/>
      <c r="WGR40" s="66"/>
      <c r="WGS40" s="66"/>
      <c r="WGT40" s="66"/>
      <c r="WGU40" s="66"/>
      <c r="WGV40" s="66"/>
      <c r="WGW40" s="66"/>
      <c r="WGX40" s="66"/>
      <c r="WGY40" s="66"/>
      <c r="WGZ40" s="66"/>
      <c r="WHA40" s="66"/>
      <c r="WHB40" s="66"/>
      <c r="WHC40" s="66"/>
      <c r="WHD40" s="66"/>
      <c r="WHE40" s="66"/>
      <c r="WHF40" s="66"/>
      <c r="WHG40" s="66"/>
      <c r="WHH40" s="66"/>
      <c r="WHI40" s="66"/>
      <c r="WHJ40" s="66"/>
      <c r="WHK40" s="66"/>
      <c r="WHL40" s="66"/>
      <c r="WHM40" s="66"/>
      <c r="WHN40" s="66"/>
      <c r="WHO40" s="66"/>
      <c r="WHP40" s="66"/>
      <c r="WHQ40" s="66"/>
      <c r="WHR40" s="66"/>
      <c r="WHS40" s="66"/>
      <c r="WHT40" s="66"/>
      <c r="WHU40" s="66"/>
      <c r="WHV40" s="66"/>
      <c r="WHW40" s="66"/>
      <c r="WHX40" s="66"/>
      <c r="WHY40" s="66"/>
      <c r="WHZ40" s="66"/>
      <c r="WIA40" s="66"/>
      <c r="WIB40" s="66"/>
      <c r="WIC40" s="66"/>
      <c r="WID40" s="66"/>
      <c r="WIE40" s="66"/>
      <c r="WIF40" s="66"/>
      <c r="WIG40" s="66"/>
      <c r="WIH40" s="66"/>
      <c r="WII40" s="66"/>
      <c r="WIJ40" s="66"/>
      <c r="WIK40" s="66"/>
      <c r="WIL40" s="66"/>
      <c r="WIM40" s="66"/>
      <c r="WIN40" s="66"/>
      <c r="WIO40" s="66"/>
      <c r="WIP40" s="66"/>
      <c r="WIQ40" s="66"/>
      <c r="WIR40" s="66"/>
      <c r="WIS40" s="66"/>
      <c r="WIT40" s="66"/>
      <c r="WIU40" s="66"/>
      <c r="WIV40" s="66"/>
      <c r="WIW40" s="66"/>
      <c r="WIX40" s="66"/>
      <c r="WIY40" s="66"/>
      <c r="WIZ40" s="66"/>
      <c r="WJA40" s="66"/>
      <c r="WJB40" s="66"/>
      <c r="WJC40" s="66"/>
      <c r="WJD40" s="66"/>
      <c r="WJE40" s="66"/>
      <c r="WJF40" s="66"/>
      <c r="WJG40" s="66"/>
      <c r="WJH40" s="66"/>
      <c r="WJI40" s="66"/>
      <c r="WJJ40" s="66"/>
      <c r="WJK40" s="66"/>
      <c r="WJL40" s="66"/>
      <c r="WJM40" s="66"/>
      <c r="WJN40" s="66"/>
      <c r="WJO40" s="66"/>
      <c r="WJP40" s="66"/>
      <c r="WJQ40" s="66"/>
      <c r="WJR40" s="66"/>
      <c r="WJS40" s="66"/>
      <c r="WJT40" s="66"/>
      <c r="WJU40" s="66"/>
      <c r="WJV40" s="66"/>
      <c r="WJW40" s="66"/>
      <c r="WJX40" s="66"/>
      <c r="WJY40" s="66"/>
      <c r="WJZ40" s="66"/>
      <c r="WKA40" s="66"/>
      <c r="WKB40" s="66"/>
      <c r="WKC40" s="66"/>
      <c r="WKD40" s="66"/>
      <c r="WKE40" s="66"/>
      <c r="WKF40" s="66"/>
      <c r="WKG40" s="66"/>
      <c r="WKH40" s="66"/>
      <c r="WKI40" s="66"/>
      <c r="WKJ40" s="66"/>
      <c r="WKK40" s="66"/>
      <c r="WKL40" s="66"/>
      <c r="WKM40" s="66"/>
      <c r="WKN40" s="66"/>
      <c r="WKO40" s="66"/>
      <c r="WKP40" s="66"/>
      <c r="WKQ40" s="66"/>
      <c r="WKR40" s="66"/>
      <c r="WKS40" s="66"/>
      <c r="WKT40" s="66"/>
      <c r="WKU40" s="66"/>
      <c r="WKV40" s="66"/>
      <c r="WKW40" s="66"/>
      <c r="WKX40" s="66"/>
      <c r="WKY40" s="66"/>
      <c r="WKZ40" s="66"/>
      <c r="WLA40" s="66"/>
      <c r="WLB40" s="66"/>
      <c r="WLC40" s="66"/>
      <c r="WLD40" s="66"/>
      <c r="WLE40" s="66"/>
      <c r="WLF40" s="66"/>
      <c r="WLG40" s="66"/>
      <c r="WLH40" s="66"/>
      <c r="WLI40" s="66"/>
      <c r="WLJ40" s="66"/>
      <c r="WLK40" s="66"/>
      <c r="WLL40" s="66"/>
      <c r="WLM40" s="66"/>
      <c r="WLN40" s="66"/>
      <c r="WLO40" s="66"/>
      <c r="WLP40" s="66"/>
      <c r="WLQ40" s="66"/>
      <c r="WLR40" s="66"/>
      <c r="WLS40" s="66"/>
      <c r="WLT40" s="66"/>
      <c r="WLU40" s="66"/>
      <c r="WLV40" s="66"/>
      <c r="WLW40" s="66"/>
      <c r="WLX40" s="66"/>
      <c r="WLY40" s="66"/>
      <c r="WLZ40" s="66"/>
      <c r="WMA40" s="66"/>
      <c r="WMB40" s="66"/>
      <c r="WMC40" s="66"/>
      <c r="WMD40" s="66"/>
      <c r="WME40" s="66"/>
      <c r="WMF40" s="66"/>
      <c r="WMG40" s="66"/>
      <c r="WMH40" s="66"/>
      <c r="WMI40" s="66"/>
      <c r="WMJ40" s="66"/>
      <c r="WMK40" s="66"/>
      <c r="WML40" s="66"/>
      <c r="WMM40" s="66"/>
      <c r="WMN40" s="66"/>
      <c r="WMO40" s="66"/>
      <c r="WMP40" s="66"/>
      <c r="WMQ40" s="66"/>
      <c r="WMR40" s="66"/>
      <c r="WMS40" s="66"/>
      <c r="WMT40" s="66"/>
      <c r="WMU40" s="66"/>
      <c r="WMV40" s="66"/>
      <c r="WMW40" s="66"/>
      <c r="WMX40" s="66"/>
      <c r="WMY40" s="66"/>
      <c r="WMZ40" s="66"/>
      <c r="WNA40" s="66"/>
      <c r="WNB40" s="66"/>
      <c r="WNC40" s="66"/>
      <c r="WND40" s="66"/>
      <c r="WNE40" s="66"/>
      <c r="WNF40" s="66"/>
      <c r="WNG40" s="66"/>
      <c r="WNH40" s="66"/>
      <c r="WNI40" s="66"/>
      <c r="WNJ40" s="66"/>
      <c r="WNK40" s="66"/>
      <c r="WNL40" s="66"/>
      <c r="WNM40" s="66"/>
      <c r="WNN40" s="66"/>
      <c r="WNO40" s="66"/>
      <c r="WNP40" s="66"/>
      <c r="WNQ40" s="66"/>
      <c r="WNR40" s="66"/>
      <c r="WNS40" s="66"/>
      <c r="WNT40" s="66"/>
      <c r="WNU40" s="66"/>
      <c r="WNV40" s="66"/>
      <c r="WNW40" s="66"/>
      <c r="WNX40" s="66"/>
      <c r="WNY40" s="66"/>
      <c r="WNZ40" s="66"/>
      <c r="WOA40" s="66"/>
      <c r="WOB40" s="66"/>
      <c r="WOC40" s="66"/>
      <c r="WOD40" s="66"/>
      <c r="WOE40" s="66"/>
      <c r="WOF40" s="66"/>
      <c r="WOG40" s="66"/>
      <c r="WOH40" s="66"/>
      <c r="WOI40" s="66"/>
      <c r="WOJ40" s="66"/>
      <c r="WOK40" s="66"/>
      <c r="WOL40" s="66"/>
      <c r="WOM40" s="66"/>
      <c r="WON40" s="66"/>
      <c r="WOO40" s="66"/>
      <c r="WOP40" s="66"/>
      <c r="WOQ40" s="66"/>
      <c r="WOR40" s="66"/>
      <c r="WOS40" s="66"/>
      <c r="WOT40" s="66"/>
      <c r="WOU40" s="66"/>
      <c r="WOV40" s="66"/>
      <c r="WOW40" s="66"/>
      <c r="WOX40" s="66"/>
      <c r="WOY40" s="66"/>
      <c r="WOZ40" s="66"/>
      <c r="WPA40" s="66"/>
      <c r="WPB40" s="66"/>
      <c r="WPC40" s="66"/>
      <c r="WPD40" s="66"/>
      <c r="WPE40" s="66"/>
      <c r="WPF40" s="66"/>
      <c r="WPG40" s="66"/>
      <c r="WPH40" s="66"/>
      <c r="WPI40" s="66"/>
      <c r="WPJ40" s="66"/>
      <c r="WPK40" s="66"/>
      <c r="WPL40" s="66"/>
      <c r="WPM40" s="66"/>
      <c r="WPN40" s="66"/>
      <c r="WPO40" s="66"/>
      <c r="WPP40" s="66"/>
      <c r="WPQ40" s="66"/>
      <c r="WPR40" s="66"/>
      <c r="WPS40" s="66"/>
      <c r="WPT40" s="66"/>
      <c r="WPU40" s="66"/>
      <c r="WPV40" s="66"/>
      <c r="WPW40" s="66"/>
      <c r="WPX40" s="66"/>
      <c r="WPY40" s="66"/>
      <c r="WPZ40" s="66"/>
      <c r="WQA40" s="66"/>
      <c r="WQB40" s="66"/>
      <c r="WQC40" s="66"/>
      <c r="WQD40" s="66"/>
      <c r="WQE40" s="66"/>
      <c r="WQF40" s="66"/>
      <c r="WQG40" s="66"/>
      <c r="WQH40" s="66"/>
      <c r="WQI40" s="66"/>
      <c r="WQJ40" s="66"/>
      <c r="WQK40" s="66"/>
      <c r="WQL40" s="66"/>
      <c r="WQM40" s="66"/>
      <c r="WQN40" s="66"/>
      <c r="WQO40" s="66"/>
      <c r="WQP40" s="66"/>
      <c r="WQQ40" s="66"/>
      <c r="WQR40" s="66"/>
      <c r="WQS40" s="66"/>
      <c r="WQT40" s="66"/>
      <c r="WQU40" s="66"/>
      <c r="WQV40" s="66"/>
      <c r="WQW40" s="66"/>
      <c r="WQX40" s="66"/>
      <c r="WQY40" s="66"/>
      <c r="WQZ40" s="66"/>
      <c r="WRA40" s="66"/>
      <c r="WRB40" s="66"/>
      <c r="WRC40" s="66"/>
      <c r="WRD40" s="66"/>
      <c r="WRE40" s="66"/>
      <c r="WRF40" s="66"/>
      <c r="WRG40" s="66"/>
      <c r="WRH40" s="66"/>
      <c r="WRI40" s="66"/>
      <c r="WRJ40" s="66"/>
      <c r="WRK40" s="66"/>
      <c r="WRL40" s="66"/>
      <c r="WRM40" s="66"/>
      <c r="WRN40" s="66"/>
      <c r="WRO40" s="66"/>
      <c r="WRP40" s="66"/>
      <c r="WRQ40" s="66"/>
      <c r="WRR40" s="66"/>
      <c r="WRS40" s="66"/>
      <c r="WRT40" s="66"/>
      <c r="WRU40" s="66"/>
      <c r="WRV40" s="66"/>
      <c r="WRW40" s="66"/>
      <c r="WRX40" s="66"/>
      <c r="WRY40" s="66"/>
      <c r="WRZ40" s="66"/>
      <c r="WSA40" s="66"/>
      <c r="WSB40" s="66"/>
      <c r="WSC40" s="66"/>
      <c r="WSD40" s="66"/>
      <c r="WSE40" s="66"/>
      <c r="WSF40" s="66"/>
      <c r="WSG40" s="66"/>
      <c r="WSH40" s="66"/>
      <c r="WSI40" s="66"/>
      <c r="WSJ40" s="66"/>
      <c r="WSK40" s="66"/>
      <c r="WSL40" s="66"/>
      <c r="WSM40" s="66"/>
      <c r="WSN40" s="66"/>
      <c r="WSO40" s="66"/>
      <c r="WSP40" s="66"/>
      <c r="WSQ40" s="66"/>
      <c r="WSR40" s="66"/>
      <c r="WSS40" s="66"/>
      <c r="WST40" s="66"/>
      <c r="WSU40" s="66"/>
      <c r="WSV40" s="66"/>
      <c r="WSW40" s="66"/>
      <c r="WSX40" s="66"/>
      <c r="WSY40" s="66"/>
      <c r="WSZ40" s="66"/>
      <c r="WTA40" s="66"/>
      <c r="WTB40" s="66"/>
      <c r="WTC40" s="66"/>
      <c r="WTD40" s="66"/>
      <c r="WTE40" s="66"/>
      <c r="WTF40" s="66"/>
      <c r="WTG40" s="66"/>
      <c r="WTH40" s="66"/>
      <c r="WTI40" s="66"/>
      <c r="WTJ40" s="66"/>
      <c r="WTK40" s="66"/>
      <c r="WTL40" s="66"/>
      <c r="WTM40" s="66"/>
      <c r="WTN40" s="66"/>
      <c r="WTO40" s="66"/>
      <c r="WTP40" s="66"/>
      <c r="WTQ40" s="66"/>
      <c r="WTR40" s="66"/>
      <c r="WTS40" s="66"/>
      <c r="WTT40" s="66"/>
      <c r="WTU40" s="66"/>
      <c r="WTV40" s="66"/>
      <c r="WTW40" s="66"/>
      <c r="WTX40" s="66"/>
      <c r="WTY40" s="66"/>
      <c r="WTZ40" s="66"/>
      <c r="WUA40" s="66"/>
      <c r="WUB40" s="66"/>
      <c r="WUC40" s="66"/>
      <c r="WUD40" s="66"/>
      <c r="WUE40" s="66"/>
      <c r="WUF40" s="66"/>
      <c r="WUG40" s="66"/>
      <c r="WUH40" s="66"/>
      <c r="WUI40" s="66"/>
      <c r="WUJ40" s="66"/>
      <c r="WUK40" s="66"/>
      <c r="WUL40" s="66"/>
      <c r="WUM40" s="66"/>
      <c r="WUN40" s="66"/>
      <c r="WUO40" s="66"/>
      <c r="WUP40" s="66"/>
      <c r="WUQ40" s="66"/>
      <c r="WUR40" s="66"/>
      <c r="WUS40" s="66"/>
      <c r="WUT40" s="66"/>
      <c r="WUU40" s="66"/>
      <c r="WUV40" s="66"/>
      <c r="WUW40" s="66"/>
      <c r="WUX40" s="66"/>
      <c r="WUY40" s="66"/>
      <c r="WUZ40" s="66"/>
      <c r="WVA40" s="66"/>
      <c r="WVB40" s="66"/>
      <c r="WVC40" s="66"/>
      <c r="WVD40" s="66"/>
      <c r="WVE40" s="66"/>
      <c r="WVF40" s="66"/>
      <c r="WVG40" s="66"/>
      <c r="WVH40" s="66"/>
      <c r="WVI40" s="66"/>
      <c r="WVJ40" s="66"/>
      <c r="WVK40" s="66"/>
      <c r="WVL40" s="66"/>
      <c r="WVM40" s="66"/>
      <c r="WVN40" s="66"/>
      <c r="WVO40" s="66"/>
      <c r="WVP40" s="66"/>
      <c r="WVQ40" s="66"/>
      <c r="WVR40" s="66"/>
      <c r="WVS40" s="66"/>
      <c r="WVT40" s="66"/>
      <c r="WVU40" s="66"/>
      <c r="WVV40" s="66"/>
      <c r="WVW40" s="66"/>
      <c r="WVX40" s="66"/>
      <c r="WVY40" s="66"/>
      <c r="WVZ40" s="66"/>
      <c r="WWA40" s="66"/>
      <c r="WWB40" s="66"/>
      <c r="WWC40" s="66"/>
      <c r="WWD40" s="66"/>
      <c r="WWE40" s="66"/>
      <c r="WWF40" s="66"/>
      <c r="WWG40" s="66"/>
      <c r="WWH40" s="66"/>
      <c r="WWI40" s="66"/>
      <c r="WWJ40" s="66"/>
      <c r="WWK40" s="66"/>
      <c r="WWL40" s="66"/>
      <c r="WWM40" s="66"/>
      <c r="WWN40" s="66"/>
      <c r="WWO40" s="66"/>
      <c r="WWP40" s="66"/>
      <c r="WWQ40" s="66"/>
      <c r="WWR40" s="66"/>
      <c r="WWS40" s="66"/>
      <c r="WWT40" s="66"/>
      <c r="WWU40" s="66"/>
      <c r="WWV40" s="66"/>
      <c r="WWW40" s="66"/>
      <c r="WWX40" s="66"/>
      <c r="WWY40" s="66"/>
      <c r="WWZ40" s="66"/>
      <c r="WXA40" s="66"/>
      <c r="WXB40" s="66"/>
      <c r="WXC40" s="66"/>
      <c r="WXD40" s="66"/>
      <c r="WXE40" s="66"/>
      <c r="WXF40" s="66"/>
      <c r="WXG40" s="66"/>
      <c r="WXH40" s="66"/>
      <c r="WXI40" s="66"/>
      <c r="WXJ40" s="66"/>
      <c r="WXK40" s="66"/>
      <c r="WXL40" s="66"/>
      <c r="WXM40" s="66"/>
      <c r="WXN40" s="66"/>
      <c r="WXO40" s="66"/>
      <c r="WXP40" s="66"/>
      <c r="WXQ40" s="66"/>
      <c r="WXR40" s="66"/>
      <c r="WXS40" s="66"/>
      <c r="WXT40" s="66"/>
      <c r="WXU40" s="66"/>
      <c r="WXV40" s="66"/>
      <c r="WXW40" s="66"/>
      <c r="WXX40" s="66"/>
      <c r="WXY40" s="66"/>
      <c r="WXZ40" s="66"/>
      <c r="WYA40" s="66"/>
      <c r="WYB40" s="66"/>
      <c r="WYC40" s="66"/>
      <c r="WYD40" s="66"/>
      <c r="WYE40" s="66"/>
      <c r="WYF40" s="66"/>
      <c r="WYG40" s="66"/>
      <c r="WYH40" s="66"/>
      <c r="WYI40" s="66"/>
      <c r="WYJ40" s="66"/>
      <c r="WYK40" s="66"/>
      <c r="WYL40" s="66"/>
      <c r="WYM40" s="66"/>
      <c r="WYN40" s="66"/>
      <c r="WYO40" s="66"/>
      <c r="WYP40" s="66"/>
      <c r="WYQ40" s="66"/>
      <c r="WYR40" s="66"/>
      <c r="WYS40" s="66"/>
      <c r="WYT40" s="66"/>
      <c r="WYU40" s="66"/>
      <c r="WYV40" s="66"/>
      <c r="WYW40" s="66"/>
      <c r="WYX40" s="66"/>
      <c r="WYY40" s="66"/>
      <c r="WYZ40" s="66"/>
      <c r="WZA40" s="66"/>
      <c r="WZB40" s="66"/>
      <c r="WZC40" s="66"/>
      <c r="WZD40" s="66"/>
      <c r="WZE40" s="66"/>
      <c r="WZF40" s="66"/>
      <c r="WZG40" s="66"/>
      <c r="WZH40" s="66"/>
      <c r="WZI40" s="66"/>
      <c r="WZJ40" s="66"/>
      <c r="WZK40" s="66"/>
      <c r="WZL40" s="66"/>
      <c r="WZM40" s="66"/>
      <c r="WZN40" s="66"/>
      <c r="WZO40" s="66"/>
      <c r="WZP40" s="66"/>
      <c r="WZQ40" s="66"/>
      <c r="WZR40" s="66"/>
      <c r="WZS40" s="66"/>
      <c r="WZT40" s="66"/>
      <c r="WZU40" s="66"/>
      <c r="WZV40" s="66"/>
      <c r="WZW40" s="66"/>
      <c r="WZX40" s="66"/>
      <c r="WZY40" s="66"/>
      <c r="WZZ40" s="66"/>
      <c r="XAA40" s="66"/>
      <c r="XAB40" s="66"/>
      <c r="XAC40" s="66"/>
      <c r="XAD40" s="66"/>
      <c r="XAE40" s="66"/>
      <c r="XAF40" s="66"/>
      <c r="XAG40" s="66"/>
      <c r="XAH40" s="66"/>
      <c r="XAI40" s="66"/>
      <c r="XAJ40" s="66"/>
      <c r="XAK40" s="66"/>
      <c r="XAL40" s="66"/>
      <c r="XAM40" s="66"/>
      <c r="XAN40" s="66"/>
      <c r="XAO40" s="66"/>
      <c r="XAP40" s="66"/>
      <c r="XAQ40" s="66"/>
      <c r="XAR40" s="66"/>
      <c r="XAS40" s="66"/>
      <c r="XAT40" s="66"/>
      <c r="XAU40" s="66"/>
      <c r="XAV40" s="66"/>
      <c r="XAW40" s="66"/>
      <c r="XAX40" s="66"/>
      <c r="XAY40" s="66"/>
      <c r="XAZ40" s="66"/>
      <c r="XBA40" s="66"/>
      <c r="XBB40" s="66"/>
      <c r="XBC40" s="66"/>
      <c r="XBD40" s="66"/>
      <c r="XBE40" s="66"/>
      <c r="XBF40" s="66"/>
      <c r="XBG40" s="66"/>
      <c r="XBH40" s="66"/>
      <c r="XBI40" s="66"/>
      <c r="XBJ40" s="66"/>
      <c r="XBK40" s="66"/>
      <c r="XBL40" s="66"/>
      <c r="XBM40" s="66"/>
      <c r="XBN40" s="66"/>
      <c r="XBO40" s="66"/>
      <c r="XBP40" s="66"/>
      <c r="XBQ40" s="66"/>
      <c r="XBR40" s="66"/>
      <c r="XBS40" s="66"/>
      <c r="XBT40" s="66"/>
      <c r="XBU40" s="66"/>
      <c r="XBV40" s="66"/>
      <c r="XBW40" s="66"/>
      <c r="XBX40" s="66"/>
      <c r="XBY40" s="66"/>
      <c r="XBZ40" s="66"/>
      <c r="XCA40" s="66"/>
      <c r="XCB40" s="66"/>
      <c r="XCC40" s="66"/>
      <c r="XCD40" s="66"/>
      <c r="XCE40" s="66"/>
      <c r="XCF40" s="66"/>
      <c r="XCG40" s="66"/>
      <c r="XCH40" s="66"/>
      <c r="XCI40" s="66"/>
      <c r="XCJ40" s="66"/>
      <c r="XCK40" s="66"/>
      <c r="XCL40" s="66"/>
      <c r="XCM40" s="66"/>
      <c r="XCN40" s="66"/>
      <c r="XCO40" s="66"/>
      <c r="XCP40" s="66"/>
      <c r="XCQ40" s="66"/>
      <c r="XCR40" s="66"/>
      <c r="XCS40" s="66"/>
      <c r="XCT40" s="66"/>
      <c r="XCU40" s="66"/>
      <c r="XCV40" s="66"/>
      <c r="XCW40" s="66"/>
      <c r="XCX40" s="66"/>
      <c r="XCY40" s="66"/>
      <c r="XCZ40" s="66"/>
      <c r="XDA40" s="66"/>
      <c r="XDB40" s="66"/>
      <c r="XDC40" s="66"/>
      <c r="XDD40" s="66"/>
      <c r="XDE40" s="66"/>
      <c r="XDF40" s="66"/>
      <c r="XDG40" s="66"/>
      <c r="XDH40" s="66"/>
      <c r="XDI40" s="66"/>
      <c r="XDJ40" s="66"/>
      <c r="XDK40" s="66"/>
      <c r="XDL40" s="66"/>
      <c r="XDM40" s="66"/>
      <c r="XDN40" s="66"/>
      <c r="XDO40" s="66"/>
      <c r="XDP40" s="66"/>
      <c r="XDQ40" s="66"/>
      <c r="XDR40" s="66"/>
      <c r="XDS40" s="66"/>
      <c r="XDT40" s="66"/>
      <c r="XDU40" s="66"/>
      <c r="XDV40" s="66"/>
      <c r="XDW40" s="66"/>
      <c r="XDX40" s="66"/>
      <c r="XDY40" s="66"/>
      <c r="XDZ40" s="66"/>
      <c r="XEA40" s="66"/>
      <c r="XEB40" s="66"/>
      <c r="XEC40" s="66"/>
      <c r="XED40" s="66"/>
      <c r="XEE40" s="66"/>
      <c r="XEF40" s="66"/>
      <c r="XEG40" s="66"/>
      <c r="XEH40" s="66"/>
      <c r="XEI40" s="66"/>
      <c r="XEJ40" s="66"/>
      <c r="XEK40" s="66"/>
      <c r="XEL40" s="66"/>
      <c r="XEM40" s="66"/>
      <c r="XEN40" s="66"/>
    </row>
    <row r="41" spans="1:16368" ht="13.5">
      <c r="A41" s="86"/>
      <c r="B41" s="67"/>
      <c r="C41" s="68"/>
      <c r="D41" s="68"/>
      <c r="E41" s="68"/>
      <c r="F41" s="69"/>
      <c r="J41" s="86"/>
      <c r="K41" s="86"/>
      <c r="P41" s="89"/>
    </row>
  </sheetData>
  <mergeCells count="2">
    <mergeCell ref="I8:I12"/>
    <mergeCell ref="B14:F14"/>
  </mergeCells>
  <phoneticPr fontId="29" type="noConversion"/>
  <conditionalFormatting sqref="C7:E12">
    <cfRule type="cellIs" dxfId="30" priority="3" operator="greaterThan">
      <formula>0</formula>
    </cfRule>
  </conditionalFormatting>
  <conditionalFormatting sqref="C8:F12">
    <cfRule type="cellIs" dxfId="29" priority="4" operator="lessThan">
      <formula>0</formula>
    </cfRule>
  </conditionalFormatting>
  <conditionalFormatting sqref="C25:F26 C28:F30 C32:F33">
    <cfRule type="cellIs" dxfId="28" priority="7" operator="greaterThan">
      <formula>C$7</formula>
    </cfRule>
  </conditionalFormatting>
  <conditionalFormatting sqref="D39:D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E13">
    <cfRule type="cellIs" dxfId="27" priority="1" operator="greaterThan">
      <formula>0</formula>
    </cfRule>
  </conditionalFormatting>
  <conditionalFormatting sqref="C13:F13">
    <cfRule type="cellIs" dxfId="26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252</v>
      </c>
      <c r="D2" s="53">
        <f ca="1">日期页!B4</f>
        <v>46303</v>
      </c>
      <c r="E2" s="51">
        <f ca="1">VLOOKUP(D2,实盘组合净值!$A:$S,14,0)</f>
        <v>0.98376777680813943</v>
      </c>
      <c r="F2" s="51"/>
      <c r="G2" s="51"/>
    </row>
    <row r="3" spans="1:8" ht="13">
      <c r="B3" t="s">
        <v>253</v>
      </c>
      <c r="D3" s="102">
        <f ca="1">日期页!B5</f>
        <v>46295</v>
      </c>
      <c r="E3" s="51">
        <f ca="1">VLOOKUP(D3,实盘组合净值!$A:$S,14,0)</f>
        <v>0.98823707745102929</v>
      </c>
      <c r="F3" s="52"/>
      <c r="G3" s="53"/>
    </row>
    <row r="4" spans="1:8" ht="13">
      <c r="D4" s="53">
        <f ca="1">日期页!B9</f>
        <v>46294</v>
      </c>
      <c r="E4" s="51">
        <f ca="1">VLOOKUP(D4,实盘组合净值!$A:$S,14,0)</f>
        <v>0.98955408677117096</v>
      </c>
      <c r="F4" s="52">
        <f ca="1">D2</f>
        <v>46303</v>
      </c>
      <c r="G4" s="53">
        <f>日期页!B6</f>
        <v>46195</v>
      </c>
      <c r="H4" s="53">
        <f>G4</f>
        <v>46195</v>
      </c>
    </row>
    <row r="5" spans="1:8" ht="13">
      <c r="D5" s="158">
        <f ca="1">日期页!B10</f>
        <v>46295</v>
      </c>
      <c r="E5" s="51">
        <f ca="1">VLOOKUP(D5,实盘组合净值!$A:$S,14,0)</f>
        <v>0.98823707745102929</v>
      </c>
      <c r="F5" s="52">
        <f ca="1">D5</f>
        <v>46295</v>
      </c>
      <c r="G5" s="53">
        <f ca="1">D5</f>
        <v>46295</v>
      </c>
      <c r="H5" s="53">
        <f ca="1">D5</f>
        <v>46295</v>
      </c>
    </row>
    <row r="6" spans="1:8" s="34" customFormat="1" ht="30" customHeight="1">
      <c r="A6" s="106" t="s">
        <v>201</v>
      </c>
      <c r="B6" s="106" t="s">
        <v>224</v>
      </c>
      <c r="C6" s="107" t="s">
        <v>28</v>
      </c>
      <c r="D6" s="108">
        <f ca="1">D5</f>
        <v>46295</v>
      </c>
      <c r="E6" s="106" t="s">
        <v>232</v>
      </c>
      <c r="F6" s="106" t="s">
        <v>186</v>
      </c>
      <c r="G6" s="106" t="s">
        <v>193</v>
      </c>
      <c r="H6" s="106" t="s">
        <v>204</v>
      </c>
    </row>
    <row r="7" spans="1:8" s="34" customFormat="1" ht="30" customHeight="1">
      <c r="A7" s="109" t="s">
        <v>229</v>
      </c>
      <c r="B7" s="110">
        <v>0.1</v>
      </c>
      <c r="C7" s="78"/>
      <c r="D7" s="111" t="s">
        <v>207</v>
      </c>
      <c r="E7" s="112">
        <f ca="1">E5/E4-1</f>
        <v>-1.3309119104737421E-3</v>
      </c>
      <c r="F7" s="112">
        <f ca="1">E5/E3-1</f>
        <v>0</v>
      </c>
      <c r="G7" s="112">
        <f ca="1">E5-1</f>
        <v>-1.1762922548970711E-2</v>
      </c>
      <c r="H7" s="112">
        <f>MIN(实盘组合净值!P:P)</f>
        <v>-2.8729069309879618E-2</v>
      </c>
    </row>
    <row r="8" spans="1:8" s="34" customFormat="1" ht="30" customHeight="1">
      <c r="A8" s="237" t="s">
        <v>225</v>
      </c>
      <c r="B8" s="238" t="s">
        <v>226</v>
      </c>
      <c r="C8" s="78" t="s">
        <v>217</v>
      </c>
      <c r="D8" s="113" t="str">
        <f>[1]!thsiFinD("ths_fund_official_short_name_fund",C8)</f>
        <v>华安盈瑞稳健优选6个月持有混合(FOF)A</v>
      </c>
      <c r="E8" s="114">
        <f ca="1">[1]!thsiFinD("ths_adjustment_nvg_rate_fund",C8,$D$5)/100</f>
        <v>6.4208400971321993E-4</v>
      </c>
      <c r="F8" s="114">
        <f ca="1">[1]!thsiFinD("ths_adjustment_nvg_ratio_fund",$C8,F$4,F$5,101)/100</f>
        <v>0</v>
      </c>
      <c r="G8" s="114">
        <f ca="1">[1]!thsiFinD("ths_adjustment_nvg_ratio_fund",$C8,G$4,G$5,101)/100</f>
        <v>-6.8128265534197997E-3</v>
      </c>
      <c r="H8" s="114">
        <f ca="1">-[1]!thsiFinD("ths_max_retrace_rate_all_fund",$C8,H$4,H$5)/100</f>
        <v>-9.7720423100954995E-3</v>
      </c>
    </row>
    <row r="9" spans="1:8" s="34" customFormat="1" ht="30" customHeight="1">
      <c r="A9" s="237"/>
      <c r="B9" s="238"/>
      <c r="C9" s="157" t="s">
        <v>218</v>
      </c>
      <c r="D9" s="115" t="str">
        <f>[1]!thsiFinD("ths_fund_official_short_name_fund",C9)</f>
        <v>中欧盈欣稳健6个月持有混合(FOF)A</v>
      </c>
      <c r="E9" s="116">
        <f ca="1">[1]!thsiFinD("ths_adjustment_nvg_rate_fund",C9,$D$5)/100</f>
        <v>3.9932115403807001E-4</v>
      </c>
      <c r="F9" s="116">
        <f ca="1">[1]!thsiFinD("ths_adjustment_nvg_ratio_fund",$C9,F$4,F$5,101)/100</f>
        <v>0</v>
      </c>
      <c r="G9" s="116">
        <f ca="1">[1]!thsiFinD("ths_adjustment_nvg_ratio_fund",$C9,G$4,G$5,101)/100</f>
        <v>6.9902137008181001E-4</v>
      </c>
      <c r="H9" s="116">
        <f ca="1">-[1]!thsiFinD("ths_max_retrace_rate_all_fund",$C9,H$4,H$5)/100</f>
        <v>-5.2631578947366997E-3</v>
      </c>
    </row>
    <row r="10" spans="1:8" s="34" customFormat="1" ht="30" customHeight="1">
      <c r="A10" s="237"/>
      <c r="B10" s="238"/>
      <c r="C10" s="78" t="s">
        <v>219</v>
      </c>
      <c r="D10" s="113" t="str">
        <f>[1]!thsiFinD("ths_fund_official_short_name_fund",C10)</f>
        <v>博时臻选楚汇三个月持有债券(FOF)B</v>
      </c>
      <c r="E10" s="114">
        <f ca="1">[1]!thsiFinD("ths_adjustment_nvg_rate_fund",C10,$D$5)/100</f>
        <v>1.1072153345431E-3</v>
      </c>
      <c r="F10" s="114">
        <f ca="1">[1]!thsiFinD("ths_adjustment_nvg_ratio_fund",$C10,F$4,F$5,101)/100</f>
        <v>0</v>
      </c>
      <c r="G10" s="114">
        <f ca="1">[1]!thsiFinD("ths_adjustment_nvg_ratio_fund",$C10,G$4,G$5,101)/100</f>
        <v>-7.6137244476377E-3</v>
      </c>
      <c r="H10" s="114">
        <f ca="1">-[1]!thsiFinD("ths_max_retrace_rate_all_fund",$C10,H$4,H$5)/100</f>
        <v>-1.2392928679652001E-2</v>
      </c>
    </row>
    <row r="11" spans="1:8" s="34" customFormat="1" ht="30" customHeight="1">
      <c r="A11" s="237"/>
      <c r="B11" s="238"/>
      <c r="C11" s="157" t="s">
        <v>220</v>
      </c>
      <c r="D11" s="115" t="str">
        <f>[1]!thsiFinD("ths_fund_official_short_name_fund",C11)</f>
        <v>中欧盈选稳健6个月持有混合发起(FOF)A</v>
      </c>
      <c r="E11" s="116">
        <f ca="1">[1]!thsiFinD("ths_adjustment_nvg_rate_fund",C11,$D$5)/100</f>
        <v>3.8113386319694E-4</v>
      </c>
      <c r="F11" s="116">
        <f ca="1">[1]!thsiFinD("ths_adjustment_nvg_ratio_fund",$C11,F$4,F$5,101)/100</f>
        <v>0</v>
      </c>
      <c r="G11" s="116">
        <f ca="1">[1]!thsiFinD("ths_adjustment_nvg_ratio_fund",$C11,G$4,G$5,101)/100</f>
        <v>1.0452462574851E-3</v>
      </c>
      <c r="H11" s="116">
        <f ca="1">-[1]!thsiFinD("ths_max_retrace_rate_all_fund",$C11,H$4,H$5)/100</f>
        <v>-5.2132701669982996E-3</v>
      </c>
    </row>
    <row r="12" spans="1:8" s="34" customFormat="1" ht="30" customHeight="1">
      <c r="A12" s="237"/>
      <c r="B12" s="238"/>
      <c r="C12" s="78" t="s">
        <v>221</v>
      </c>
      <c r="D12" s="113" t="str">
        <f>[1]!thsiFinD("ths_fund_official_short_name_fund",C12)</f>
        <v>博时盈泰臻选6个月持有期混合(FOF)A</v>
      </c>
      <c r="E12" s="114">
        <f ca="1">[1]!thsiFinD("ths_adjustment_nvg_rate_fund",C12,$D$5)/100</f>
        <v>1.4093013891684999E-3</v>
      </c>
      <c r="F12" s="114">
        <f ca="1">[1]!thsiFinD("ths_adjustment_nvg_ratio_fund",$C12,F$4,F$5,101)/100</f>
        <v>0</v>
      </c>
      <c r="G12" s="114">
        <f ca="1">[1]!thsiFinD("ths_adjustment_nvg_ratio_fund",$C12,G$4,G$5,101)/100</f>
        <v>-5.9952038369303993E-3</v>
      </c>
      <c r="H12" s="114">
        <f ca="1">-[1]!thsiFinD("ths_max_retrace_rate_all_fund",$C12,H$4,H$5)/100</f>
        <v>-1.2328494730563E-2</v>
      </c>
    </row>
    <row r="13" spans="1:8" s="34" customFormat="1" ht="30" customHeight="1">
      <c r="A13" s="237" t="s">
        <v>227</v>
      </c>
      <c r="B13" s="237" t="s">
        <v>228</v>
      </c>
      <c r="C13" s="157" t="s">
        <v>222</v>
      </c>
      <c r="D13" s="115" t="str">
        <f>[1]!thsiFinD("ths_fund_official_short_name_fund",C13)</f>
        <v>易方达如意盈安6个月持有混合发起式(FOF)A</v>
      </c>
      <c r="E13" s="116">
        <f ca="1">[1]!thsiFinD("ths_adjustment_nvg_rate_fund",C13,$D$5)/100</f>
        <v>8.9534421010739997E-4</v>
      </c>
      <c r="F13" s="116">
        <f ca="1">[1]!thsiFinD("ths_adjustment_nvg_ratio_fund",$C13,F$4,F$5,101)/100</f>
        <v>0</v>
      </c>
      <c r="G13" s="116">
        <f ca="1">[1]!thsiFinD("ths_adjustment_nvg_ratio_fund",$C13,G$4,G$5,101)/100</f>
        <v>-1.4882992264760999E-2</v>
      </c>
      <c r="H13" s="116">
        <f ca="1">-[1]!thsiFinD("ths_max_retrace_rate_all_fund",$C13,H$4,H$5)/100</f>
        <v>-2.2235225277940002E-2</v>
      </c>
    </row>
    <row r="14" spans="1:8" s="34" customFormat="1" ht="30" customHeight="1">
      <c r="A14" s="239"/>
      <c r="B14" s="239"/>
      <c r="C14" s="78" t="s">
        <v>223</v>
      </c>
      <c r="D14" s="113" t="str">
        <f>[1]!thsiFinD("ths_fund_official_short_name_fund",C14)</f>
        <v>易方达如意安诚六个月持有混合(FOF)A</v>
      </c>
      <c r="E14" s="114">
        <f ca="1">[1]!thsiFinD("ths_adjustment_nvg_rate_fund",C14,$D$5)/100</f>
        <v>9.9619635383673983E-4</v>
      </c>
      <c r="F14" s="114">
        <f ca="1">[1]!thsiFinD("ths_adjustment_nvg_ratio_fund",$C14,F$4,F$5,101)/100</f>
        <v>0</v>
      </c>
      <c r="G14" s="114">
        <f ca="1">[1]!thsiFinD("ths_adjustment_nvg_ratio_fund",$C14,G$4,G$5,101)/100</f>
        <v>-1.6191951597457999E-2</v>
      </c>
      <c r="H14" s="114">
        <f ca="1">-[1]!thsiFinD("ths_max_retrace_rate_all_fund",$C14,H$4,H$5)/100</f>
        <v>-2.3234627114233998E-2</v>
      </c>
    </row>
    <row r="15" spans="1:8" ht="25" customHeight="1">
      <c r="A15" s="103" t="s">
        <v>233</v>
      </c>
      <c r="B15" s="103"/>
      <c r="C15" s="104"/>
      <c r="D15" s="105"/>
      <c r="E15" s="105"/>
      <c r="F15" s="105"/>
      <c r="G15" s="105"/>
      <c r="H15" s="105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C36" sqref="C36:H36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4">
        <f>VLOOKUP(E4,实盘组合净值!$A:$P,14)</f>
        <v>1.0008955316407739</v>
      </c>
      <c r="F1" s="184">
        <f>VLOOKUP(F4,实盘组合净值!$A:$P,14)</f>
        <v>1.0008955316407739</v>
      </c>
      <c r="G1" s="184">
        <f>VLOOKUP(G4,实盘组合净值!$A:$P,14)</f>
        <v>0.97483599855662972</v>
      </c>
    </row>
    <row r="2" spans="1:8">
      <c r="E2" s="184">
        <f ca="1">VLOOKUP(E5,实盘组合净值!$A:$P,14)</f>
        <v>0.98375426682658829</v>
      </c>
      <c r="F2" s="184">
        <f>VLOOKUP(F5,实盘组合净值!$A:$P,14)</f>
        <v>0.97390321005734459</v>
      </c>
      <c r="G2" s="184">
        <f ca="1">VLOOKUP(G5,实盘组合净值!$A:$P,14)</f>
        <v>0.98375426682658829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8">
        <f ca="1">日期页!B2</f>
        <v>46304</v>
      </c>
      <c r="F5" s="53">
        <v>46233</v>
      </c>
      <c r="G5" s="53">
        <f ca="1">E5</f>
        <v>46304</v>
      </c>
    </row>
    <row r="6" spans="1:8" ht="16.5">
      <c r="A6" s="185"/>
      <c r="B6" s="185"/>
      <c r="C6" s="240" t="s">
        <v>291</v>
      </c>
      <c r="D6" s="240"/>
      <c r="E6" s="240"/>
      <c r="F6" s="240"/>
      <c r="G6" s="240"/>
      <c r="H6" s="240"/>
    </row>
    <row r="7" spans="1:8" ht="33">
      <c r="A7" s="186" t="s">
        <v>292</v>
      </c>
      <c r="B7" s="186" t="s">
        <v>28</v>
      </c>
      <c r="C7" s="186" t="s">
        <v>293</v>
      </c>
      <c r="D7" s="186" t="s">
        <v>294</v>
      </c>
      <c r="E7" s="186" t="s">
        <v>196</v>
      </c>
      <c r="F7" s="186" t="s">
        <v>295</v>
      </c>
      <c r="G7" s="186" t="s">
        <v>296</v>
      </c>
      <c r="H7" s="187" t="s">
        <v>297</v>
      </c>
    </row>
    <row r="8" spans="1:8" ht="16.5">
      <c r="A8" s="191" t="s">
        <v>298</v>
      </c>
      <c r="B8" s="191"/>
      <c r="C8" s="192" t="s">
        <v>299</v>
      </c>
      <c r="D8" s="191"/>
      <c r="E8" s="193">
        <f ca="1">E$2/E$1-1</f>
        <v>-1.7125928003780655E-2</v>
      </c>
      <c r="F8" s="193">
        <f t="shared" ref="F8" si="0">F$2/F$1-1</f>
        <v>-2.6968170733243979E-2</v>
      </c>
      <c r="G8" s="193">
        <f ca="1">G$2/G$1-1</f>
        <v>9.1484806502459826E-3</v>
      </c>
      <c r="H8" s="193">
        <f>'vs固收+'!F7</f>
        <v>-2.8729069309879618E-2</v>
      </c>
    </row>
    <row r="9" spans="1:8" ht="16.5">
      <c r="A9" s="78">
        <v>1</v>
      </c>
      <c r="B9" s="78" t="s">
        <v>275</v>
      </c>
      <c r="C9" s="113" t="s">
        <v>300</v>
      </c>
      <c r="D9" s="78">
        <v>712</v>
      </c>
      <c r="E9" s="188">
        <f ca="1">[1]!thsiFinD("ths_adjustment_nvg_ratio_fund",$B9,E$4,E$5,101)/100</f>
        <v>-7.1124087617203E-2</v>
      </c>
      <c r="F9" s="188">
        <f>[1]!thsiFinD("ths_adjustment_nvg_ratio_fund",$B9,F$4,F$5,101)/100</f>
        <v>-7.3401459857001999E-2</v>
      </c>
      <c r="G9" s="188">
        <f ca="1">[1]!thsiFinD("ths_adjustment_nvg_ratio_fund",$B9,G$4,G$5,101)/100</f>
        <v>-6.8677030513211003E-3</v>
      </c>
      <c r="H9" s="188">
        <f ca="1">-[1]!thsiFinD("ths_max_retrace_rate_all_fund",$B9,E$3,E$5)/100</f>
        <v>-7.8192169154790991E-2</v>
      </c>
    </row>
    <row r="10" spans="1:8" ht="16.5">
      <c r="A10" s="194">
        <v>2</v>
      </c>
      <c r="B10" s="194" t="s">
        <v>272</v>
      </c>
      <c r="C10" s="195" t="s">
        <v>301</v>
      </c>
      <c r="D10" s="194">
        <v>584</v>
      </c>
      <c r="E10" s="196">
        <f ca="1">[1]!thsiFinD("ths_adjustment_nvg_ratio_fund",$B10,E$4,E$5,101)/100</f>
        <v>-4.1079552986483005E-2</v>
      </c>
      <c r="F10" s="196">
        <f>[1]!thsiFinD("ths_adjustment_nvg_ratio_fund",$B10,F$4,F$5,101)/100</f>
        <v>-5.1945757323097003E-2</v>
      </c>
      <c r="G10" s="196">
        <f ca="1">[1]!thsiFinD("ths_adjustment_nvg_ratio_fund",$B10,G$4,G$5,101)/100</f>
        <v>4.3488318187684004E-3</v>
      </c>
      <c r="H10" s="196">
        <f ca="1">-[1]!thsiFinD("ths_max_retrace_rate_all_fund",$B10,E$3,E$5)/100</f>
        <v>-6.0905709922503999E-2</v>
      </c>
    </row>
    <row r="11" spans="1:8" ht="16.5">
      <c r="A11" s="78">
        <v>3</v>
      </c>
      <c r="B11" s="78" t="s">
        <v>265</v>
      </c>
      <c r="C11" s="113" t="s">
        <v>302</v>
      </c>
      <c r="D11" s="78">
        <v>576</v>
      </c>
      <c r="E11" s="188">
        <f ca="1">[1]!thsiFinD("ths_adjustment_nvg_ratio_fund",$B11,E$4,E$5,101)/100</f>
        <v>-1.7304666987216E-2</v>
      </c>
      <c r="F11" s="188">
        <f>[1]!thsiFinD("ths_adjustment_nvg_ratio_fund",$B11,F$4,F$5,101)/100</f>
        <v>-1.3633980067752001E-2</v>
      </c>
      <c r="G11" s="188">
        <f ca="1">[1]!thsiFinD("ths_adjustment_nvg_ratio_fund",$B11,G$4,G$5,101)/100</f>
        <v>-5.3078556239786997E-3</v>
      </c>
      <c r="H11" s="188">
        <f ca="1">-[1]!thsiFinD("ths_max_retrace_rate_all_fund",$B11,E$3,E$5)/100</f>
        <v>-2.4530271409826998E-2</v>
      </c>
    </row>
    <row r="12" spans="1:8" ht="16.5">
      <c r="A12" s="194">
        <v>4</v>
      </c>
      <c r="B12" s="194" t="s">
        <v>303</v>
      </c>
      <c r="C12" s="195" t="s">
        <v>304</v>
      </c>
      <c r="D12" s="194">
        <v>393</v>
      </c>
      <c r="E12" s="196">
        <f ca="1">[1]!thsiFinD("ths_adjustment_nvg_ratio_fund",$B12,E$4,E$5,101)/100</f>
        <v>1.5961691953112998E-2</v>
      </c>
      <c r="F12" s="196">
        <f>[1]!thsiFinD("ths_adjustment_nvg_ratio_fund",$B12,F$4,F$5,101)/100</f>
        <v>1.5961691953112998E-2</v>
      </c>
      <c r="G12" s="196">
        <f ca="1">[1]!thsiFinD("ths_adjustment_nvg_ratio_fund",$B12,G$4,G$5,101)/100</f>
        <v>-2.3510971840683E-3</v>
      </c>
      <c r="H12" s="196">
        <f ca="1">-[1]!thsiFinD("ths_max_retrace_rate_all_fund",$B12,E$3,E$5)/100</f>
        <v>-1.9857029388075001E-2</v>
      </c>
    </row>
    <row r="13" spans="1:8" ht="16.5">
      <c r="A13" s="78">
        <v>5</v>
      </c>
      <c r="B13" s="78" t="s">
        <v>271</v>
      </c>
      <c r="C13" s="113" t="s">
        <v>305</v>
      </c>
      <c r="D13" s="78">
        <v>391</v>
      </c>
      <c r="E13" s="188">
        <f ca="1">[1]!thsiFinD("ths_adjustment_nvg_ratio_fund",$B13,E$4,E$5,101)/100</f>
        <v>-4.3013266341258002E-2</v>
      </c>
      <c r="F13" s="188">
        <f>[1]!thsiFinD("ths_adjustment_nvg_ratio_fund",$B13,F$4,F$5,101)/100</f>
        <v>-5.6454912032351999E-2</v>
      </c>
      <c r="G13" s="188">
        <f ca="1">[1]!thsiFinD("ths_adjustment_nvg_ratio_fund",$B13,G$4,G$5,101)/100</f>
        <v>5.1562212328543997E-3</v>
      </c>
      <c r="H13" s="188">
        <f ca="1">-[1]!thsiFinD("ths_max_retrace_rate_all_fund",$B13,E$3,E$5)/100</f>
        <v>-7.0577399089732998E-2</v>
      </c>
    </row>
    <row r="14" spans="1:8" ht="16.5">
      <c r="A14" s="194">
        <v>6</v>
      </c>
      <c r="B14" s="194" t="s">
        <v>269</v>
      </c>
      <c r="C14" s="195" t="s">
        <v>306</v>
      </c>
      <c r="D14" s="194">
        <v>365</v>
      </c>
      <c r="E14" s="196">
        <f ca="1">[1]!thsiFinD("ths_adjustment_nvg_ratio_fund",$B14,E$4,E$5,101)/100</f>
        <v>-4.1166106038763001E-2</v>
      </c>
      <c r="F14" s="196">
        <f>[1]!thsiFinD("ths_adjustment_nvg_ratio_fund",$B14,F$4,F$5,101)/100</f>
        <v>-3.9484222329008001E-2</v>
      </c>
      <c r="G14" s="196">
        <f ca="1">[1]!thsiFinD("ths_adjustment_nvg_ratio_fund",$B14,G$4,G$5,101)/100</f>
        <v>-7.0498465621630004E-3</v>
      </c>
      <c r="H14" s="196">
        <f ca="1">-[1]!thsiFinD("ths_max_retrace_rate_all_fund",$B14,E$3,E$5)/100</f>
        <v>-4.7270412223459998E-2</v>
      </c>
    </row>
    <row r="15" spans="1:8" ht="16.5">
      <c r="A15" s="78">
        <v>7</v>
      </c>
      <c r="B15" s="78" t="s">
        <v>307</v>
      </c>
      <c r="C15" s="113" t="s">
        <v>308</v>
      </c>
      <c r="D15" s="78">
        <v>361</v>
      </c>
      <c r="E15" s="188">
        <f ca="1">[1]!thsiFinD("ths_adjustment_nvg_ratio_fund",$B15,E$4,E$5,101)/100</f>
        <v>-3.8948393378773004E-2</v>
      </c>
      <c r="F15" s="188">
        <f>[1]!thsiFinD("ths_adjustment_nvg_ratio_fund",$B15,F$4,F$5,101)/100</f>
        <v>-2.8724440116844999E-2</v>
      </c>
      <c r="G15" s="188">
        <f ca="1">[1]!thsiFinD("ths_adjustment_nvg_ratio_fund",$B15,G$4,G$5,101)/100</f>
        <v>-1.8886679920477E-2</v>
      </c>
      <c r="H15" s="188">
        <f ca="1">-[1]!thsiFinD("ths_max_retrace_rate_all_fund",$B15,E$3,E$5)/100</f>
        <v>-5.9552167698904007E-2</v>
      </c>
    </row>
    <row r="16" spans="1:8" ht="16.5">
      <c r="A16" s="194">
        <v>8</v>
      </c>
      <c r="B16" s="194" t="s">
        <v>309</v>
      </c>
      <c r="C16" s="195" t="s">
        <v>310</v>
      </c>
      <c r="D16" s="194">
        <v>359</v>
      </c>
      <c r="E16" s="196">
        <f ca="1">[1]!thsiFinD("ths_adjustment_nvg_ratio_fund",$B16,E$4,E$5,101)/100</f>
        <v>-2.1633659394780999E-2</v>
      </c>
      <c r="F16" s="196">
        <f>[1]!thsiFinD("ths_adjustment_nvg_ratio_fund",$B16,F$4,F$5,101)/100</f>
        <v>-1.6463851118404999E-2</v>
      </c>
      <c r="G16" s="196">
        <f ca="1">[1]!thsiFinD("ths_adjustment_nvg_ratio_fund",$B16,G$4,G$5,101)/100</f>
        <v>-6.2207141861441995E-3</v>
      </c>
      <c r="H16" s="196">
        <f ca="1">-[1]!thsiFinD("ths_max_retrace_rate_all_fund",$B16,E$3,E$5)/100</f>
        <v>-3.5971786815444003E-2</v>
      </c>
    </row>
    <row r="17" spans="1:8" ht="16.5">
      <c r="A17" s="78">
        <v>9</v>
      </c>
      <c r="B17" s="78" t="s">
        <v>311</v>
      </c>
      <c r="C17" s="113" t="s">
        <v>312</v>
      </c>
      <c r="D17" s="78">
        <v>342</v>
      </c>
      <c r="E17" s="188">
        <f ca="1">[1]!thsiFinD("ths_adjustment_nvg_ratio_fund",$B17,E$4,E$5,101)/100</f>
        <v>-5.3317865416428994E-2</v>
      </c>
      <c r="F17" s="188">
        <f>[1]!thsiFinD("ths_adjustment_nvg_ratio_fund",$B17,F$4,F$5,101)/100</f>
        <v>-4.8259860808042995E-2</v>
      </c>
      <c r="G17" s="188">
        <f ca="1">[1]!thsiFinD("ths_adjustment_nvg_ratio_fund",$B17,G$4,G$5,101)/100</f>
        <v>-1.0620756534044E-2</v>
      </c>
      <c r="H17" s="188">
        <f ca="1">-[1]!thsiFinD("ths_max_retrace_rate_all_fund",$B17,E$3,E$5)/100</f>
        <v>-6.8447488568153997E-2</v>
      </c>
    </row>
    <row r="18" spans="1:8" ht="16.5">
      <c r="A18" s="194">
        <v>10</v>
      </c>
      <c r="B18" s="194" t="s">
        <v>313</v>
      </c>
      <c r="C18" s="195" t="s">
        <v>314</v>
      </c>
      <c r="D18" s="194">
        <v>314</v>
      </c>
      <c r="E18" s="196">
        <f ca="1">[1]!thsiFinD("ths_adjustment_nvg_ratio_fund",$B18,E$4,E$5,101)/100</f>
        <v>-1.7774715817365002E-2</v>
      </c>
      <c r="F18" s="196">
        <f>[1]!thsiFinD("ths_adjustment_nvg_ratio_fund",$B18,F$4,F$5,101)/100</f>
        <v>-7.2338959456968999E-4</v>
      </c>
      <c r="G18" s="196">
        <f ca="1">[1]!thsiFinD("ths_adjustment_nvg_ratio_fund",$B18,G$4,G$5,101)/100</f>
        <v>-1.7436250862563001E-2</v>
      </c>
      <c r="H18" s="196">
        <f ca="1">-[1]!thsiFinD("ths_max_retrace_rate_all_fund",$B18,E$3,E$5)/100</f>
        <v>-2.8083944718848997E-2</v>
      </c>
    </row>
    <row r="21" spans="1:8" ht="16.5">
      <c r="A21" s="197"/>
      <c r="B21" s="197"/>
      <c r="C21" s="241" t="s">
        <v>315</v>
      </c>
      <c r="D21" s="241"/>
      <c r="E21" s="241"/>
      <c r="F21" s="241"/>
      <c r="G21" s="241"/>
      <c r="H21" s="241"/>
    </row>
    <row r="22" spans="1:8" ht="33">
      <c r="A22" s="198" t="str">
        <f>表3[[#Headers],[序号]]</f>
        <v>序号</v>
      </c>
      <c r="B22" s="198" t="str">
        <f>表3[[#Headers],[基金代码]]</f>
        <v>基金代码</v>
      </c>
      <c r="C22" s="198" t="str">
        <f>表3[[#Headers],[产品/基金名称]]</f>
        <v>产品/基金名称</v>
      </c>
      <c r="D22" s="198" t="str">
        <f>表3[[#Headers],[26Q2规模（亿元）]]</f>
        <v>26Q2规模（亿元）</v>
      </c>
      <c r="E22" s="198" t="str">
        <f>表3[[#Headers],[上线以来]]</f>
        <v>上线以来</v>
      </c>
      <c r="F22" s="198" t="str">
        <f>表3[[#Headers],[6/22-7/30]]</f>
        <v>6/22-7/30</v>
      </c>
      <c r="G22" s="198" t="str">
        <f>表3[[#Headers],[7.31至今]]</f>
        <v>7.31至今</v>
      </c>
      <c r="H22" s="199" t="str">
        <f>表3[[#Headers],[最大回撤（上线以来）]]</f>
        <v>最大回撤（上线以来）</v>
      </c>
    </row>
    <row r="23" spans="1:8" ht="16.5">
      <c r="A23" s="191" t="s">
        <v>298</v>
      </c>
      <c r="B23" s="191"/>
      <c r="C23" s="192" t="str">
        <f>C8</f>
        <v>10/90基石投顾组合</v>
      </c>
      <c r="D23" s="191"/>
      <c r="E23" s="193">
        <f ca="1">E$2/E$1-1</f>
        <v>-1.7125928003780655E-2</v>
      </c>
      <c r="F23" s="193">
        <f t="shared" ref="F23:G23" si="1">F$2/F$1-1</f>
        <v>-2.6968170733243979E-2</v>
      </c>
      <c r="G23" s="193">
        <f t="shared" ca="1" si="1"/>
        <v>9.1484806502459826E-3</v>
      </c>
      <c r="H23" s="193">
        <f>'vs固收+'!F7</f>
        <v>-2.8729069309879618E-2</v>
      </c>
    </row>
    <row r="24" spans="1:8" ht="16.5">
      <c r="A24" s="78">
        <v>1</v>
      </c>
      <c r="B24" s="78" t="s">
        <v>275</v>
      </c>
      <c r="C24" s="113" t="s">
        <v>300</v>
      </c>
      <c r="D24" s="78">
        <v>391</v>
      </c>
      <c r="E24" s="200">
        <f ca="1">[1]!thsiFinD("ths_adjustment_nvg_ratio_fund",$B24,E$4,E$5,101)/100</f>
        <v>-7.1124087617203E-2</v>
      </c>
      <c r="F24" s="200">
        <f>[1]!thsiFinD("ths_adjustment_nvg_ratio_fund",$B24,F$4,F$5,101)/100</f>
        <v>-7.3401459857001999E-2</v>
      </c>
      <c r="G24" s="200">
        <f ca="1">[1]!thsiFinD("ths_adjustment_nvg_ratio_fund",$B24,G$4,G$5,101)/100</f>
        <v>-6.8677030513211003E-3</v>
      </c>
      <c r="H24" s="200">
        <f ca="1">-[1]!thsiFinD("ths_max_retrace_rate_all_fund",$B24,E$3,E$5)/100</f>
        <v>-7.8192169154790991E-2</v>
      </c>
    </row>
    <row r="25" spans="1:8" ht="16.5">
      <c r="A25" s="194">
        <v>2</v>
      </c>
      <c r="B25" s="194" t="s">
        <v>271</v>
      </c>
      <c r="C25" s="195" t="s">
        <v>305</v>
      </c>
      <c r="D25" s="194">
        <v>347</v>
      </c>
      <c r="E25" s="196">
        <f ca="1">[1]!thsiFinD("ths_adjustment_nvg_ratio_fund",$B25,E$4,E$5,101)/100</f>
        <v>-4.3013266341258002E-2</v>
      </c>
      <c r="F25" s="196">
        <f>[1]!thsiFinD("ths_adjustment_nvg_ratio_fund",$B25,F$4,F$5,101)/100</f>
        <v>-5.6454912032351999E-2</v>
      </c>
      <c r="G25" s="196">
        <f ca="1">[1]!thsiFinD("ths_adjustment_nvg_ratio_fund",$B25,G$4,G$5,101)/100</f>
        <v>5.1562212328543997E-3</v>
      </c>
      <c r="H25" s="196">
        <f ca="1">-[1]!thsiFinD("ths_max_retrace_rate_all_fund",$B25,E$3,E$5)/100</f>
        <v>-7.0577399089732998E-2</v>
      </c>
    </row>
    <row r="26" spans="1:8" ht="16.5">
      <c r="A26" s="78">
        <v>3</v>
      </c>
      <c r="B26" s="78" t="s">
        <v>273</v>
      </c>
      <c r="C26" s="113" t="s">
        <v>316</v>
      </c>
      <c r="D26" s="78">
        <v>255</v>
      </c>
      <c r="E26" s="200">
        <f ca="1">[1]!thsiFinD("ths_adjustment_nvg_ratio_fund",$B26,E$4,E$5,101)/100</f>
        <v>-6.7911321960275994E-2</v>
      </c>
      <c r="F26" s="200">
        <f>[1]!thsiFinD("ths_adjustment_nvg_ratio_fund",$B26,F$4,F$5,101)/100</f>
        <v>-5.3754484891249996E-2</v>
      </c>
      <c r="G26" s="200">
        <f ca="1">[1]!thsiFinD("ths_adjustment_nvg_ratio_fund",$B26,G$4,G$5,101)/100</f>
        <v>-2.1454221631506998E-2</v>
      </c>
      <c r="H26" s="200">
        <f ca="1">-[1]!thsiFinD("ths_max_retrace_rate_all_fund",$B26,E$3,E$5)/100</f>
        <v>-8.0169443173583002E-2</v>
      </c>
    </row>
    <row r="27" spans="1:8" ht="16.5">
      <c r="A27" s="194">
        <v>4</v>
      </c>
      <c r="B27" s="194" t="s">
        <v>272</v>
      </c>
      <c r="C27" s="195" t="s">
        <v>301</v>
      </c>
      <c r="D27" s="194">
        <v>228</v>
      </c>
      <c r="E27" s="196">
        <f ca="1">[1]!thsiFinD("ths_adjustment_nvg_ratio_fund",$B27,E$4,E$5,101)/100</f>
        <v>-4.1079552986483005E-2</v>
      </c>
      <c r="F27" s="196">
        <f>[1]!thsiFinD("ths_adjustment_nvg_ratio_fund",$B27,F$4,F$5,101)/100</f>
        <v>-5.1945757323097003E-2</v>
      </c>
      <c r="G27" s="196">
        <f ca="1">[1]!thsiFinD("ths_adjustment_nvg_ratio_fund",$B27,G$4,G$5,101)/100</f>
        <v>4.3488318187684004E-3</v>
      </c>
      <c r="H27" s="196">
        <f ca="1">-[1]!thsiFinD("ths_max_retrace_rate_all_fund",$B27,E$3,E$5)/100</f>
        <v>-6.0905709922503999E-2</v>
      </c>
    </row>
    <row r="28" spans="1:8" ht="16.5">
      <c r="A28" s="78">
        <v>5</v>
      </c>
      <c r="B28" s="78" t="s">
        <v>317</v>
      </c>
      <c r="C28" s="113" t="s">
        <v>318</v>
      </c>
      <c r="D28" s="78">
        <v>172</v>
      </c>
      <c r="E28" s="200">
        <f ca="1">[1]!thsiFinD("ths_adjustment_nvg_ratio_fund",$B28,E$4,E$5,101)/100</f>
        <v>-3.2717030175825002E-2</v>
      </c>
      <c r="F28" s="200">
        <f>[1]!thsiFinD("ths_adjustment_nvg_ratio_fund",$B28,F$4,F$5,101)/100</f>
        <v>-4.0589339891791996E-2</v>
      </c>
      <c r="G28" s="200">
        <f ca="1">[1]!thsiFinD("ths_adjustment_nvg_ratio_fund",$B28,G$4,G$5,101)/100</f>
        <v>6.4627639871084998E-3</v>
      </c>
      <c r="H28" s="200">
        <f ca="1">-[1]!thsiFinD("ths_max_retrace_rate_all_fund",$B28,E$3,E$5)/100</f>
        <v>-5.0897343862490001E-2</v>
      </c>
    </row>
    <row r="29" spans="1:8" ht="16.5">
      <c r="A29" s="194">
        <v>6</v>
      </c>
      <c r="B29" s="194" t="s">
        <v>311</v>
      </c>
      <c r="C29" s="195" t="s">
        <v>312</v>
      </c>
      <c r="D29" s="194">
        <v>146</v>
      </c>
      <c r="E29" s="196">
        <f ca="1">[1]!thsiFinD("ths_adjustment_nvg_ratio_fund",$B29,E$4,E$5,101)/100</f>
        <v>-5.3317865416428994E-2</v>
      </c>
      <c r="F29" s="196">
        <f>[1]!thsiFinD("ths_adjustment_nvg_ratio_fund",$B29,F$4,F$5,101)/100</f>
        <v>-4.8259860808042995E-2</v>
      </c>
      <c r="G29" s="196">
        <f ca="1">[1]!thsiFinD("ths_adjustment_nvg_ratio_fund",$B29,G$4,G$5,101)/100</f>
        <v>-1.0620756534044E-2</v>
      </c>
      <c r="H29" s="196">
        <f ca="1">-[1]!thsiFinD("ths_max_retrace_rate_all_fund",$B29,E$3,E$5)/100</f>
        <v>-6.8447488568153997E-2</v>
      </c>
    </row>
    <row r="30" spans="1:8" ht="16.5">
      <c r="A30" s="78">
        <v>7</v>
      </c>
      <c r="B30" s="78" t="s">
        <v>267</v>
      </c>
      <c r="C30" s="113" t="s">
        <v>319</v>
      </c>
      <c r="D30" s="78">
        <v>130</v>
      </c>
      <c r="E30" s="200">
        <f ca="1">[1]!thsiFinD("ths_adjustment_nvg_ratio_fund",$B30,E$4,E$5,101)/100</f>
        <v>-1.6085578446910002E-2</v>
      </c>
      <c r="F30" s="200">
        <f>[1]!thsiFinD("ths_adjustment_nvg_ratio_fund",$B30,F$4,F$5,101)/100</f>
        <v>-2.2028526148969999E-2</v>
      </c>
      <c r="G30" s="200">
        <f ca="1">[1]!thsiFinD("ths_adjustment_nvg_ratio_fund",$B30,G$4,G$5,101)/100</f>
        <v>-4.0251167283846998E-4</v>
      </c>
      <c r="H30" s="200">
        <f ca="1">-[1]!thsiFinD("ths_max_retrace_rate_all_fund",$B30,E$3,E$5)/100</f>
        <v>-4.6444909668915006E-2</v>
      </c>
    </row>
    <row r="31" spans="1:8" ht="16.5">
      <c r="A31" s="194">
        <v>8</v>
      </c>
      <c r="B31" s="194" t="s">
        <v>307</v>
      </c>
      <c r="C31" s="195" t="s">
        <v>308</v>
      </c>
      <c r="D31" s="194">
        <v>123</v>
      </c>
      <c r="E31" s="196">
        <f ca="1">[1]!thsiFinD("ths_adjustment_nvg_ratio_fund",$B31,E$4,E$5,101)/100</f>
        <v>-3.8948393378773004E-2</v>
      </c>
      <c r="F31" s="196">
        <f>[1]!thsiFinD("ths_adjustment_nvg_ratio_fund",$B31,F$4,F$5,101)/100</f>
        <v>-2.8724440116844999E-2</v>
      </c>
      <c r="G31" s="196">
        <f ca="1">[1]!thsiFinD("ths_adjustment_nvg_ratio_fund",$B31,G$4,G$5,101)/100</f>
        <v>-1.8886679920477E-2</v>
      </c>
      <c r="H31" s="196">
        <f ca="1">-[1]!thsiFinD("ths_max_retrace_rate_all_fund",$B31,E$3,E$5)/100</f>
        <v>-5.9552167698904007E-2</v>
      </c>
    </row>
    <row r="32" spans="1:8" ht="16.5">
      <c r="A32" s="78">
        <v>9</v>
      </c>
      <c r="B32" s="78" t="s">
        <v>320</v>
      </c>
      <c r="C32" s="113" t="s">
        <v>321</v>
      </c>
      <c r="D32" s="78">
        <v>120</v>
      </c>
      <c r="E32" s="200">
        <f ca="1">[1]!thsiFinD("ths_adjustment_nvg_ratio_fund",$B32,E$4,E$5,101)/100</f>
        <v>-5.5609676895600001E-2</v>
      </c>
      <c r="F32" s="200">
        <f>[1]!thsiFinD("ths_adjustment_nvg_ratio_fund",$B32,F$4,F$5,101)/100</f>
        <v>-4.7978567949341994E-2</v>
      </c>
      <c r="G32" s="200">
        <f ca="1">[1]!thsiFinD("ths_adjustment_nvg_ratio_fund",$B32,G$4,G$5,101)/100</f>
        <v>-1.1975539323934E-2</v>
      </c>
      <c r="H32" s="200">
        <f ca="1">-[1]!thsiFinD("ths_max_retrace_rate_all_fund",$B32,E$3,E$5)/100</f>
        <v>-6.3516341973917007E-2</v>
      </c>
    </row>
    <row r="33" spans="1:8" ht="16.5">
      <c r="A33" s="194">
        <v>10</v>
      </c>
      <c r="B33" s="194" t="s">
        <v>309</v>
      </c>
      <c r="C33" s="195" t="s">
        <v>310</v>
      </c>
      <c r="D33" s="194">
        <v>114</v>
      </c>
      <c r="E33" s="196">
        <f ca="1">[1]!thsiFinD("ths_adjustment_nvg_ratio_fund",$B33,E$4,E$5,101)/100</f>
        <v>-2.1633659394780999E-2</v>
      </c>
      <c r="F33" s="196">
        <f>[1]!thsiFinD("ths_adjustment_nvg_ratio_fund",$B33,F$4,F$5,101)/100</f>
        <v>-1.6463851118404999E-2</v>
      </c>
      <c r="G33" s="196">
        <f ca="1">[1]!thsiFinD("ths_adjustment_nvg_ratio_fund",$B33,G$4,G$5,101)/100</f>
        <v>-6.2207141861441995E-3</v>
      </c>
      <c r="H33" s="196">
        <f ca="1">-[1]!thsiFinD("ths_max_retrace_rate_all_fund",$B33,E$3,E$5)/100</f>
        <v>-3.5971786815444003E-2</v>
      </c>
    </row>
    <row r="36" spans="1:8" ht="16.5">
      <c r="A36" s="197"/>
      <c r="B36" s="197"/>
      <c r="C36" s="241" t="s">
        <v>322</v>
      </c>
      <c r="D36" s="241"/>
      <c r="E36" s="241"/>
      <c r="F36" s="241"/>
      <c r="G36" s="241"/>
      <c r="H36" s="241"/>
    </row>
    <row r="37" spans="1:8" ht="49.5">
      <c r="A37" s="198" t="str">
        <f>A22</f>
        <v>序号</v>
      </c>
      <c r="B37" s="198" t="str">
        <f t="shared" ref="B37:H37" si="2">B22</f>
        <v>基金代码</v>
      </c>
      <c r="C37" s="198" t="str">
        <f t="shared" si="2"/>
        <v>产品/基金名称</v>
      </c>
      <c r="D37" s="198" t="s">
        <v>323</v>
      </c>
      <c r="E37" s="198" t="str">
        <f t="shared" si="2"/>
        <v>上线以来</v>
      </c>
      <c r="F37" s="198" t="str">
        <f t="shared" si="2"/>
        <v>6/22-7/30</v>
      </c>
      <c r="G37" s="198" t="str">
        <f t="shared" si="2"/>
        <v>7.31至今</v>
      </c>
      <c r="H37" s="199" t="str">
        <f t="shared" si="2"/>
        <v>最大回撤（上线以来）</v>
      </c>
    </row>
    <row r="38" spans="1:8" ht="16.5">
      <c r="A38" s="191" t="s">
        <v>298</v>
      </c>
      <c r="B38" s="191"/>
      <c r="C38" s="192" t="str">
        <f>C8</f>
        <v>10/90基石投顾组合</v>
      </c>
      <c r="D38" s="201"/>
      <c r="E38" s="202">
        <f ca="1">E$2/E$1-1</f>
        <v>-1.7125928003780655E-2</v>
      </c>
      <c r="F38" s="193">
        <f t="shared" ref="F38:G38" si="3">F$2/F$1-1</f>
        <v>-2.6968170733243979E-2</v>
      </c>
      <c r="G38" s="193">
        <f t="shared" ca="1" si="3"/>
        <v>9.1484806502459826E-3</v>
      </c>
      <c r="H38" s="193">
        <f>'vs固收+'!F7</f>
        <v>-2.8729069309879618E-2</v>
      </c>
    </row>
    <row r="39" spans="1:8" ht="16.5">
      <c r="A39" s="78">
        <v>1</v>
      </c>
      <c r="B39" s="78" t="s">
        <v>324</v>
      </c>
      <c r="C39" s="113" t="s">
        <v>325</v>
      </c>
      <c r="D39" s="203">
        <v>5265</v>
      </c>
      <c r="E39" s="204">
        <f ca="1">[1]!thsiFinD("ths_adjustment_nvg_ratio_fund",$B39,E$4,E$5,101)/100</f>
        <v>-1.1868615506566999E-2</v>
      </c>
      <c r="F39" s="200">
        <f>[1]!thsiFinD("ths_adjustment_nvg_ratio_fund",$B39,F$4,F$5,101)/100</f>
        <v>-1.8110759418334E-2</v>
      </c>
      <c r="G39" s="200">
        <f ca="1">[1]!thsiFinD("ths_adjustment_nvg_ratio_fund",$B39,G$4,G$5,101)/100</f>
        <v>2.7146864801037003E-3</v>
      </c>
      <c r="H39" s="200">
        <f ca="1">-[1]!thsiFinD("ths_max_retrace_rate_all_fund",$B39,E$3,E$5)/100</f>
        <v>-1.8873622199938999E-2</v>
      </c>
    </row>
    <row r="40" spans="1:8" ht="16.5">
      <c r="A40" s="194">
        <v>2</v>
      </c>
      <c r="B40" s="194" t="s">
        <v>326</v>
      </c>
      <c r="C40" s="195" t="s">
        <v>327</v>
      </c>
      <c r="D40" s="205">
        <v>896</v>
      </c>
      <c r="E40" s="206">
        <f ca="1">[1]!thsiFinD("ths_adjustment_nvg_ratio_fund",$B40,E$4,E$5,101)/100</f>
        <v>-1.7711305716815999E-3</v>
      </c>
      <c r="F40" s="196">
        <f>[1]!thsiFinD("ths_adjustment_nvg_ratio_fund",$B40,F$4,F$5,101)/100</f>
        <v>-1.2397914001770999E-2</v>
      </c>
      <c r="G40" s="196">
        <f ca="1">[1]!thsiFinD("ths_adjustment_nvg_ratio_fund",$B40,G$4,G$5,101)/100</f>
        <v>7.7480878116618999E-3</v>
      </c>
      <c r="H40" s="196">
        <f ca="1">-[1]!thsiFinD("ths_max_retrace_rate_all_fund",$B40,E$3,E$5)/100</f>
        <v>-1.3283479287611999E-2</v>
      </c>
    </row>
    <row r="41" spans="1:8" ht="16.5">
      <c r="A41" s="78">
        <v>3</v>
      </c>
      <c r="B41" s="78" t="s">
        <v>328</v>
      </c>
      <c r="C41" s="113" t="s">
        <v>329</v>
      </c>
      <c r="D41" s="203">
        <v>239</v>
      </c>
      <c r="E41" s="204">
        <f ca="1">[1]!thsiFinD("ths_adjustment_nvg_ratio_fund",$B41,E$4,E$5,101)/100</f>
        <v>-3.4421172268224998E-2</v>
      </c>
      <c r="F41" s="200">
        <f>[1]!thsiFinD("ths_adjustment_nvg_ratio_fund",$B41,F$4,F$5,101)/100</f>
        <v>-2.6627699301834999E-2</v>
      </c>
      <c r="G41" s="200">
        <f ca="1">[1]!thsiFinD("ths_adjustment_nvg_ratio_fund",$B41,G$4,G$5,101)/100</f>
        <v>-9.9883469285833009E-3</v>
      </c>
      <c r="H41" s="200">
        <f ca="1">-[1]!thsiFinD("ths_max_retrace_rate_all_fund",$B41,E$3,E$5)/100</f>
        <v>-5.4981725726997999E-2</v>
      </c>
    </row>
    <row r="42" spans="1:8" ht="16.5">
      <c r="A42" s="194">
        <v>4</v>
      </c>
      <c r="B42" s="194" t="s">
        <v>271</v>
      </c>
      <c r="C42" s="195" t="s">
        <v>305</v>
      </c>
      <c r="D42" s="205">
        <v>225</v>
      </c>
      <c r="E42" s="206">
        <f ca="1">[1]!thsiFinD("ths_adjustment_nvg_ratio_fund",$B42,E$4,E$5,101)/100</f>
        <v>-4.3013266341258002E-2</v>
      </c>
      <c r="F42" s="196">
        <f>[1]!thsiFinD("ths_adjustment_nvg_ratio_fund",$B42,F$4,F$5,101)/100</f>
        <v>-5.6454912032351999E-2</v>
      </c>
      <c r="G42" s="196">
        <f ca="1">[1]!thsiFinD("ths_adjustment_nvg_ratio_fund",$B42,G$4,G$5,101)/100</f>
        <v>5.1562212328543997E-3</v>
      </c>
      <c r="H42" s="196">
        <f ca="1">-[1]!thsiFinD("ths_max_retrace_rate_all_fund",$B42,E$3,E$5)/100</f>
        <v>-7.0577399089732998E-2</v>
      </c>
    </row>
    <row r="43" spans="1:8" ht="16.5">
      <c r="A43" s="78">
        <v>5</v>
      </c>
      <c r="B43" s="78" t="s">
        <v>330</v>
      </c>
      <c r="C43" s="113" t="s">
        <v>331</v>
      </c>
      <c r="D43" s="203">
        <v>205</v>
      </c>
      <c r="E43" s="204">
        <f ca="1">[1]!thsiFinD("ths_adjustment_nvg_ratio_fund",$B43,E$4,E$5,101)/100</f>
        <v>-4.6935442276283004E-2</v>
      </c>
      <c r="F43" s="200">
        <f>[1]!thsiFinD("ths_adjustment_nvg_ratio_fund",$B43,F$4,F$5,101)/100</f>
        <v>-2.9313160835554002E-2</v>
      </c>
      <c r="G43" s="200">
        <f ca="1">[1]!thsiFinD("ths_adjustment_nvg_ratio_fund",$B43,G$4,G$5,101)/100</f>
        <v>-1.6063187788427E-2</v>
      </c>
      <c r="H43" s="200">
        <f ca="1">-[1]!thsiFinD("ths_max_retrace_rate_all_fund",$B43,E$3,E$5)/100</f>
        <v>-6.9804513801492996E-2</v>
      </c>
    </row>
    <row r="44" spans="1:8" ht="16.5">
      <c r="A44" s="194">
        <v>6</v>
      </c>
      <c r="B44" s="194" t="s">
        <v>332</v>
      </c>
      <c r="C44" s="195" t="s">
        <v>333</v>
      </c>
      <c r="D44" s="205">
        <v>190</v>
      </c>
      <c r="E44" s="206">
        <f ca="1">[1]!thsiFinD("ths_adjustment_nvg_ratio_fund",$B44,E$4,E$5,101)/100</f>
        <v>-7.3031550068586998E-2</v>
      </c>
      <c r="F44" s="196">
        <f>[1]!thsiFinD("ths_adjustment_nvg_ratio_fund",$B44,F$4,F$5,101)/100</f>
        <v>-9.3443072702332E-2</v>
      </c>
      <c r="G44" s="196">
        <f ca="1">[1]!thsiFinD("ths_adjustment_nvg_ratio_fund",$B44,G$4,G$5,101)/100</f>
        <v>1.0648480497727E-2</v>
      </c>
      <c r="H44" s="196">
        <f ca="1">-[1]!thsiFinD("ths_max_retrace_rate_all_fund",$B44,E$3,E$5)/100</f>
        <v>-0.11736738073615</v>
      </c>
    </row>
    <row r="45" spans="1:8" ht="16.5">
      <c r="A45" s="78">
        <v>7</v>
      </c>
      <c r="B45" s="78" t="s">
        <v>334</v>
      </c>
      <c r="C45" s="113" t="s">
        <v>335</v>
      </c>
      <c r="D45" s="203">
        <v>189</v>
      </c>
      <c r="E45" s="204">
        <f ca="1">[1]!thsiFinD("ths_adjustment_nvg_ratio_fund",$B45,E$4,E$5,101)/100</f>
        <v>-0.13091908091908</v>
      </c>
      <c r="F45" s="200">
        <f>[1]!thsiFinD("ths_adjustment_nvg_ratio_fund",$B45,F$4,F$5,101)/100</f>
        <v>-0.12207792207792</v>
      </c>
      <c r="G45" s="200">
        <f ca="1">[1]!thsiFinD("ths_adjustment_nvg_ratio_fund",$B45,G$4,G$5,101)/100</f>
        <v>-2.1483606096395002E-2</v>
      </c>
      <c r="H45" s="200">
        <f ca="1">-[1]!thsiFinD("ths_max_retrace_rate_all_fund",$B45,E$3,E$5)/100</f>
        <v>-0.15583911503566</v>
      </c>
    </row>
    <row r="46" spans="1:8" ht="16.5">
      <c r="A46" s="194">
        <v>8</v>
      </c>
      <c r="B46" s="194" t="s">
        <v>336</v>
      </c>
      <c r="C46" s="195" t="s">
        <v>337</v>
      </c>
      <c r="D46" s="205">
        <v>184</v>
      </c>
      <c r="E46" s="206">
        <f ca="1">[1]!thsiFinD("ths_adjustment_nvg_ratio_fund",$B46,E$4,E$5,101)/100</f>
        <v>-6.8974218791605008E-2</v>
      </c>
      <c r="F46" s="196">
        <f>[1]!thsiFinD("ths_adjustment_nvg_ratio_fund",$B46,F$4,F$5,101)/100</f>
        <v>-4.5842621036721001E-2</v>
      </c>
      <c r="G46" s="196">
        <f ca="1">[1]!thsiFinD("ths_adjustment_nvg_ratio_fund",$B46,G$4,G$5,101)/100</f>
        <v>-3.1118697486464997E-2</v>
      </c>
      <c r="H46" s="196">
        <f ca="1">-[1]!thsiFinD("ths_max_retrace_rate_all_fund",$B46,E$3,E$5)/100</f>
        <v>-8.6644386682926997E-2</v>
      </c>
    </row>
    <row r="47" spans="1:8" ht="16.5">
      <c r="A47" s="78">
        <v>9</v>
      </c>
      <c r="B47" s="78" t="s">
        <v>338</v>
      </c>
      <c r="C47" s="113" t="s">
        <v>339</v>
      </c>
      <c r="D47" s="203">
        <v>174</v>
      </c>
      <c r="E47" s="207">
        <f ca="1">[1]!thsiFinD("ths_adjustment_nvg_ratio_fund",$B47,E$4,E$5,101)/100</f>
        <v>1.2123048946808999E-3</v>
      </c>
      <c r="F47" s="200">
        <f>[1]!thsiFinD("ths_adjustment_nvg_ratio_fund",$B47,F$4,F$5,101)/100</f>
        <v>-2.4246097893620999E-3</v>
      </c>
      <c r="G47" s="200">
        <f ca="1">[1]!thsiFinD("ths_adjustment_nvg_ratio_fund",$B47,G$4,G$5,101)/100</f>
        <v>2.1994690936669998E-3</v>
      </c>
      <c r="H47" s="200">
        <f ca="1">-[1]!thsiFinD("ths_max_retrace_rate_all_fund",$B47,E$3,E$5)/100</f>
        <v>-4.3740573152338006E-3</v>
      </c>
    </row>
    <row r="48" spans="1:8" ht="16.5">
      <c r="A48" s="194">
        <v>10</v>
      </c>
      <c r="B48" s="194" t="s">
        <v>274</v>
      </c>
      <c r="C48" s="195" t="s">
        <v>340</v>
      </c>
      <c r="D48" s="205">
        <v>170</v>
      </c>
      <c r="E48" s="208">
        <f ca="1">[1]!thsiFinD("ths_adjustment_nvg_ratio_fund",$B48,E$4,E$5,101)/100</f>
        <v>-6.3196674906424E-2</v>
      </c>
      <c r="F48" s="196">
        <f>[1]!thsiFinD("ths_adjustment_nvg_ratio_fund",$B48,F$4,F$5,101)/100</f>
        <v>-6.8297751744840998E-2</v>
      </c>
      <c r="G48" s="196">
        <f ca="1">[1]!thsiFinD("ths_adjustment_nvg_ratio_fund",$B48,G$4,G$5,101)/100</f>
        <v>-3.3165829249908003E-3</v>
      </c>
      <c r="H48" s="196">
        <f ca="1">-[1]!thsiFinD("ths_max_retrace_rate_all_fund",$B48,E$3,E$5)/100</f>
        <v>-7.9686479412252001E-2</v>
      </c>
    </row>
    <row r="51" spans="1:8" ht="16.5">
      <c r="A51" s="197"/>
      <c r="B51" s="197"/>
      <c r="C51" s="241" t="s">
        <v>322</v>
      </c>
      <c r="D51" s="241"/>
      <c r="E51" s="241"/>
      <c r="F51" s="241"/>
      <c r="G51" s="241"/>
      <c r="H51" s="241"/>
    </row>
    <row r="52" spans="1:8" ht="16.5">
      <c r="A52" s="198" t="str">
        <f>A37</f>
        <v>序号</v>
      </c>
      <c r="B52" s="198" t="str">
        <f t="shared" ref="B52:C52" si="4">B37</f>
        <v>基金代码</v>
      </c>
      <c r="C52" s="245" t="str">
        <f t="shared" si="4"/>
        <v>产品/基金名称</v>
      </c>
      <c r="D52" s="245"/>
      <c r="E52" s="198" t="str">
        <f>E37</f>
        <v>上线以来</v>
      </c>
      <c r="F52" s="198" t="str">
        <f>F37</f>
        <v>6/22-7/30</v>
      </c>
      <c r="G52" s="198" t="str">
        <f>G37</f>
        <v>7.31至今</v>
      </c>
      <c r="H52" s="198" t="str">
        <f>H37</f>
        <v>最大回撤（上线以来）</v>
      </c>
    </row>
    <row r="53" spans="1:8" ht="16.5">
      <c r="A53" s="191" t="s">
        <v>298</v>
      </c>
      <c r="B53" s="191"/>
      <c r="C53" s="192" t="s">
        <v>344</v>
      </c>
      <c r="D53" s="201"/>
      <c r="E53" s="202">
        <f ca="1">E$2/E$1-1</f>
        <v>-1.7125928003780655E-2</v>
      </c>
      <c r="F53" s="193">
        <f t="shared" ref="F53:G53" si="5">F$2/F$1-1</f>
        <v>-2.6968170733243979E-2</v>
      </c>
      <c r="G53" s="193">
        <f t="shared" ca="1" si="5"/>
        <v>9.1484806502459826E-3</v>
      </c>
      <c r="H53" s="193">
        <f>'vs固收+'!F7</f>
        <v>-2.8729069309879618E-2</v>
      </c>
    </row>
    <row r="54" spans="1:8" ht="16.5">
      <c r="A54" s="78">
        <v>1</v>
      </c>
      <c r="B54" s="78" t="s">
        <v>324</v>
      </c>
      <c r="C54" s="243" t="s">
        <v>325</v>
      </c>
      <c r="D54" s="243"/>
      <c r="E54" s="204">
        <f ca="1">[1]!thsiFinD("ths_adjustment_nvg_ratio_fund",$B54,E$4,E$5,101)/100</f>
        <v>-1.1868615506566999E-2</v>
      </c>
      <c r="F54" s="200">
        <f>[1]!thsiFinD("ths_adjustment_nvg_ratio_fund",$B54,F$4,F$5,101)/100</f>
        <v>-1.8110759418334E-2</v>
      </c>
      <c r="G54" s="200">
        <f ca="1">[1]!thsiFinD("ths_adjustment_nvg_ratio_fund",$B54,G$4,G$5,101)/100</f>
        <v>2.7146864801037003E-3</v>
      </c>
      <c r="H54" s="200">
        <f ca="1">-[1]!thsiFinD("ths_max_retrace_rate_all_fund",$B54,E$3,E$5)/100</f>
        <v>-1.8873622199938999E-2</v>
      </c>
    </row>
    <row r="55" spans="1:8" ht="16.5">
      <c r="A55" s="194">
        <v>2</v>
      </c>
      <c r="B55" s="194" t="s">
        <v>326</v>
      </c>
      <c r="C55" s="244" t="s">
        <v>327</v>
      </c>
      <c r="D55" s="244"/>
      <c r="E55" s="206">
        <f ca="1">[1]!thsiFinD("ths_adjustment_nvg_ratio_fund",$B55,E$4,E$5,101)/100</f>
        <v>-1.7711305716815999E-3</v>
      </c>
      <c r="F55" s="196">
        <f>[1]!thsiFinD("ths_adjustment_nvg_ratio_fund",$B55,F$4,F$5,101)/100</f>
        <v>-1.2397914001770999E-2</v>
      </c>
      <c r="G55" s="196">
        <f ca="1">[1]!thsiFinD("ths_adjustment_nvg_ratio_fund",$B55,G$4,G$5,101)/100</f>
        <v>7.7480878116618999E-3</v>
      </c>
      <c r="H55" s="196">
        <f ca="1">-[1]!thsiFinD("ths_max_retrace_rate_all_fund",$B55,E$3,E$5)/100</f>
        <v>-1.3283479287611999E-2</v>
      </c>
    </row>
    <row r="56" spans="1:8" ht="16.5">
      <c r="A56" s="78">
        <v>3</v>
      </c>
      <c r="B56" s="78" t="s">
        <v>328</v>
      </c>
      <c r="C56" s="243" t="s">
        <v>329</v>
      </c>
      <c r="D56" s="243"/>
      <c r="E56" s="204">
        <f ca="1">[1]!thsiFinD("ths_adjustment_nvg_ratio_fund",$B56,E$4,E$5,101)/100</f>
        <v>-3.4421172268224998E-2</v>
      </c>
      <c r="F56" s="200">
        <f>[1]!thsiFinD("ths_adjustment_nvg_ratio_fund",$B56,F$4,F$5,101)/100</f>
        <v>-2.6627699301834999E-2</v>
      </c>
      <c r="G56" s="200">
        <f ca="1">[1]!thsiFinD("ths_adjustment_nvg_ratio_fund",$B56,G$4,G$5,101)/100</f>
        <v>-9.9883469285833009E-3</v>
      </c>
      <c r="H56" s="200">
        <f ca="1">-[1]!thsiFinD("ths_max_retrace_rate_all_fund",$B56,E$3,E$5)/100</f>
        <v>-5.4981725726997999E-2</v>
      </c>
    </row>
    <row r="57" spans="1:8" ht="16.5">
      <c r="A57" s="194">
        <v>4</v>
      </c>
      <c r="B57" s="194" t="s">
        <v>271</v>
      </c>
      <c r="C57" s="244" t="s">
        <v>305</v>
      </c>
      <c r="D57" s="244"/>
      <c r="E57" s="206">
        <f ca="1">[1]!thsiFinD("ths_adjustment_nvg_ratio_fund",$B57,E$4,E$5,101)/100</f>
        <v>-4.3013266341258002E-2</v>
      </c>
      <c r="F57" s="196">
        <f>[1]!thsiFinD("ths_adjustment_nvg_ratio_fund",$B57,F$4,F$5,101)/100</f>
        <v>-5.6454912032351999E-2</v>
      </c>
      <c r="G57" s="196">
        <f ca="1">[1]!thsiFinD("ths_adjustment_nvg_ratio_fund",$B57,G$4,G$5,101)/100</f>
        <v>5.1562212328543997E-3</v>
      </c>
      <c r="H57" s="196">
        <f ca="1">-[1]!thsiFinD("ths_max_retrace_rate_all_fund",$B57,E$3,E$5)/100</f>
        <v>-7.0577399089732998E-2</v>
      </c>
    </row>
    <row r="58" spans="1:8" ht="16.5">
      <c r="A58" s="78">
        <v>5</v>
      </c>
      <c r="B58" s="78" t="s">
        <v>330</v>
      </c>
      <c r="C58" s="243" t="s">
        <v>331</v>
      </c>
      <c r="D58" s="243"/>
      <c r="E58" s="204">
        <f ca="1">[1]!thsiFinD("ths_adjustment_nvg_ratio_fund",$B58,E$4,E$5,101)/100</f>
        <v>-4.6935442276283004E-2</v>
      </c>
      <c r="F58" s="200">
        <f>[1]!thsiFinD("ths_adjustment_nvg_ratio_fund",$B58,F$4,F$5,101)/100</f>
        <v>-2.9313160835554002E-2</v>
      </c>
      <c r="G58" s="200">
        <f ca="1">[1]!thsiFinD("ths_adjustment_nvg_ratio_fund",$B58,G$4,G$5,101)/100</f>
        <v>-1.6063187788427E-2</v>
      </c>
      <c r="H58" s="200">
        <f ca="1">-[1]!thsiFinD("ths_max_retrace_rate_all_fund",$B58,E$3,E$5)/100</f>
        <v>-6.9804513801492996E-2</v>
      </c>
    </row>
    <row r="59" spans="1:8" ht="16.5">
      <c r="A59" s="194">
        <v>6</v>
      </c>
      <c r="B59" s="194" t="s">
        <v>332</v>
      </c>
      <c r="C59" s="195" t="s">
        <v>333</v>
      </c>
      <c r="D59" s="209"/>
      <c r="E59" s="206">
        <f ca="1">[1]!thsiFinD("ths_adjustment_nvg_ratio_fund",$B59,E$4,E$5,101)/100</f>
        <v>-7.3031550068586998E-2</v>
      </c>
      <c r="F59" s="196">
        <f>[1]!thsiFinD("ths_adjustment_nvg_ratio_fund",$B59,F$4,F$5,101)/100</f>
        <v>-9.3443072702332E-2</v>
      </c>
      <c r="G59" s="196">
        <f ca="1">[1]!thsiFinD("ths_adjustment_nvg_ratio_fund",$B59,G$4,G$5,101)/100</f>
        <v>1.0648480497727E-2</v>
      </c>
      <c r="H59" s="196">
        <f ca="1">-[1]!thsiFinD("ths_max_retrace_rate_all_fund",$B59,E$3,E$5)/100</f>
        <v>-0.11736738073615</v>
      </c>
    </row>
    <row r="60" spans="1:8" ht="16.5">
      <c r="A60" s="78">
        <v>7</v>
      </c>
      <c r="B60" s="78" t="s">
        <v>334</v>
      </c>
      <c r="C60" s="243" t="s">
        <v>335</v>
      </c>
      <c r="D60" s="243"/>
      <c r="E60" s="204">
        <f ca="1">[1]!thsiFinD("ths_adjustment_nvg_ratio_fund",$B60,E$4,E$5,101)/100</f>
        <v>-0.13091908091908</v>
      </c>
      <c r="F60" s="200">
        <f>[1]!thsiFinD("ths_adjustment_nvg_ratio_fund",$B60,F$4,F$5,101)/100</f>
        <v>-0.12207792207792</v>
      </c>
      <c r="G60" s="200">
        <f ca="1">[1]!thsiFinD("ths_adjustment_nvg_ratio_fund",$B60,G$4,G$5,101)/100</f>
        <v>-2.1483606096395002E-2</v>
      </c>
      <c r="H60" s="200">
        <f ca="1">-[1]!thsiFinD("ths_max_retrace_rate_all_fund",$B60,E$3,E$5)/100</f>
        <v>-0.15583911503566</v>
      </c>
    </row>
    <row r="61" spans="1:8" ht="16.5">
      <c r="A61" s="194">
        <v>8</v>
      </c>
      <c r="B61" s="194" t="s">
        <v>336</v>
      </c>
      <c r="C61" s="244" t="s">
        <v>337</v>
      </c>
      <c r="D61" s="244"/>
      <c r="E61" s="206">
        <f ca="1">[1]!thsiFinD("ths_adjustment_nvg_ratio_fund",$B61,E$4,E$5,101)/100</f>
        <v>-6.8974218791605008E-2</v>
      </c>
      <c r="F61" s="196">
        <f>[1]!thsiFinD("ths_adjustment_nvg_ratio_fund",$B61,F$4,F$5,101)/100</f>
        <v>-4.5842621036721001E-2</v>
      </c>
      <c r="G61" s="196">
        <f ca="1">[1]!thsiFinD("ths_adjustment_nvg_ratio_fund",$B61,G$4,G$5,101)/100</f>
        <v>-3.1118697486464997E-2</v>
      </c>
      <c r="H61" s="196">
        <f ca="1">-[1]!thsiFinD("ths_max_retrace_rate_all_fund",$B61,E$3,E$5)/100</f>
        <v>-8.6644386682926997E-2</v>
      </c>
    </row>
    <row r="62" spans="1:8" ht="16.5">
      <c r="A62" s="78">
        <v>9</v>
      </c>
      <c r="B62" s="78" t="s">
        <v>338</v>
      </c>
      <c r="C62" s="243" t="s">
        <v>339</v>
      </c>
      <c r="D62" s="243"/>
      <c r="E62" s="207">
        <f ca="1">[1]!thsiFinD("ths_adjustment_nvg_ratio_fund",$B62,E$4,E$5,101)/100</f>
        <v>1.2123048946808999E-3</v>
      </c>
      <c r="F62" s="200">
        <f>[1]!thsiFinD("ths_adjustment_nvg_ratio_fund",$B62,F$4,F$5,101)/100</f>
        <v>-2.4246097893620999E-3</v>
      </c>
      <c r="G62" s="200">
        <f ca="1">[1]!thsiFinD("ths_adjustment_nvg_ratio_fund",$B62,G$4,G$5,101)/100</f>
        <v>2.1994690936669998E-3</v>
      </c>
      <c r="H62" s="200">
        <f ca="1">-[1]!thsiFinD("ths_max_retrace_rate_all_fund",$B62,E$3,E$5)/100</f>
        <v>-4.3740573152338006E-3</v>
      </c>
    </row>
    <row r="63" spans="1:8" ht="16.5">
      <c r="A63" s="194">
        <v>10</v>
      </c>
      <c r="B63" s="194" t="s">
        <v>274</v>
      </c>
      <c r="C63" s="244" t="s">
        <v>340</v>
      </c>
      <c r="D63" s="244"/>
      <c r="E63" s="208">
        <f ca="1">[1]!thsiFinD("ths_adjustment_nvg_ratio_fund",$B63,E$4,E$5,101)/100</f>
        <v>-6.3196674906424E-2</v>
      </c>
      <c r="F63" s="196">
        <f>[1]!thsiFinD("ths_adjustment_nvg_ratio_fund",$B63,F$4,F$5,101)/100</f>
        <v>-6.8297751744840998E-2</v>
      </c>
      <c r="G63" s="196">
        <f ca="1">[1]!thsiFinD("ths_adjustment_nvg_ratio_fund",$B63,G$4,G$5,101)/100</f>
        <v>-3.3165829249908003E-3</v>
      </c>
      <c r="H63" s="196">
        <f ca="1">-[1]!thsiFinD("ths_max_retrace_rate_all_fund",$B63,E$3,E$5)/100</f>
        <v>-7.9686479412252001E-2</v>
      </c>
    </row>
    <row r="65" spans="1:8" ht="16.5">
      <c r="A65" s="242" t="s">
        <v>341</v>
      </c>
      <c r="B65" s="242"/>
      <c r="C65" s="242"/>
      <c r="D65" s="242"/>
      <c r="E65" s="242"/>
      <c r="F65" s="242"/>
      <c r="G65" s="242"/>
      <c r="H65" s="242"/>
    </row>
    <row r="66" spans="1:8" ht="16.5">
      <c r="A66" s="242" t="s">
        <v>342</v>
      </c>
      <c r="B66" s="242"/>
      <c r="C66" s="242"/>
      <c r="D66" s="242"/>
      <c r="E66" s="242"/>
      <c r="F66" s="242"/>
      <c r="G66" s="242"/>
      <c r="H66" s="242"/>
    </row>
    <row r="67" spans="1:8" ht="16.5">
      <c r="A67" s="242" t="s">
        <v>343</v>
      </c>
      <c r="B67" s="242"/>
      <c r="C67" s="242"/>
      <c r="D67" s="242"/>
      <c r="E67" s="242"/>
      <c r="F67" s="242"/>
      <c r="G67" s="242"/>
      <c r="H67" s="242"/>
    </row>
  </sheetData>
  <mergeCells count="17">
    <mergeCell ref="A67:H67"/>
    <mergeCell ref="C55:D55"/>
    <mergeCell ref="C56:D56"/>
    <mergeCell ref="C57:D57"/>
    <mergeCell ref="C58:D58"/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0" customWidth="1"/>
    <col min="18" max="18" width="15.453125" customWidth="1"/>
  </cols>
  <sheetData>
    <row r="1" spans="1:19" ht="15.5">
      <c r="B1" t="s">
        <v>208</v>
      </c>
      <c r="E1" s="53">
        <f ca="1">TODAY()-1</f>
        <v>46303</v>
      </c>
      <c r="J1" s="99" t="s">
        <v>209</v>
      </c>
      <c r="K1" s="99" t="s">
        <v>208</v>
      </c>
      <c r="L1" s="99"/>
      <c r="M1" s="99"/>
      <c r="N1" s="97"/>
      <c r="O1" s="97"/>
      <c r="P1" s="97"/>
    </row>
    <row r="2" spans="1:19" ht="15.5">
      <c r="A2" t="str">
        <f ca="1">[1]!HX_AutoDate(1,"2026-06-18",E1,-1,-1,0,0,0,0,0,"SSE",74,0)</f>
        <v>日期</v>
      </c>
      <c r="B2" t="s">
        <v>210</v>
      </c>
      <c r="C2" t="s">
        <v>211</v>
      </c>
      <c r="J2" s="97" t="s">
        <v>69</v>
      </c>
      <c r="K2" s="97" t="s">
        <v>210</v>
      </c>
      <c r="L2" s="97" t="s">
        <v>211</v>
      </c>
      <c r="M2" s="97" t="s">
        <v>212</v>
      </c>
      <c r="N2" s="97" t="s">
        <v>213</v>
      </c>
      <c r="O2" s="97" t="s">
        <v>214</v>
      </c>
      <c r="P2" s="97" t="s">
        <v>215</v>
      </c>
      <c r="Q2" s="90" t="s">
        <v>216</v>
      </c>
      <c r="R2" s="100">
        <f>MIN(S:S)</f>
        <v>-2.72612639821741E-2</v>
      </c>
    </row>
    <row r="3" spans="1:19" ht="15.5">
      <c r="A3" s="91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  <c r="P3" s="98">
        <v>0</v>
      </c>
      <c r="Q3" s="90">
        <f t="shared" ref="Q3:Q24" si="0">1+K3</f>
        <v>1</v>
      </c>
      <c r="R3" s="90">
        <f>MAX(Q$3:Q3)</f>
        <v>1</v>
      </c>
      <c r="S3" s="93">
        <f>Q3/R3-1</f>
        <v>0</v>
      </c>
    </row>
    <row r="4" spans="1:19" ht="15.5">
      <c r="A4" s="91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3">
        <f t="shared" ref="G4:G21" si="1">B4/F4-1</f>
        <v>0</v>
      </c>
      <c r="J4" s="15">
        <v>46195</v>
      </c>
      <c r="K4" s="98">
        <v>8.9570999999999997E-4</v>
      </c>
      <c r="L4" s="98">
        <v>1.7326900000000001E-3</v>
      </c>
      <c r="M4" s="98">
        <v>0</v>
      </c>
      <c r="N4" s="98">
        <v>8.9570999999999997E-4</v>
      </c>
      <c r="O4" s="98">
        <v>6.7540459999999997E-2</v>
      </c>
      <c r="P4" s="98">
        <v>1.7326900000000001E-3</v>
      </c>
      <c r="Q4" s="90">
        <f t="shared" si="0"/>
        <v>1.00089571</v>
      </c>
      <c r="R4" s="90">
        <f>MAX(Q$3:Q4)</f>
        <v>1.00089571</v>
      </c>
      <c r="S4" s="93">
        <f t="shared" ref="S4:S24" si="2">Q4/R4-1</f>
        <v>0</v>
      </c>
    </row>
    <row r="5" spans="1:19" ht="15.5">
      <c r="A5" s="91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3">
        <f t="shared" si="1"/>
        <v>-3.0701500359113787E-3</v>
      </c>
      <c r="J5" s="15">
        <v>46196</v>
      </c>
      <c r="K5" s="98">
        <v>-2.1771899999999999E-3</v>
      </c>
      <c r="L5" s="98">
        <v>-1.51688E-3</v>
      </c>
      <c r="M5" s="98">
        <v>-3.0701499999999998E-3</v>
      </c>
      <c r="N5" s="98">
        <v>-3.0701499999999998E-3</v>
      </c>
      <c r="O5" s="98">
        <v>-0.12417622</v>
      </c>
      <c r="P5" s="98">
        <v>-3.2439499999999998E-3</v>
      </c>
      <c r="Q5" s="90">
        <f t="shared" si="0"/>
        <v>0.99782280999999995</v>
      </c>
      <c r="R5" s="90">
        <f>MAX(Q$3:Q5)</f>
        <v>1.00089571</v>
      </c>
      <c r="S5" s="93">
        <f t="shared" si="2"/>
        <v>-3.0701500359113787E-3</v>
      </c>
    </row>
    <row r="6" spans="1:19" ht="15.5">
      <c r="A6" s="91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3">
        <f t="shared" si="1"/>
        <v>-1.1239033085674865E-3</v>
      </c>
      <c r="J6" s="15">
        <v>46197</v>
      </c>
      <c r="K6" s="98">
        <v>-2.2919999999999999E-4</v>
      </c>
      <c r="L6" s="98">
        <v>-5.9039999999999997E-5</v>
      </c>
      <c r="M6" s="98">
        <v>-1.1238999999999999E-3</v>
      </c>
      <c r="N6" s="98">
        <v>1.9522400000000001E-3</v>
      </c>
      <c r="O6" s="98">
        <v>-1.188148E-2</v>
      </c>
      <c r="P6" s="98">
        <v>1.46006E-3</v>
      </c>
      <c r="Q6" s="90">
        <f t="shared" si="0"/>
        <v>0.99977079999999996</v>
      </c>
      <c r="R6" s="90">
        <f>MAX(Q$3:Q6)</f>
        <v>1.00089571</v>
      </c>
      <c r="S6" s="93">
        <f t="shared" si="2"/>
        <v>-1.1239033085674865E-3</v>
      </c>
    </row>
    <row r="7" spans="1:19" ht="15.5">
      <c r="A7" s="91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3">
        <f t="shared" si="1"/>
        <v>0</v>
      </c>
      <c r="J7" s="15">
        <v>46198</v>
      </c>
      <c r="K7" s="98">
        <v>1.27827E-3</v>
      </c>
      <c r="L7" s="98">
        <v>1.28466E-3</v>
      </c>
      <c r="M7" s="98">
        <v>0</v>
      </c>
      <c r="N7" s="98">
        <v>1.5078100000000001E-3</v>
      </c>
      <c r="O7" s="98">
        <v>6.0015640000000002E-2</v>
      </c>
      <c r="P7" s="98">
        <v>1.3437799999999999E-3</v>
      </c>
      <c r="Q7" s="90">
        <f t="shared" si="0"/>
        <v>1.00127827</v>
      </c>
      <c r="R7" s="90">
        <f>MAX(Q$3:Q7)</f>
        <v>1.00127827</v>
      </c>
      <c r="S7" s="93">
        <f t="shared" si="2"/>
        <v>0</v>
      </c>
    </row>
    <row r="8" spans="1:19" ht="15.5">
      <c r="A8" s="91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3">
        <f t="shared" si="1"/>
        <v>-2.3451822239186626E-3</v>
      </c>
      <c r="J8" s="15">
        <v>46199</v>
      </c>
      <c r="K8" s="98">
        <v>-1.0699100000000001E-3</v>
      </c>
      <c r="L8" s="98">
        <v>-1.34986E-3</v>
      </c>
      <c r="M8" s="98">
        <v>-2.3451800000000001E-3</v>
      </c>
      <c r="N8" s="98">
        <v>-2.3451800000000001E-3</v>
      </c>
      <c r="O8" s="98">
        <v>-4.2485259999999997E-2</v>
      </c>
      <c r="P8" s="98">
        <v>-2.6311400000000001E-3</v>
      </c>
      <c r="Q8" s="90">
        <f t="shared" si="0"/>
        <v>0.99893008999999999</v>
      </c>
      <c r="R8" s="90">
        <f>MAX(Q$3:Q8)</f>
        <v>1.00127827</v>
      </c>
      <c r="S8" s="93">
        <f t="shared" si="2"/>
        <v>-2.3451822239186626E-3</v>
      </c>
    </row>
    <row r="9" spans="1:19" ht="15.5">
      <c r="A9" s="91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3">
        <f t="shared" si="1"/>
        <v>-7.5579389134250441E-4</v>
      </c>
      <c r="J9" s="15">
        <v>46202</v>
      </c>
      <c r="K9" s="98">
        <v>5.2150999999999999E-4</v>
      </c>
      <c r="L9" s="98">
        <v>1.2537500000000001E-3</v>
      </c>
      <c r="M9" s="98">
        <v>-7.5579E-4</v>
      </c>
      <c r="N9" s="98">
        <v>1.59312E-3</v>
      </c>
      <c r="O9" s="98">
        <v>1.5984740000000001E-2</v>
      </c>
      <c r="P9" s="98">
        <v>2.6071200000000001E-3</v>
      </c>
      <c r="Q9" s="90">
        <f t="shared" si="0"/>
        <v>1.00052151</v>
      </c>
      <c r="R9" s="90">
        <f>MAX(Q$3:Q9)</f>
        <v>1.00127827</v>
      </c>
      <c r="S9" s="93">
        <f t="shared" si="2"/>
        <v>-7.5579389134250441E-4</v>
      </c>
    </row>
    <row r="10" spans="1:19" ht="15.5">
      <c r="A10" s="91">
        <v>46203</v>
      </c>
      <c r="B10" s="94">
        <v>1.00271066</v>
      </c>
      <c r="C10" s="34">
        <v>1.0028214600000001</v>
      </c>
      <c r="D10" s="34"/>
      <c r="E10" s="34"/>
      <c r="F10" s="34">
        <f>MAX(B$3:B10)</f>
        <v>1.00271066</v>
      </c>
      <c r="G10" s="93">
        <f t="shared" si="1"/>
        <v>0</v>
      </c>
      <c r="J10" s="15">
        <v>46203</v>
      </c>
      <c r="K10" s="98">
        <v>2.7106600000000002E-3</v>
      </c>
      <c r="L10" s="98">
        <v>2.82146E-3</v>
      </c>
      <c r="M10" s="98">
        <v>0</v>
      </c>
      <c r="N10" s="98">
        <v>2.1880100000000002E-3</v>
      </c>
      <c r="O10" s="98">
        <v>7.8966939999999999E-2</v>
      </c>
      <c r="P10" s="98">
        <v>1.5657500000000001E-3</v>
      </c>
      <c r="Q10" s="90">
        <f t="shared" si="0"/>
        <v>1.00271066</v>
      </c>
      <c r="R10" s="90">
        <f>MAX(Q$3:Q10)</f>
        <v>1.00271066</v>
      </c>
      <c r="S10" s="93">
        <f t="shared" si="2"/>
        <v>0</v>
      </c>
    </row>
    <row r="11" spans="1:19" ht="15.5">
      <c r="A11" s="91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" s="98">
        <v>1.69158E-3</v>
      </c>
      <c r="M11" s="98">
        <v>-2.7184100000000001E-3</v>
      </c>
      <c r="N11" s="98">
        <v>-2.7184100000000001E-3</v>
      </c>
      <c r="O11" s="98">
        <v>-3.9400999999999998E-4</v>
      </c>
      <c r="P11" s="98">
        <v>-1.1267E-3</v>
      </c>
      <c r="Q11" s="90">
        <f t="shared" si="0"/>
        <v>0.99998487999999996</v>
      </c>
      <c r="R11" s="90">
        <f>MAX(Q$3:Q11)</f>
        <v>1.00271066</v>
      </c>
      <c r="S11" s="93">
        <f t="shared" si="2"/>
        <v>-2.7184113111952124E-3</v>
      </c>
    </row>
    <row r="12" spans="1:19" ht="15.5">
      <c r="A12" s="91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3">
        <f t="shared" si="1"/>
        <v>-8.6578614811972932E-3</v>
      </c>
      <c r="J12" s="15">
        <v>46205</v>
      </c>
      <c r="K12" s="98">
        <v>-5.97067E-3</v>
      </c>
      <c r="L12" s="98">
        <v>-6.3232000000000002E-4</v>
      </c>
      <c r="M12" s="98">
        <v>-8.6578599999999999E-3</v>
      </c>
      <c r="N12" s="98">
        <v>-5.9556499999999998E-3</v>
      </c>
      <c r="O12" s="98">
        <v>-0.13560188000000001</v>
      </c>
      <c r="P12" s="98">
        <v>-2.3199800000000001E-3</v>
      </c>
      <c r="Q12" s="90">
        <f t="shared" si="0"/>
        <v>0.99402933000000004</v>
      </c>
      <c r="R12" s="90">
        <f>MAX(Q$3:Q12)</f>
        <v>1.00271066</v>
      </c>
      <c r="S12" s="93">
        <f t="shared" si="2"/>
        <v>-8.6578614811972932E-3</v>
      </c>
    </row>
    <row r="13" spans="1:19" ht="15.5">
      <c r="A13" s="91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3">
        <f t="shared" si="1"/>
        <v>-7.7772086316505451E-3</v>
      </c>
      <c r="J13" s="15">
        <v>46206</v>
      </c>
      <c r="K13" s="98">
        <v>-5.0876300000000001E-3</v>
      </c>
      <c r="L13" s="98">
        <v>7.4888999999999999E-4</v>
      </c>
      <c r="M13" s="98">
        <v>-7.7772099999999997E-3</v>
      </c>
      <c r="N13" s="98">
        <v>8.8834000000000005E-4</v>
      </c>
      <c r="O13" s="98">
        <v>-0.10984339999999999</v>
      </c>
      <c r="P13" s="98">
        <v>1.3820799999999999E-3</v>
      </c>
      <c r="Q13" s="90">
        <f t="shared" si="0"/>
        <v>0.99491236999999999</v>
      </c>
      <c r="R13" s="90">
        <f>MAX(Q$3:Q13)</f>
        <v>1.00271066</v>
      </c>
      <c r="S13" s="93">
        <f t="shared" si="2"/>
        <v>-7.7772086316505451E-3</v>
      </c>
    </row>
    <row r="14" spans="1:19" ht="15.5">
      <c r="A14" s="91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3">
        <f t="shared" si="1"/>
        <v>-8.717190659965679E-3</v>
      </c>
      <c r="J14" s="15">
        <v>46209</v>
      </c>
      <c r="K14" s="98">
        <v>-6.0301599999999997E-3</v>
      </c>
      <c r="L14" s="98">
        <v>-6.5799999999999997E-6</v>
      </c>
      <c r="M14" s="98">
        <v>-8.7171899999999997E-3</v>
      </c>
      <c r="N14" s="98">
        <v>-9.4733999999999997E-4</v>
      </c>
      <c r="O14" s="98">
        <v>-0.10969677</v>
      </c>
      <c r="P14" s="98">
        <v>-7.5491000000000002E-4</v>
      </c>
      <c r="Q14" s="90">
        <f t="shared" si="0"/>
        <v>0.99396983999999999</v>
      </c>
      <c r="R14" s="90">
        <f>MAX(Q$3:Q14)</f>
        <v>1.00271066</v>
      </c>
      <c r="S14" s="93">
        <f t="shared" si="2"/>
        <v>-8.717190659965679E-3</v>
      </c>
    </row>
    <row r="15" spans="1:19" ht="15.5">
      <c r="A15" s="91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3">
        <f t="shared" si="1"/>
        <v>-9.3205052791600629E-3</v>
      </c>
      <c r="J15" s="15">
        <v>46210</v>
      </c>
      <c r="K15" s="98">
        <v>-6.6351099999999996E-3</v>
      </c>
      <c r="L15" s="98">
        <v>-1.56873E-3</v>
      </c>
      <c r="M15" s="98">
        <v>-9.3205100000000006E-3</v>
      </c>
      <c r="N15" s="98">
        <v>-6.0862000000000004E-4</v>
      </c>
      <c r="O15" s="98">
        <v>-0.11440387</v>
      </c>
      <c r="P15" s="98">
        <v>-1.56215E-3</v>
      </c>
      <c r="Q15" s="90">
        <f t="shared" si="0"/>
        <v>0.99336489000000006</v>
      </c>
      <c r="R15" s="90">
        <f>MAX(Q$3:Q15)</f>
        <v>1.00271066</v>
      </c>
      <c r="S15" s="93">
        <f t="shared" si="2"/>
        <v>-9.3205052791599519E-3</v>
      </c>
    </row>
    <row r="16" spans="1:19" ht="15.5">
      <c r="A16" s="91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3">
        <f t="shared" si="1"/>
        <v>-9.1707113196541901E-3</v>
      </c>
      <c r="J16" s="15">
        <v>46211</v>
      </c>
      <c r="K16" s="98">
        <v>-6.48491E-3</v>
      </c>
      <c r="L16" s="98">
        <v>-2.47036E-3</v>
      </c>
      <c r="M16" s="98">
        <v>-9.1707100000000003E-3</v>
      </c>
      <c r="N16" s="98">
        <v>1.5119999999999999E-4</v>
      </c>
      <c r="O16" s="98">
        <v>-0.10692168000000001</v>
      </c>
      <c r="P16" s="98">
        <v>-9.0304999999999997E-4</v>
      </c>
      <c r="Q16" s="90">
        <f t="shared" si="0"/>
        <v>0.99351509000000005</v>
      </c>
      <c r="R16" s="90">
        <f>MAX(Q$3:Q16)</f>
        <v>1.00271066</v>
      </c>
      <c r="S16" s="93">
        <f t="shared" si="2"/>
        <v>-9.1707113196541901E-3</v>
      </c>
    </row>
    <row r="17" spans="1:19" ht="15.5">
      <c r="A17" s="91">
        <v>46212</v>
      </c>
      <c r="B17" s="95">
        <v>0.99860981999999998</v>
      </c>
      <c r="C17" s="95">
        <v>1.0010589000000001</v>
      </c>
      <c r="D17" s="34"/>
      <c r="E17" s="34"/>
      <c r="F17" s="34">
        <f>MAX(B$3:B17)</f>
        <v>1.00271066</v>
      </c>
      <c r="G17" s="93">
        <f t="shared" si="1"/>
        <v>-4.0897540672401034E-3</v>
      </c>
      <c r="J17" s="15">
        <v>46212</v>
      </c>
      <c r="K17" s="98">
        <v>-1.39018E-3</v>
      </c>
      <c r="L17" s="98">
        <v>1.0589E-3</v>
      </c>
      <c r="M17" s="98">
        <v>-4.0897599999999996E-3</v>
      </c>
      <c r="N17" s="98">
        <v>5.1279799999999999E-3</v>
      </c>
      <c r="O17" s="98">
        <v>-2.2816110000000001E-2</v>
      </c>
      <c r="P17" s="98">
        <v>3.5379999999999999E-3</v>
      </c>
      <c r="Q17" s="90">
        <f t="shared" si="0"/>
        <v>0.99860981999999998</v>
      </c>
      <c r="R17" s="90">
        <f>MAX(Q$3:Q17)</f>
        <v>1.00271066</v>
      </c>
      <c r="S17" s="93">
        <f t="shared" si="2"/>
        <v>-4.0897540672401034E-3</v>
      </c>
    </row>
    <row r="18" spans="1:19" ht="15.5">
      <c r="A18" s="91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3">
        <f t="shared" si="1"/>
        <v>-7.804843722315713E-3</v>
      </c>
      <c r="J18" s="15">
        <v>46213</v>
      </c>
      <c r="K18" s="98">
        <v>-5.1153400000000003E-3</v>
      </c>
      <c r="L18" s="98">
        <v>-1.2536299999999999E-3</v>
      </c>
      <c r="M18" s="98">
        <v>-7.8048400000000004E-3</v>
      </c>
      <c r="N18" s="98">
        <v>-3.73034E-3</v>
      </c>
      <c r="O18" s="98">
        <v>-7.8162690000000007E-2</v>
      </c>
      <c r="P18" s="98">
        <v>-2.3100899999999999E-3</v>
      </c>
      <c r="Q18" s="90">
        <f t="shared" si="0"/>
        <v>0.99488465999999998</v>
      </c>
      <c r="R18" s="90">
        <f>MAX(Q$3:Q18)</f>
        <v>1.00271066</v>
      </c>
      <c r="S18" s="93">
        <f t="shared" si="2"/>
        <v>-7.804843722315713E-3</v>
      </c>
    </row>
    <row r="19" spans="1:19" ht="15.5">
      <c r="A19" s="91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3">
        <f t="shared" si="1"/>
        <v>-1.2974151486531471E-2</v>
      </c>
      <c r="J19" s="15">
        <v>46216</v>
      </c>
      <c r="K19" s="98">
        <v>-1.0298659999999999E-2</v>
      </c>
      <c r="L19" s="98">
        <v>-5.05026E-3</v>
      </c>
      <c r="M19" s="98">
        <v>-1.297415E-2</v>
      </c>
      <c r="N19" s="98">
        <v>-5.2099700000000004E-3</v>
      </c>
      <c r="O19" s="98">
        <v>-0.13526046</v>
      </c>
      <c r="P19" s="98">
        <v>-3.8013999999999999E-3</v>
      </c>
      <c r="Q19" s="90">
        <f t="shared" si="0"/>
        <v>0.98970133999999998</v>
      </c>
      <c r="R19" s="90">
        <f>MAX(Q$3:Q19)</f>
        <v>1.00271066</v>
      </c>
      <c r="S19" s="93">
        <f t="shared" si="2"/>
        <v>-1.2974151486531471E-2</v>
      </c>
    </row>
    <row r="20" spans="1:19" ht="15.5">
      <c r="A20" s="91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3">
        <f t="shared" si="1"/>
        <v>-1.0230219353606906E-2</v>
      </c>
      <c r="J20" s="15">
        <v>46217</v>
      </c>
      <c r="K20" s="98">
        <v>-7.5472899999999999E-3</v>
      </c>
      <c r="L20" s="98">
        <v>-3.6142399999999999E-3</v>
      </c>
      <c r="M20" s="98">
        <v>-1.023022E-2</v>
      </c>
      <c r="N20" s="98">
        <v>2.7799999999999999E-3</v>
      </c>
      <c r="O20" s="98">
        <v>-9.7345249999999994E-2</v>
      </c>
      <c r="P20" s="98">
        <v>1.4433099999999999E-3</v>
      </c>
      <c r="Q20" s="90">
        <f t="shared" si="0"/>
        <v>0.99245271000000002</v>
      </c>
      <c r="R20" s="90">
        <f>MAX(Q$3:Q20)</f>
        <v>1.00271066</v>
      </c>
      <c r="S20" s="93">
        <f t="shared" si="2"/>
        <v>-1.0230219353606906E-2</v>
      </c>
    </row>
    <row r="21" spans="1:19" ht="15.5">
      <c r="A21" s="91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3">
        <f t="shared" si="1"/>
        <v>-1.2618116576121663E-2</v>
      </c>
      <c r="J21" s="15">
        <v>46218</v>
      </c>
      <c r="K21" s="98">
        <v>-9.9416599999999997E-3</v>
      </c>
      <c r="L21" s="98">
        <v>-4.25137E-3</v>
      </c>
      <c r="M21" s="98">
        <v>-1.261812E-2</v>
      </c>
      <c r="N21" s="98">
        <v>-2.4125800000000001E-3</v>
      </c>
      <c r="O21" s="98">
        <v>-0.12211979000000001</v>
      </c>
      <c r="P21" s="98">
        <v>-6.3944000000000002E-4</v>
      </c>
      <c r="Q21" s="90">
        <f t="shared" si="0"/>
        <v>0.99005834000000004</v>
      </c>
      <c r="R21" s="90">
        <f>MAX(Q$3:Q21)</f>
        <v>1.00271066</v>
      </c>
      <c r="S21" s="93">
        <f t="shared" si="2"/>
        <v>-1.2618116576121663E-2</v>
      </c>
    </row>
    <row r="22" spans="1:19" ht="15.5">
      <c r="A22" s="91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3">
        <f>B22/F22-1</f>
        <v>-1.6689859465541135E-2</v>
      </c>
      <c r="J22" s="15">
        <v>46219</v>
      </c>
      <c r="K22" s="98">
        <v>-1.4024440000000001E-2</v>
      </c>
      <c r="L22" s="98">
        <v>-6.3333199999999999E-3</v>
      </c>
      <c r="M22" s="98">
        <v>-1.6689860000000001E-2</v>
      </c>
      <c r="N22" s="98">
        <v>-4.1237799999999996E-3</v>
      </c>
      <c r="O22" s="98">
        <v>-0.16286004000000001</v>
      </c>
      <c r="P22" s="98">
        <v>-2.09085E-3</v>
      </c>
      <c r="Q22" s="90">
        <f t="shared" si="0"/>
        <v>0.98597555999999997</v>
      </c>
      <c r="R22" s="90">
        <f>MAX(Q$3:Q22)</f>
        <v>1.00271066</v>
      </c>
      <c r="S22" s="93">
        <f t="shared" si="2"/>
        <v>-1.6689859465541135E-2</v>
      </c>
    </row>
    <row r="23" spans="1:19" ht="15.5">
      <c r="A23" s="91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3">
        <f>B23/F23-1</f>
        <v>-2.3782473799570436E-2</v>
      </c>
      <c r="I23" s="92">
        <f>1+L23</f>
        <v>0.98920828000000005</v>
      </c>
      <c r="J23" s="15">
        <v>46220</v>
      </c>
      <c r="K23" s="98">
        <v>-2.113628E-2</v>
      </c>
      <c r="L23" s="98">
        <v>-1.0791719999999999E-2</v>
      </c>
      <c r="M23" s="98">
        <v>-2.378247E-2</v>
      </c>
      <c r="N23" s="98">
        <v>-7.2129899999999999E-3</v>
      </c>
      <c r="O23" s="98">
        <v>-0.22888259</v>
      </c>
      <c r="P23" s="98">
        <v>-4.4868099999999999E-3</v>
      </c>
      <c r="Q23" s="90">
        <f t="shared" si="0"/>
        <v>0.97886371999999999</v>
      </c>
      <c r="R23" s="90">
        <f>MAX(Q$3:Q23)</f>
        <v>1.00271066</v>
      </c>
      <c r="S23" s="93">
        <f t="shared" si="2"/>
        <v>-2.3782473799570436E-2</v>
      </c>
    </row>
    <row r="24" spans="1:19" ht="15.5">
      <c r="A24" s="91">
        <v>46223</v>
      </c>
      <c r="J24" s="15">
        <v>46223</v>
      </c>
      <c r="K24" s="98">
        <v>-2.4624500000000001E-2</v>
      </c>
      <c r="L24" s="98">
        <v>-1.038937E-2</v>
      </c>
      <c r="M24" s="98">
        <v>-2.7261259999999999E-2</v>
      </c>
      <c r="N24" s="98">
        <v>-3.56354E-3</v>
      </c>
      <c r="O24" s="98">
        <v>-0.24101354999999999</v>
      </c>
      <c r="P24" s="98">
        <v>4.0674E-4</v>
      </c>
      <c r="Q24" s="90">
        <f t="shared" si="0"/>
        <v>0.97537549999999995</v>
      </c>
      <c r="R24" s="90">
        <f>MAX(Q$3:Q24)</f>
        <v>1.00271066</v>
      </c>
      <c r="S24" s="93">
        <f t="shared" si="2"/>
        <v>-2.72612639821741E-2</v>
      </c>
    </row>
    <row r="25" spans="1:19">
      <c r="A25" s="91">
        <v>46224</v>
      </c>
    </row>
    <row r="26" spans="1:19">
      <c r="A26" s="91">
        <v>46225</v>
      </c>
    </row>
    <row r="27" spans="1:19">
      <c r="A27" s="91">
        <v>46226</v>
      </c>
      <c r="B27" s="96"/>
    </row>
    <row r="28" spans="1:19">
      <c r="A28" s="91">
        <v>46227</v>
      </c>
    </row>
    <row r="29" spans="1:19">
      <c r="A29" s="91">
        <v>46230</v>
      </c>
    </row>
    <row r="30" spans="1:19">
      <c r="A30" s="91">
        <v>46231</v>
      </c>
    </row>
    <row r="31" spans="1:19">
      <c r="A31" s="91">
        <v>46232</v>
      </c>
    </row>
    <row r="32" spans="1:19">
      <c r="A32" s="91">
        <v>46233</v>
      </c>
    </row>
    <row r="33" spans="1:1">
      <c r="A33" s="91">
        <v>46234</v>
      </c>
    </row>
    <row r="34" spans="1:1">
      <c r="A34" s="91">
        <v>46237</v>
      </c>
    </row>
    <row r="35" spans="1:1">
      <c r="A35" s="91">
        <v>46238</v>
      </c>
    </row>
    <row r="36" spans="1:1">
      <c r="A36" s="91">
        <v>46239</v>
      </c>
    </row>
    <row r="37" spans="1:1">
      <c r="A37" s="91">
        <v>46240</v>
      </c>
    </row>
    <row r="38" spans="1:1">
      <c r="A38" s="91">
        <v>46241</v>
      </c>
    </row>
    <row r="39" spans="1:1">
      <c r="A39" s="91">
        <v>46244</v>
      </c>
    </row>
    <row r="40" spans="1:1">
      <c r="A40" s="91">
        <v>46245</v>
      </c>
    </row>
    <row r="41" spans="1:1">
      <c r="A41" s="91">
        <v>46246</v>
      </c>
    </row>
    <row r="42" spans="1:1">
      <c r="A42" s="91">
        <v>46247</v>
      </c>
    </row>
    <row r="43" spans="1:1">
      <c r="A43" s="91">
        <v>46248</v>
      </c>
    </row>
    <row r="44" spans="1:1">
      <c r="A44" s="91">
        <v>46251</v>
      </c>
    </row>
    <row r="45" spans="1:1">
      <c r="A45" s="91">
        <v>46252</v>
      </c>
    </row>
    <row r="46" spans="1:1">
      <c r="A46" s="91">
        <v>46253</v>
      </c>
    </row>
    <row r="47" spans="1:1">
      <c r="A47" s="91">
        <v>46254</v>
      </c>
    </row>
    <row r="48" spans="1:1">
      <c r="A48" s="91">
        <v>46255</v>
      </c>
    </row>
    <row r="49" spans="1:1">
      <c r="A49" s="91">
        <v>46258</v>
      </c>
    </row>
    <row r="50" spans="1:1">
      <c r="A50" s="91">
        <v>46259</v>
      </c>
    </row>
    <row r="51" spans="1:1">
      <c r="A51" s="91">
        <v>46260</v>
      </c>
    </row>
    <row r="52" spans="1:1">
      <c r="A52" s="91">
        <v>46261</v>
      </c>
    </row>
    <row r="53" spans="1:1">
      <c r="A53" s="91">
        <v>46262</v>
      </c>
    </row>
    <row r="54" spans="1:1">
      <c r="A54" s="91">
        <v>46265</v>
      </c>
    </row>
    <row r="55" spans="1:1">
      <c r="A55" s="91">
        <v>46266</v>
      </c>
    </row>
    <row r="56" spans="1:1">
      <c r="A56" s="91">
        <v>46267</v>
      </c>
    </row>
    <row r="57" spans="1:1">
      <c r="A57" s="91">
        <v>46268</v>
      </c>
    </row>
    <row r="58" spans="1:1">
      <c r="A58" s="91">
        <v>46269</v>
      </c>
    </row>
    <row r="59" spans="1:1">
      <c r="A59" s="91">
        <v>46272</v>
      </c>
    </row>
    <row r="60" spans="1:1">
      <c r="A60" s="91">
        <v>46273</v>
      </c>
    </row>
    <row r="61" spans="1:1">
      <c r="A61" s="91">
        <v>46274</v>
      </c>
    </row>
    <row r="62" spans="1:1">
      <c r="A62" s="91">
        <v>46275</v>
      </c>
    </row>
    <row r="63" spans="1:1">
      <c r="A63" s="91">
        <v>46276</v>
      </c>
    </row>
    <row r="64" spans="1:1">
      <c r="A64" s="91">
        <v>46279</v>
      </c>
    </row>
    <row r="65" spans="1:1">
      <c r="A65" s="91">
        <v>46280</v>
      </c>
    </row>
    <row r="66" spans="1:1">
      <c r="A66" s="91">
        <v>46281</v>
      </c>
    </row>
    <row r="67" spans="1:1">
      <c r="A67" s="91">
        <v>46282</v>
      </c>
    </row>
    <row r="68" spans="1:1">
      <c r="A68" s="91">
        <v>46283</v>
      </c>
    </row>
    <row r="69" spans="1:1">
      <c r="A69" s="91">
        <v>46286</v>
      </c>
    </row>
    <row r="70" spans="1:1">
      <c r="A70" s="91">
        <v>46287</v>
      </c>
    </row>
    <row r="71" spans="1:1">
      <c r="A71" s="91">
        <v>46288</v>
      </c>
    </row>
    <row r="72" spans="1:1">
      <c r="A72" s="91">
        <v>46289</v>
      </c>
    </row>
    <row r="73" spans="1:1">
      <c r="A73" s="91">
        <v>46293</v>
      </c>
    </row>
    <row r="74" spans="1:1">
      <c r="A74" s="91">
        <v>46294</v>
      </c>
    </row>
    <row r="75" spans="1:1">
      <c r="A75" s="91">
        <v>46295</v>
      </c>
    </row>
    <row r="76" spans="1:1">
      <c r="A76" s="91">
        <v>46303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opLeftCell="A40" zoomScaleNormal="100" workbookViewId="0">
      <selection activeCell="L55" sqref="L55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46" t="s">
        <v>62</v>
      </c>
      <c r="B1" s="246"/>
      <c r="C1" s="246"/>
      <c r="D1" s="246"/>
      <c r="E1" s="246"/>
      <c r="F1" s="246"/>
      <c r="G1" s="246"/>
      <c r="H1" s="246"/>
      <c r="I1" s="246"/>
      <c r="J1" s="246"/>
      <c r="N1" s="2" t="s">
        <v>73</v>
      </c>
    </row>
    <row r="2" spans="1:22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</row>
    <row r="3" spans="1:22" ht="42" customHeight="1">
      <c r="B3" s="14" t="s">
        <v>63</v>
      </c>
      <c r="E3" s="14" t="s">
        <v>64</v>
      </c>
      <c r="H3" s="14" t="s">
        <v>65</v>
      </c>
      <c r="K3" s="14" t="s">
        <v>66</v>
      </c>
      <c r="N3" s="14" t="s">
        <v>67</v>
      </c>
      <c r="Q3" s="14" t="s">
        <v>68</v>
      </c>
      <c r="T3" s="14" t="s">
        <v>368</v>
      </c>
    </row>
    <row r="4" spans="1:22" ht="13">
      <c r="A4" s="1" t="s">
        <v>69</v>
      </c>
      <c r="B4" s="1" t="s">
        <v>70</v>
      </c>
      <c r="C4" s="1" t="s">
        <v>71</v>
      </c>
      <c r="D4" s="1" t="s">
        <v>72</v>
      </c>
      <c r="E4" s="1" t="s">
        <v>70</v>
      </c>
      <c r="F4" s="1" t="s">
        <v>71</v>
      </c>
      <c r="G4" s="1" t="s">
        <v>72</v>
      </c>
      <c r="H4" s="1" t="s">
        <v>70</v>
      </c>
      <c r="I4" s="1" t="s">
        <v>71</v>
      </c>
      <c r="J4" s="1" t="s">
        <v>72</v>
      </c>
      <c r="K4" s="1" t="s">
        <v>70</v>
      </c>
      <c r="L4" s="1" t="s">
        <v>71</v>
      </c>
      <c r="M4" s="1" t="s">
        <v>72</v>
      </c>
      <c r="N4" s="1" t="s">
        <v>70</v>
      </c>
      <c r="O4" s="1" t="s">
        <v>71</v>
      </c>
      <c r="P4" s="1" t="s">
        <v>72</v>
      </c>
      <c r="Q4" s="1" t="s">
        <v>70</v>
      </c>
      <c r="R4" s="1" t="s">
        <v>71</v>
      </c>
      <c r="S4" s="1" t="s">
        <v>72</v>
      </c>
      <c r="T4" s="1" t="s">
        <v>70</v>
      </c>
      <c r="U4" s="1" t="s">
        <v>71</v>
      </c>
      <c r="V4" s="1" t="s">
        <v>72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AM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AM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AM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AM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AM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AM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AM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AM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AM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AM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AM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AM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AM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AM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AM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AM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AM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AM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AM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AM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AM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AM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AM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AM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AM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AM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AM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AM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AM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AM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AM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AM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AM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AM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AM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AM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AM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AM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AM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AM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AM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AM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AM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AM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AM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AM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AM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AM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AM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AM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AM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AM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AM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AM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AM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AM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AM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AM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AM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AM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AM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AM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AM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AM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AM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AM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AM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AM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AM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AM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AM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AM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AM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AM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AM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AM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AM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AM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AM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AM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AM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AM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AM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AM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AM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AM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AM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AM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AM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AM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AM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AM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AM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AM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AM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AM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AM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AM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AM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AM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AM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AM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O$9*SUMPRODUCT(分期持仓明细!$B$9:$Y$9,'实盘净值数据(iFinD公式)'!$B14:$Y14/'实盘净值数据(iFinD公式)'!$B$13:$Y$13)*(1-实盘持仓配置!$AM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O$11*SUMPRODUCT(分期持仓明细!$B$11:$Y$11,'实盘净值数据(iFinD公式)'!$B14:$Y14/'实盘净值数据(iFinD公式)'!$B$13:$Y$13)*(1-实盘持仓配置!$AM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O$13*SUMPRODUCT(分期持仓明细!$B$13:$Y$13,'实盘净值数据(iFinD公式)'!$B14:$Y14/'实盘净值数据(iFinD公式)'!$B$13:$Y$13)*(1-实盘持仓配置!$AM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AM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AM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AM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AM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AM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AM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O$9*SUMPRODUCT(分期持仓明细!$B$9:$Y$9,'实盘净值数据(iFinD公式)'!$B15:$Y15/'实盘净值数据(iFinD公式)'!$B$13:$Y$13)*(1-实盘持仓配置!$AM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O$11*SUMPRODUCT(分期持仓明细!$B$11:$Y$11,'实盘净值数据(iFinD公式)'!$B15:$Y15/'实盘净值数据(iFinD公式)'!$B$13:$Y$13)*(1-实盘持仓配置!$AM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O$13*SUMPRODUCT(分期持仓明细!$B$13:$Y$13,'实盘净值数据(iFinD公式)'!$B15:$Y15/'实盘净值数据(iFinD公式)'!$B$13:$Y$13)*(1-实盘持仓配置!$AM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AM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AM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AM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AM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AM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AM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O$9*SUMPRODUCT(分期持仓明细!$B$9:$Y$9,'实盘净值数据(iFinD公式)'!$B16:$Y16/'实盘净值数据(iFinD公式)'!$B$13:$Y$13)*(1-实盘持仓配置!$AM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O$11*SUMPRODUCT(分期持仓明细!$B$11:$Y$11,'实盘净值数据(iFinD公式)'!$B16:$Y16/'实盘净值数据(iFinD公式)'!$B$13:$Y$13)*(1-实盘持仓配置!$AM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O$13*SUMPRODUCT(分期持仓明细!$B$13:$Y$13,'实盘净值数据(iFinD公式)'!$B16:$Y16/'实盘净值数据(iFinD公式)'!$B$13:$Y$13)*(1-实盘持仓配置!$AM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AM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AM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AM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AM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AM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AM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O$9*SUMPRODUCT(分期持仓明细!$B$9:$Y$9,'实盘净值数据(iFinD公式)'!$B17:$Y17/'实盘净值数据(iFinD公式)'!$B$13:$Y$13)*(1-实盘持仓配置!$AM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O$11*SUMPRODUCT(分期持仓明细!$B$11:$Y$11,'实盘净值数据(iFinD公式)'!$B17:$Y17/'实盘净值数据(iFinD公式)'!$B$13:$Y$13)*(1-实盘持仓配置!$AM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O$13*SUMPRODUCT(分期持仓明细!$B$13:$Y$13,'实盘净值数据(iFinD公式)'!$B17:$Y17/'实盘净值数据(iFinD公式)'!$B$13:$Y$13)*(1-实盘持仓配置!$AM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AM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AM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AM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AM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AM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AM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O$14*SUMPRODUCT(分期持仓明细!$B$14:$Y$14,'实盘净值数据(iFinD公式)'!$B18:$Y18/'实盘净值数据(iFinD公式)'!$B$17:$Y$17)*(1-实盘持仓配置!$AM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O$15*SUMPRODUCT(分期持仓明细!$B$15:$Y$15,'实盘净值数据(iFinD公式)'!$B18:$Y18/'实盘净值数据(iFinD公式)'!$B$17:$Y$17)*(1-实盘持仓配置!$AM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O$16*SUMPRODUCT(分期持仓明细!$B$16:$Y$16,'实盘净值数据(iFinD公式)'!$B18:$Y18/'实盘净值数据(iFinD公式)'!$B$17:$Y$17)*(1-实盘持仓配置!$AM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AM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AM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AM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AM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AM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AM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O$14*SUMPRODUCT(分期持仓明细!$B$14:$Y$14,'实盘净值数据(iFinD公式)'!$B19:$Y19/'实盘净值数据(iFinD公式)'!$B$17:$Y$17)*(1-实盘持仓配置!$AM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O$15*SUMPRODUCT(分期持仓明细!$B$15:$Y$15,'实盘净值数据(iFinD公式)'!$B19:$Y19/'实盘净值数据(iFinD公式)'!$B$17:$Y$17)*(1-实盘持仓配置!$AM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O$16*SUMPRODUCT(分期持仓明细!$B$16:$Y$16,'实盘净值数据(iFinD公式)'!$B19:$Y19/'实盘净值数据(iFinD公式)'!$B$17:$Y$17)*(1-实盘持仓配置!$AM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AM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AM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AM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AM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AM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AM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O$14*SUMPRODUCT(分期持仓明细!$B$14:$Y$14,'实盘净值数据(iFinD公式)'!$B20:$Y20/'实盘净值数据(iFinD公式)'!$B$17:$Y$17)*(1-实盘持仓配置!$AM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O$15*SUMPRODUCT(分期持仓明细!$B$15:$Y$15,'实盘净值数据(iFinD公式)'!$B20:$Y20/'实盘净值数据(iFinD公式)'!$B$17:$Y$17)*(1-实盘持仓配置!$AM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O$16*SUMPRODUCT(分期持仓明细!$B$16:$Y$16,'实盘净值数据(iFinD公式)'!$B20:$Y20/'实盘净值数据(iFinD公式)'!$B$17:$Y$17)*(1-实盘持仓配置!$AM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O$17*SUMPRODUCT(分期持仓明细!$B$17:$Y$17,'实盘净值数据(iFinD公式)'!$B21:$Y21/'实盘净值数据(iFinD公式)'!$B$20:$Y$20)*(1-实盘持仓配置!$AM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O$18*SUMPRODUCT(分期持仓明细!$B$18:$Y$18,'实盘净值数据(iFinD公式)'!$B21:$Y21/'实盘净值数据(iFinD公式)'!$B$20:$Y$20)*(1-实盘持仓配置!$AM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O$19*SUMPRODUCT(分期持仓明细!$B$19:$Y$19,'实盘净值数据(iFinD公式)'!$B21:$Y21/'实盘净值数据(iFinD公式)'!$B$20:$Y$20)*(1-实盘持仓配置!$AM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O$14*SUMPRODUCT(分期持仓明细!$B$14:$Y$14,'实盘净值数据(iFinD公式)'!$B21:$Y21/'实盘净值数据(iFinD公式)'!$B$17:$Y$17)*(1-实盘持仓配置!$AM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O$15*SUMPRODUCT(分期持仓明细!$B$15:$Y$15,'实盘净值数据(iFinD公式)'!$B21:$Y21/'实盘净值数据(iFinD公式)'!$B$17:$Y$17)*(1-实盘持仓配置!$AM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O$16*SUMPRODUCT(分期持仓明细!$B$16:$Y$16,'实盘净值数据(iFinD公式)'!$B21:$Y21/'实盘净值数据(iFinD公式)'!$B$17:$Y$17)*(1-实盘持仓配置!$AM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O$17*SUMPRODUCT(分期持仓明细!$B$17:$Y$17,'实盘净值数据(iFinD公式)'!$B22:$Y22/'实盘净值数据(iFinD公式)'!$B$20:$Y$20)*(1-实盘持仓配置!$AM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O$18*SUMPRODUCT(分期持仓明细!$B$18:$Y$18,'实盘净值数据(iFinD公式)'!$B22:$Y22/'实盘净值数据(iFinD公式)'!$B$20:$Y$20)*(1-实盘持仓配置!$AM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O$19*SUMPRODUCT(分期持仓明细!$B$19:$Y$19,'实盘净值数据(iFinD公式)'!$B22:$Y22/'实盘净值数据(iFinD公式)'!$B$20:$Y$20)*(1-实盘持仓配置!$AM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O$14*SUMPRODUCT(分期持仓明细!$B$14:$Y$14,'实盘净值数据(iFinD公式)'!$B22:$Y22/'实盘净值数据(iFinD公式)'!$B$17:$Y$17)*(1-实盘持仓配置!$AM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O$15*SUMPRODUCT(分期持仓明细!$B$15:$Y$15,'实盘净值数据(iFinD公式)'!$B22:$Y22/'实盘净值数据(iFinD公式)'!$B$17:$Y$17)*(1-实盘持仓配置!$AM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O$16*SUMPRODUCT(分期持仓明细!$B$16:$Y$16,'实盘净值数据(iFinD公式)'!$B22:$Y22/'实盘净值数据(iFinD公式)'!$B$17:$Y$17)*(1-实盘持仓配置!$AM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O$17*SUMPRODUCT(分期持仓明细!$B$17:$Y$17,'实盘净值数据(iFinD公式)'!$B23:$Y23/'实盘净值数据(iFinD公式)'!$B$20:$Y$20)*(1-实盘持仓配置!$AM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O$18*SUMPRODUCT(分期持仓明细!$B$18:$Y$18,'实盘净值数据(iFinD公式)'!$B23:$Y23/'实盘净值数据(iFinD公式)'!$B$20:$Y$20)*(1-实盘持仓配置!$AM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O$19*SUMPRODUCT(分期持仓明细!$B$19:$Y$19,'实盘净值数据(iFinD公式)'!$B23:$Y23/'实盘净值数据(iFinD公式)'!$B$20:$Y$20)*(1-实盘持仓配置!$AM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O$14*SUMPRODUCT(分期持仓明细!$B$14:$Y$14,'实盘净值数据(iFinD公式)'!$B23:$Y23/'实盘净值数据(iFinD公式)'!$B$17:$Y$17)*(1-实盘持仓配置!$AM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O$15*SUMPRODUCT(分期持仓明细!$B$15:$Y$15,'实盘净值数据(iFinD公式)'!$B23:$Y23/'实盘净值数据(iFinD公式)'!$B$17:$Y$17)*(1-实盘持仓配置!$AM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O$16*SUMPRODUCT(分期持仓明细!$B$16:$Y$16,'实盘净值数据(iFinD公式)'!$B23:$Y23/'实盘净值数据(iFinD公式)'!$B$17:$Y$17)*(1-实盘持仓配置!$AM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O$17*SUMPRODUCT(分期持仓明细!$B$17:$Y$17,'实盘净值数据(iFinD公式)'!$B24:$Y24/'实盘净值数据(iFinD公式)'!$B$20:$Y$20)*(1-实盘持仓配置!$AM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O$18*SUMPRODUCT(分期持仓明细!$B$18:$Y$18,'实盘净值数据(iFinD公式)'!$B24:$Y24/'实盘净值数据(iFinD公式)'!$B$20:$Y$20)*(1-实盘持仓配置!$AM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O$19*SUMPRODUCT(分期持仓明细!$B$19:$Y$19,'实盘净值数据(iFinD公式)'!$B24:$Y24/'实盘净值数据(iFinD公式)'!$B$20:$Y$20)*(1-实盘持仓配置!$AM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O$14*SUMPRODUCT(分期持仓明细!$B$14:$Y$14,'实盘净值数据(iFinD公式)'!$B24:$Y24/'实盘净值数据(iFinD公式)'!$B$17:$Y$17)*(1-实盘持仓配置!$AM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O$15*SUMPRODUCT(分期持仓明细!$B$15:$Y$15,'实盘净值数据(iFinD公式)'!$B24:$Y24/'实盘净值数据(iFinD公式)'!$B$17:$Y$17)*(1-实盘持仓配置!$AM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O$16*SUMPRODUCT(分期持仓明细!$B$16:$Y$16,'实盘净值数据(iFinD公式)'!$B24:$Y24/'实盘净值数据(iFinD公式)'!$B$17:$Y$17)*(1-实盘持仓配置!$AM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O$17*SUMPRODUCT(分期持仓明细!$B$17:$Y$17,'实盘净值数据(iFinD公式)'!$B25:$Y25/'实盘净值数据(iFinD公式)'!$B$20:$Y$20)*(1-实盘持仓配置!$AM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O$18*SUMPRODUCT(分期持仓明细!$B$18:$Y$18,'实盘净值数据(iFinD公式)'!$B25:$Y25/'实盘净值数据(iFinD公式)'!$B$20:$Y$20)*(1-实盘持仓配置!$AM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O$19*SUMPRODUCT(分期持仓明细!$B$19:$Y$19,'实盘净值数据(iFinD公式)'!$B25:$Y25/'实盘净值数据(iFinD公式)'!$B$20:$Y$20)*(1-实盘持仓配置!$AM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O$20*SUMPRODUCT(分期持仓明细!$B$20:$Y$20,'实盘净值数据(iFinD公式)'!$B25:$Y25/'实盘净值数据(iFinD公式)'!$B$25:$Y$25)*(1-实盘持仓配置!$AM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O$21*SUMPRODUCT(分期持仓明细!$B$21:$Y$21,'实盘净值数据(iFinD公式)'!$B25:$Y25/'实盘净值数据(iFinD公式)'!$B$25:$Y$25)*(1-实盘持仓配置!$AM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O$22*SUMPRODUCT(分期持仓明细!$B$22:$Y$22,'实盘净值数据(iFinD公式)'!$B25:$Y25/'实盘净值数据(iFinD公式)'!$B$25:$Y$25)*(1-实盘持仓配置!$AM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O$17*SUMPRODUCT(分期持仓明细!$B$17:$Y$17,'实盘净值数据(iFinD公式)'!$B26:$Y26/'实盘净值数据(iFinD公式)'!$B$20:$Y$20)*(1-实盘持仓配置!$AM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O$18*SUMPRODUCT(分期持仓明细!$B$18:$Y$18,'实盘净值数据(iFinD公式)'!$B26:$Y26/'实盘净值数据(iFinD公式)'!$B$20:$Y$20)*(1-实盘持仓配置!$AM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O$19*SUMPRODUCT(分期持仓明细!$B$19:$Y$19,'实盘净值数据(iFinD公式)'!$B26:$Y26/'实盘净值数据(iFinD公式)'!$B$20:$Y$20)*(1-实盘持仓配置!$AM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O$20*SUMPRODUCT(分期持仓明细!$B$20:$Y$20,'实盘净值数据(iFinD公式)'!$B26:$Y26/'实盘净值数据(iFinD公式)'!$B$25:$Y$25)*(1-实盘持仓配置!$AM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O$21*SUMPRODUCT(分期持仓明细!$B$21:$Y$21,'实盘净值数据(iFinD公式)'!$B26:$Y26/'实盘净值数据(iFinD公式)'!$B$25:$Y$25)*(1-实盘持仓配置!$AM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O$22*SUMPRODUCT(分期持仓明细!$B$22:$Y$22,'实盘净值数据(iFinD公式)'!$B26:$Y26/'实盘净值数据(iFinD公式)'!$B$25:$Y$25)*(1-实盘持仓配置!$AM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O$17*SUMPRODUCT(分期持仓明细!$B$17:$Y$17,'实盘净值数据(iFinD公式)'!$B27:$Y27/'实盘净值数据(iFinD公式)'!$B$20:$Y$20)*(1-实盘持仓配置!$AM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O$18*SUMPRODUCT(分期持仓明细!$B$18:$Y$18,'实盘净值数据(iFinD公式)'!$B27:$Y27/'实盘净值数据(iFinD公式)'!$B$20:$Y$20)*(1-实盘持仓配置!$AM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O$19*SUMPRODUCT(分期持仓明细!$B$19:$Y$19,'实盘净值数据(iFinD公式)'!$B27:$Y27/'实盘净值数据(iFinD公式)'!$B$20:$Y$20)*(1-实盘持仓配置!$AM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O$20*SUMPRODUCT(分期持仓明细!$B$20:$Y$20,'实盘净值数据(iFinD公式)'!$B27:$Y27/'实盘净值数据(iFinD公式)'!$B$25:$Y$25)*(1-实盘持仓配置!$AM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O$21*SUMPRODUCT(分期持仓明细!$B$21:$Y$21,'实盘净值数据(iFinD公式)'!$B27:$Y27/'实盘净值数据(iFinD公式)'!$B$25:$Y$25)*(1-实盘持仓配置!$AM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O$22*SUMPRODUCT(分期持仓明细!$B$22:$Y$22,'实盘净值数据(iFinD公式)'!$B27:$Y27/'实盘净值数据(iFinD公式)'!$B$25:$Y$25)*(1-实盘持仓配置!$AM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O$17*SUMPRODUCT(分期持仓明细!$B$17:$Y$17,'实盘净值数据(iFinD公式)'!$B28:$Y28/'实盘净值数据(iFinD公式)'!$B$20:$Y$20)*(1-实盘持仓配置!$AM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O$18*SUMPRODUCT(分期持仓明细!$B$18:$Y$18,'实盘净值数据(iFinD公式)'!$B28:$Y28/'实盘净值数据(iFinD公式)'!$B$20:$Y$20)*(1-实盘持仓配置!$AM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O$19*SUMPRODUCT(分期持仓明细!$B$19:$Y$19,'实盘净值数据(iFinD公式)'!$B28:$Y28/'实盘净值数据(iFinD公式)'!$B$20:$Y$20)*(1-实盘持仓配置!$AM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O$20*SUMPRODUCT(分期持仓明细!$B$20:$Y$20,'实盘净值数据(iFinD公式)'!$B28:$Y28/'实盘净值数据(iFinD公式)'!$B$25:$Y$25)*(1-实盘持仓配置!$AM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O$21*SUMPRODUCT(分期持仓明细!$B$21:$Y$21,'实盘净值数据(iFinD公式)'!$B28:$Y28/'实盘净值数据(iFinD公式)'!$B$25:$Y$25)*(1-实盘持仓配置!$AM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O$22*SUMPRODUCT(分期持仓明细!$B$22:$Y$22,'实盘净值数据(iFinD公式)'!$B28:$Y28/'实盘净值数据(iFinD公式)'!$B$25:$Y$25)*(1-实盘持仓配置!$AM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O$17*SUMPRODUCT(分期持仓明细!$B$17:$Y$17,'实盘净值数据(iFinD公式)'!$B29:$Y29/'实盘净值数据(iFinD公式)'!$B$20:$Y$20)*(1-实盘持仓配置!$AM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O$18*SUMPRODUCT(分期持仓明细!$B$18:$Y$18,'实盘净值数据(iFinD公式)'!$B29:$Y29/'实盘净值数据(iFinD公式)'!$B$20:$Y$20)*(1-实盘持仓配置!$AM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O$19*SUMPRODUCT(分期持仓明细!$B$19:$Y$19,'实盘净值数据(iFinD公式)'!$B29:$Y29/'实盘净值数据(iFinD公式)'!$B$20:$Y$20)*(1-实盘持仓配置!$AM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O$20*SUMPRODUCT(分期持仓明细!$B$20:$Y$20,'实盘净值数据(iFinD公式)'!$B29:$Y29/'实盘净值数据(iFinD公式)'!$B$25:$Y$25)*(1-实盘持仓配置!$AM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O$21*SUMPRODUCT(分期持仓明细!$B$21:$Y$21,'实盘净值数据(iFinD公式)'!$B29:$Y29/'实盘净值数据(iFinD公式)'!$B$25:$Y$25)*(1-实盘持仓配置!$AM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O$22*SUMPRODUCT(分期持仓明细!$B$22:$Y$22,'实盘净值数据(iFinD公式)'!$B29:$Y29/'实盘净值数据(iFinD公式)'!$B$25:$Y$25)*(1-实盘持仓配置!$AM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O$17*SUMPRODUCT(分期持仓明细!$B$17:$Y$17,'实盘净值数据(iFinD公式)'!$B30:$Y30/'实盘净值数据(iFinD公式)'!$B$20:$Y$20)*(1-实盘持仓配置!$AM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O$18*SUMPRODUCT(分期持仓明细!$B$18:$Y$18,'实盘净值数据(iFinD公式)'!$B30:$Y30/'实盘净值数据(iFinD公式)'!$B$20:$Y$20)*(1-实盘持仓配置!$AM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O$19*SUMPRODUCT(分期持仓明细!$B$19:$Y$19,'实盘净值数据(iFinD公式)'!$B30:$Y30/'实盘净值数据(iFinD公式)'!$B$20:$Y$20)*(1-实盘持仓配置!$AM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O$20*SUMPRODUCT(分期持仓明细!$B$20:$Y$20,'实盘净值数据(iFinD公式)'!$B30:$Y30/'实盘净值数据(iFinD公式)'!$B$25:$Y$25)*(1-实盘持仓配置!$AM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O$21*SUMPRODUCT(分期持仓明细!$B$21:$Y$21,'实盘净值数据(iFinD公式)'!$B30:$Y30/'实盘净值数据(iFinD公式)'!$B$25:$Y$25)*(1-实盘持仓配置!$AM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O$22*SUMPRODUCT(分期持仓明细!$B$22:$Y$22,'实盘净值数据(iFinD公式)'!$B30:$Y30/'实盘净值数据(iFinD公式)'!$B$25:$Y$25)*(1-实盘持仓配置!$AM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O$17*SUMPRODUCT(分期持仓明细!$B$17:$Y$17,'实盘净值数据(iFinD公式)'!$B31:$Y31/'实盘净值数据(iFinD公式)'!$B$20:$Y$20)*(1-实盘持仓配置!$AM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O$18*SUMPRODUCT(分期持仓明细!$B$18:$Y$18,'实盘净值数据(iFinD公式)'!$B31:$Y31/'实盘净值数据(iFinD公式)'!$B$20:$Y$20)*(1-实盘持仓配置!$AM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O$19*SUMPRODUCT(分期持仓明细!$B$19:$Y$19,'实盘净值数据(iFinD公式)'!$B31:$Y31/'实盘净值数据(iFinD公式)'!$B$20:$Y$20)*(1-实盘持仓配置!$AM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O$20*SUMPRODUCT(分期持仓明细!$B$20:$Y$20,'实盘净值数据(iFinD公式)'!$B31:$Y31/'实盘净值数据(iFinD公式)'!$B$25:$Y$25)*(1-实盘持仓配置!$AM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O$21*SUMPRODUCT(分期持仓明细!$B$21:$Y$21,'实盘净值数据(iFinD公式)'!$B31:$Y31/'实盘净值数据(iFinD公式)'!$B$25:$Y$25)*(1-实盘持仓配置!$AM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O$22*SUMPRODUCT(分期持仓明细!$B$22:$Y$22,'实盘净值数据(iFinD公式)'!$B31:$Y31/'实盘净值数据(iFinD公式)'!$B$25:$Y$25)*(1-实盘持仓配置!$AM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O$17*SUMPRODUCT(分期持仓明细!$B$17:$Y$17,'实盘净值数据(iFinD公式)'!$B32:$Y32/'实盘净值数据(iFinD公式)'!$B$20:$Y$20)*(1-实盘持仓配置!$AM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O$18*SUMPRODUCT(分期持仓明细!$B$18:$Y$18,'实盘净值数据(iFinD公式)'!$B32:$Y32/'实盘净值数据(iFinD公式)'!$B$20:$Y$20)*(1-实盘持仓配置!$AM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O$19*SUMPRODUCT(分期持仓明细!$B$19:$Y$19,'实盘净值数据(iFinD公式)'!$B32:$Y32/'实盘净值数据(iFinD公式)'!$B$20:$Y$20)*(1-实盘持仓配置!$AM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O$20*SUMPRODUCT(分期持仓明细!$B$20:$Y$20,'实盘净值数据(iFinD公式)'!$B32:$Y32/'实盘净值数据(iFinD公式)'!$B$25:$Y$25)*(1-实盘持仓配置!$AM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O$21*SUMPRODUCT(分期持仓明细!$B$21:$Y$21,'实盘净值数据(iFinD公式)'!$B32:$Y32/'实盘净值数据(iFinD公式)'!$B$25:$Y$25)*(1-实盘持仓配置!$AM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O$22*SUMPRODUCT(分期持仓明细!$B$22:$Y$22,'实盘净值数据(iFinD公式)'!$B32:$Y32/'实盘净值数据(iFinD公式)'!$B$25:$Y$25)*(1-实盘持仓配置!$AM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O$17*SUMPRODUCT(分期持仓明细!$B$17:$Y$17,'实盘净值数据(iFinD公式)'!$B33:$Y33/'实盘净值数据(iFinD公式)'!$B$20:$Y$20)*(1-实盘持仓配置!$AM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O$18*SUMPRODUCT(分期持仓明细!$B$18:$Y$18,'实盘净值数据(iFinD公式)'!$B33:$Y33/'实盘净值数据(iFinD公式)'!$B$20:$Y$20)*(1-实盘持仓配置!$AM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O$19*SUMPRODUCT(分期持仓明细!$B$19:$Y$19,'实盘净值数据(iFinD公式)'!$B33:$Y33/'实盘净值数据(iFinD公式)'!$B$20:$Y$20)*(1-实盘持仓配置!$AM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O$20*SUMPRODUCT(分期持仓明细!$B$20:$Y$20,'实盘净值数据(iFinD公式)'!$B33:$Y33/'实盘净值数据(iFinD公式)'!$B$25:$Y$25)*(1-实盘持仓配置!$AM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O$21*SUMPRODUCT(分期持仓明细!$B$21:$Y$21,'实盘净值数据(iFinD公式)'!$B33:$Y33/'实盘净值数据(iFinD公式)'!$B$25:$Y$25)*(1-实盘持仓配置!$AM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O$22*SUMPRODUCT(分期持仓明细!$B$22:$Y$22,'实盘净值数据(iFinD公式)'!$B33:$Y33/'实盘净值数据(iFinD公式)'!$B$25:$Y$25)*(1-实盘持仓配置!$AM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O$17*SUMPRODUCT(分期持仓明细!$B$17:$Y$17,'实盘净值数据(iFinD公式)'!$B34:$Y34/'实盘净值数据(iFinD公式)'!$B$20:$Y$20)*(1-实盘持仓配置!$AM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O$18*SUMPRODUCT(分期持仓明细!$B$18:$Y$18,'实盘净值数据(iFinD公式)'!$B34:$Y34/'实盘净值数据(iFinD公式)'!$B$20:$Y$20)*(1-实盘持仓配置!$AM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O$19*SUMPRODUCT(分期持仓明细!$B$19:$Y$19,'实盘净值数据(iFinD公式)'!$B34:$Y34/'实盘净值数据(iFinD公式)'!$B$20:$Y$20)*(1-实盘持仓配置!$AM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O$20*SUMPRODUCT(分期持仓明细!$B$20:$Y$20,'实盘净值数据(iFinD公式)'!$B34:$Y34/'实盘净值数据(iFinD公式)'!$B$25:$Y$25)*(1-实盘持仓配置!$AM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O$21*SUMPRODUCT(分期持仓明细!$B$21:$Y$21,'实盘净值数据(iFinD公式)'!$B34:$Y34/'实盘净值数据(iFinD公式)'!$B$25:$Y$25)*(1-实盘持仓配置!$AM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O$22*SUMPRODUCT(分期持仓明细!$B$22:$Y$22,'实盘净值数据(iFinD公式)'!$B34:$Y34/'实盘净值数据(iFinD公式)'!$B$25:$Y$25)*(1-实盘持仓配置!$AM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O$17*SUMPRODUCT(分期持仓明细!$B$17:$Y$17,'实盘净值数据(iFinD公式)'!$B35:$Y35/'实盘净值数据(iFinD公式)'!$B$20:$Y$20)*(1-实盘持仓配置!$AM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O$18*SUMPRODUCT(分期持仓明细!$B$18:$Y$18,'实盘净值数据(iFinD公式)'!$B35:$Y35/'实盘净值数据(iFinD公式)'!$B$20:$Y$20)*(1-实盘持仓配置!$AM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O$19*SUMPRODUCT(分期持仓明细!$B$19:$Y$19,'实盘净值数据(iFinD公式)'!$B35:$Y35/'实盘净值数据(iFinD公式)'!$B$20:$Y$20)*(1-实盘持仓配置!$AM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O$20*SUMPRODUCT(分期持仓明细!$B$20:$Y$20,'实盘净值数据(iFinD公式)'!$B35:$Y35/'实盘净值数据(iFinD公式)'!$B$25:$Y$25)*(1-实盘持仓配置!$AM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O$21*SUMPRODUCT(分期持仓明细!$B$21:$Y$21,'实盘净值数据(iFinD公式)'!$B35:$Y35/'实盘净值数据(iFinD公式)'!$B$25:$Y$25)*(1-实盘持仓配置!$AM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O$22*SUMPRODUCT(分期持仓明细!$B$22:$Y$22,'实盘净值数据(iFinD公式)'!$B35:$Y35/'实盘净值数据(iFinD公式)'!$B$25:$Y$25)*(1-实盘持仓配置!$AM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O$17*SUMPRODUCT(分期持仓明细!$B$17:$Y$17,'实盘净值数据(iFinD公式)'!$B36:$Y36/'实盘净值数据(iFinD公式)'!$B$20:$Y$20)*(1-实盘持仓配置!$AM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O$18*SUMPRODUCT(分期持仓明细!$B$18:$Y$18,'实盘净值数据(iFinD公式)'!$B36:$Y36/'实盘净值数据(iFinD公式)'!$B$20:$Y$20)*(1-实盘持仓配置!$AM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O$19*SUMPRODUCT(分期持仓明细!$B$19:$Y$19,'实盘净值数据(iFinD公式)'!$B36:$Y36/'实盘净值数据(iFinD公式)'!$B$20:$Y$20)*(1-实盘持仓配置!$AM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O$20*SUMPRODUCT(分期持仓明细!$B$20:$Y$20,'实盘净值数据(iFinD公式)'!$B36:$Y36/'实盘净值数据(iFinD公式)'!$B$25:$Y$25)*(1-实盘持仓配置!$AM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O$21*SUMPRODUCT(分期持仓明细!$B$21:$Y$21,'实盘净值数据(iFinD公式)'!$B36:$Y36/'实盘净值数据(iFinD公式)'!$B$25:$Y$25)*(1-实盘持仓配置!$AM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O$22*SUMPRODUCT(分期持仓明细!$B$22:$Y$22,'实盘净值数据(iFinD公式)'!$B36:$Y36/'实盘净值数据(iFinD公式)'!$B$25:$Y$25)*(1-实盘持仓配置!$AM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O$17*SUMPRODUCT(分期持仓明细!$B$17:$Y$17,'实盘净值数据(iFinD公式)'!$B37:$Y37/'实盘净值数据(iFinD公式)'!$B$20:$Y$20)*(1-实盘持仓配置!$AM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O$18*SUMPRODUCT(分期持仓明细!$B$18:$Y$18,'实盘净值数据(iFinD公式)'!$B37:$Y37/'实盘净值数据(iFinD公式)'!$B$20:$Y$20)*(1-实盘持仓配置!$AM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O$19*SUMPRODUCT(分期持仓明细!$B$19:$Y$19,'实盘净值数据(iFinD公式)'!$B37:$Y37/'实盘净值数据(iFinD公式)'!$B$20:$Y$20)*(1-实盘持仓配置!$AM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O$20*SUMPRODUCT(分期持仓明细!$B$20:$Y$20,'实盘净值数据(iFinD公式)'!$B37:$Y37/'实盘净值数据(iFinD公式)'!$B$25:$Y$25)*(1-实盘持仓配置!$AM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O$21*SUMPRODUCT(分期持仓明细!$B$21:$Y$21,'实盘净值数据(iFinD公式)'!$B37:$Y37/'实盘净值数据(iFinD公式)'!$B$25:$Y$25)*(1-实盘持仓配置!$AM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O$22*SUMPRODUCT(分期持仓明细!$B$22:$Y$22,'实盘净值数据(iFinD公式)'!$B37:$Y37/'实盘净值数据(iFinD公式)'!$B$25:$Y$25)*(1-实盘持仓配置!$AM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O$17*SUMPRODUCT(分期持仓明细!$B$17:$Y$17,'实盘净值数据(iFinD公式)'!$B38:$Y38/'实盘净值数据(iFinD公式)'!$B$20:$Y$20)*(1-实盘持仓配置!$AM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O$18*SUMPRODUCT(分期持仓明细!$B$18:$Y$18,'实盘净值数据(iFinD公式)'!$B38:$Y38/'实盘净值数据(iFinD公式)'!$B$20:$Y$20)*(1-实盘持仓配置!$AM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O$19*SUMPRODUCT(分期持仓明细!$B$19:$Y$19,'实盘净值数据(iFinD公式)'!$B38:$Y38/'实盘净值数据(iFinD公式)'!$B$20:$Y$20)*(1-实盘持仓配置!$AM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O$20*SUMPRODUCT(分期持仓明细!$B$20:$Y$20,'实盘净值数据(iFinD公式)'!$B38:$Y38/'实盘净值数据(iFinD公式)'!$B$25:$Y$25)*(1-实盘持仓配置!$AM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O$21*SUMPRODUCT(分期持仓明细!$B$21:$Y$21,'实盘净值数据(iFinD公式)'!$B38:$Y38/'实盘净值数据(iFinD公式)'!$B$25:$Y$25)*(1-实盘持仓配置!$AM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O$22*SUMPRODUCT(分期持仓明细!$B$22:$Y$22,'实盘净值数据(iFinD公式)'!$B38:$Y38/'实盘净值数据(iFinD公式)'!$B$25:$Y$25)*(1-实盘持仓配置!$AM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O$17*SUMPRODUCT(分期持仓明细!$B$17:$Y$17,'实盘净值数据(iFinD公式)'!$B39:$Y39/'实盘净值数据(iFinD公式)'!$B$20:$Y$20)*(1-实盘持仓配置!$AM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O$18*SUMPRODUCT(分期持仓明细!$B$18:$Y$18,'实盘净值数据(iFinD公式)'!$B39:$Y39/'实盘净值数据(iFinD公式)'!$B$20:$Y$20)*(1-实盘持仓配置!$AM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O$19*SUMPRODUCT(分期持仓明细!$B$19:$Y$19,'实盘净值数据(iFinD公式)'!$B39:$Y39/'实盘净值数据(iFinD公式)'!$B$20:$Y$20)*(1-实盘持仓配置!$AM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O$20*SUMPRODUCT(分期持仓明细!$B$20:$Y$20,'实盘净值数据(iFinD公式)'!$B39:$Y39/'实盘净值数据(iFinD公式)'!$B$25:$Y$25)*(1-实盘持仓配置!$AM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O$21*SUMPRODUCT(分期持仓明细!$B$21:$Y$21,'实盘净值数据(iFinD公式)'!$B39:$Y39/'实盘净值数据(iFinD公式)'!$B$25:$Y$25)*(1-实盘持仓配置!$AM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O$22*SUMPRODUCT(分期持仓明细!$B$22:$Y$22,'实盘净值数据(iFinD公式)'!$B39:$Y39/'实盘净值数据(iFinD公式)'!$B$25:$Y$25)*(1-实盘持仓配置!$AM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O$17*SUMPRODUCT(分期持仓明细!$B$17:$Y$17,'实盘净值数据(iFinD公式)'!$B40:$Y40/'实盘净值数据(iFinD公式)'!$B$20:$Y$20)*(1-实盘持仓配置!$AM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O$18*SUMPRODUCT(分期持仓明细!$B$18:$Y$18,'实盘净值数据(iFinD公式)'!$B40:$Y40/'实盘净值数据(iFinD公式)'!$B$20:$Y$20)*(1-实盘持仓配置!$AM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O$19*SUMPRODUCT(分期持仓明细!$B$19:$Y$19,'实盘净值数据(iFinD公式)'!$B40:$Y40/'实盘净值数据(iFinD公式)'!$B$20:$Y$20)*(1-实盘持仓配置!$AM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O$20*SUMPRODUCT(分期持仓明细!$B$20:$Y$20,'实盘净值数据(iFinD公式)'!$B40:$Y40/'实盘净值数据(iFinD公式)'!$B$25:$Y$25)*(1-实盘持仓配置!$AM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O$21*SUMPRODUCT(分期持仓明细!$B$21:$Y$21,'实盘净值数据(iFinD公式)'!$B40:$Y40/'实盘净值数据(iFinD公式)'!$B$25:$Y$25)*(1-实盘持仓配置!$AM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O$22*SUMPRODUCT(分期持仓明细!$B$22:$Y$22,'实盘净值数据(iFinD公式)'!$B40:$Y40/'实盘净值数据(iFinD公式)'!$B$25:$Y$25)*(1-实盘持仓配置!$AM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O$17*SUMPRODUCT(分期持仓明细!$B$17:$Y$17,'实盘净值数据(iFinD公式)'!$B41:$Y41/'实盘净值数据(iFinD公式)'!$B$20:$Y$20)*(1-实盘持仓配置!$AM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O$18*SUMPRODUCT(分期持仓明细!$B$18:$Y$18,'实盘净值数据(iFinD公式)'!$B41:$Y41/'实盘净值数据(iFinD公式)'!$B$20:$Y$20)*(1-实盘持仓配置!$AM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O$19*SUMPRODUCT(分期持仓明细!$B$19:$Y$19,'实盘净值数据(iFinD公式)'!$B41:$Y41/'实盘净值数据(iFinD公式)'!$B$20:$Y$20)*(1-实盘持仓配置!$AM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O$20*SUMPRODUCT(分期持仓明细!$B$20:$Y$20,'实盘净值数据(iFinD公式)'!$B41:$Y41/'实盘净值数据(iFinD公式)'!$B$25:$Y$25)*(1-实盘持仓配置!$AM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O$21*SUMPRODUCT(分期持仓明细!$B$21:$Y$21,'实盘净值数据(iFinD公式)'!$B41:$Y41/'实盘净值数据(iFinD公式)'!$B$25:$Y$25)*(1-实盘持仓配置!$AM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O$22*SUMPRODUCT(分期持仓明细!$B$22:$Y$22,'实盘净值数据(iFinD公式)'!$B41:$Y41/'实盘净值数据(iFinD公式)'!$B$25:$Y$25)*(1-实盘持仓配置!$AM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O$17*SUMPRODUCT(分期持仓明细!$B$17:$Y$17,'实盘净值数据(iFinD公式)'!$B42:$Y42/'实盘净值数据(iFinD公式)'!$B$20:$Y$20)*(1-实盘持仓配置!$AM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O$18*SUMPRODUCT(分期持仓明细!$B$18:$Y$18,'实盘净值数据(iFinD公式)'!$B42:$Y42/'实盘净值数据(iFinD公式)'!$B$20:$Y$20)*(1-实盘持仓配置!$AM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O$19*SUMPRODUCT(分期持仓明细!$B$19:$Y$19,'实盘净值数据(iFinD公式)'!$B42:$Y42/'实盘净值数据(iFinD公式)'!$B$20:$Y$20)*(1-实盘持仓配置!$AM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O$20*SUMPRODUCT(分期持仓明细!$B$20:$Y$20,'实盘净值数据(iFinD公式)'!$B42:$Y42/'实盘净值数据(iFinD公式)'!$B$25:$Y$25)*(1-实盘持仓配置!$AM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O$21*SUMPRODUCT(分期持仓明细!$B$21:$Y$21,'实盘净值数据(iFinD公式)'!$B42:$Y42/'实盘净值数据(iFinD公式)'!$B$25:$Y$25)*(1-实盘持仓配置!$AM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O$22*SUMPRODUCT(分期持仓明细!$B$22:$Y$22,'实盘净值数据(iFinD公式)'!$B42:$Y42/'实盘净值数据(iFinD公式)'!$B$25:$Y$25)*(1-实盘持仓配置!$AM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O$17*SUMPRODUCT(分期持仓明细!$B$17:$Y$17,'实盘净值数据(iFinD公式)'!$B43:$Y43/'实盘净值数据(iFinD公式)'!$B$20:$Y$20)*(1-实盘持仓配置!$AM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O$18*SUMPRODUCT(分期持仓明细!$B$18:$Y$18,'实盘净值数据(iFinD公式)'!$B43:$Y43/'实盘净值数据(iFinD公式)'!$B$20:$Y$20)*(1-实盘持仓配置!$AM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O$19*SUMPRODUCT(分期持仓明细!$B$19:$Y$19,'实盘净值数据(iFinD公式)'!$B43:$Y43/'实盘净值数据(iFinD公式)'!$B$20:$Y$20)*(1-实盘持仓配置!$AM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O$20*SUMPRODUCT(分期持仓明细!$B$20:$Y$20,'实盘净值数据(iFinD公式)'!$B43:$Y43/'实盘净值数据(iFinD公式)'!$B$25:$Y$25)*(1-实盘持仓配置!$AM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O$21*SUMPRODUCT(分期持仓明细!$B$21:$Y$21,'实盘净值数据(iFinD公式)'!$B43:$Y43/'实盘净值数据(iFinD公式)'!$B$25:$Y$25)*(1-实盘持仓配置!$AM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O$22*SUMPRODUCT(分期持仓明细!$B$22:$Y$22,'实盘净值数据(iFinD公式)'!$B43:$Y43/'实盘净值数据(iFinD公式)'!$B$25:$Y$25)*(1-实盘持仓配置!$AM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O$17*SUMPRODUCT(分期持仓明细!$B$17:$Y$17,'实盘净值数据(iFinD公式)'!$B44:$Y44/'实盘净值数据(iFinD公式)'!$B$20:$Y$20)*(1-实盘持仓配置!$AM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O$18*SUMPRODUCT(分期持仓明细!$B$18:$Y$18,'实盘净值数据(iFinD公式)'!$B44:$Y44/'实盘净值数据(iFinD公式)'!$B$20:$Y$20)*(1-实盘持仓配置!$AM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O$19*SUMPRODUCT(分期持仓明细!$B$19:$Y$19,'实盘净值数据(iFinD公式)'!$B44:$Y44/'实盘净值数据(iFinD公式)'!$B$20:$Y$20)*(1-实盘持仓配置!$AM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O$20*SUMPRODUCT(分期持仓明细!$B$20:$Y$20,'实盘净值数据(iFinD公式)'!$B44:$Y44/'实盘净值数据(iFinD公式)'!$B$25:$Y$25)*(1-实盘持仓配置!$AM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O$21*SUMPRODUCT(分期持仓明细!$B$21:$Y$21,'实盘净值数据(iFinD公式)'!$B44:$Y44/'实盘净值数据(iFinD公式)'!$B$25:$Y$25)*(1-实盘持仓配置!$AM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O$22*SUMPRODUCT(分期持仓明细!$B$22:$Y$22,'实盘净值数据(iFinD公式)'!$B44:$Y44/'实盘净值数据(iFinD公式)'!$B$25:$Y$25)*(1-实盘持仓配置!$AM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O$17*SUMPRODUCT(分期持仓明细!$B$17:$Y$17,'实盘净值数据(iFinD公式)'!$B45:$Y45/'实盘净值数据(iFinD公式)'!$B$20:$Y$20)*(1-实盘持仓配置!$AM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O$18*SUMPRODUCT(分期持仓明细!$B$18:$Y$18,'实盘净值数据(iFinD公式)'!$B45:$Y45/'实盘净值数据(iFinD公式)'!$B$20:$Y$20)*(1-实盘持仓配置!$AM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O$19*SUMPRODUCT(分期持仓明细!$B$19:$Y$19,'实盘净值数据(iFinD公式)'!$B45:$Y45/'实盘净值数据(iFinD公式)'!$B$20:$Y$20)*(1-实盘持仓配置!$AM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O$20*SUMPRODUCT(分期持仓明细!$B$20:$Y$20,'实盘净值数据(iFinD公式)'!$B45:$Y45/'实盘净值数据(iFinD公式)'!$B$25:$Y$25)*(1-实盘持仓配置!$AM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O$21*SUMPRODUCT(分期持仓明细!$B$21:$Y$21,'实盘净值数据(iFinD公式)'!$B45:$Y45/'实盘净值数据(iFinD公式)'!$B$25:$Y$25)*(1-实盘持仓配置!$AM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O$22*SUMPRODUCT(分期持仓明细!$B$22:$Y$22,'实盘净值数据(iFinD公式)'!$B45:$Y45/'实盘净值数据(iFinD公式)'!$B$25:$Y$25)*(1-实盘持仓配置!$AM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O$17*SUMPRODUCT(分期持仓明细!$B$17:$Y$17,'实盘净值数据(iFinD公式)'!$B46:$Y46/'实盘净值数据(iFinD公式)'!$B$20:$Y$20)*(1-实盘持仓配置!$AM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O$18*SUMPRODUCT(分期持仓明细!$B$18:$Y$18,'实盘净值数据(iFinD公式)'!$B46:$Y46/'实盘净值数据(iFinD公式)'!$B$20:$Y$20)*(1-实盘持仓配置!$AM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O$19*SUMPRODUCT(分期持仓明细!$B$19:$Y$19,'实盘净值数据(iFinD公式)'!$B46:$Y46/'实盘净值数据(iFinD公式)'!$B$20:$Y$20)*(1-实盘持仓配置!$AM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O$20*SUMPRODUCT(分期持仓明细!$B$20:$Y$20,'实盘净值数据(iFinD公式)'!$B46:$Y46/'实盘净值数据(iFinD公式)'!$B$25:$Y$25)*(1-实盘持仓配置!$AM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O$21*SUMPRODUCT(分期持仓明细!$B$21:$Y$21,'实盘净值数据(iFinD公式)'!$B46:$Y46/'实盘净值数据(iFinD公式)'!$B$25:$Y$25)*(1-实盘持仓配置!$AM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O$22*SUMPRODUCT(分期持仓明细!$B$22:$Y$22,'实盘净值数据(iFinD公式)'!$B46:$Y46/'实盘净值数据(iFinD公式)'!$B$25:$Y$25)*(1-实盘持仓配置!$AM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O$17*SUMPRODUCT(分期持仓明细!$B$17:$Y$17,'实盘净值数据(iFinD公式)'!$B47:$Y47/'实盘净值数据(iFinD公式)'!$B$20:$Y$20)*(1-实盘持仓配置!$AM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O$18*SUMPRODUCT(分期持仓明细!$B$18:$Y$18,'实盘净值数据(iFinD公式)'!$B47:$Y47/'实盘净值数据(iFinD公式)'!$B$20:$Y$20)*(1-实盘持仓配置!$AM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O$19*SUMPRODUCT(分期持仓明细!$B$19:$Y$19,'实盘净值数据(iFinD公式)'!$B47:$Y47/'实盘净值数据(iFinD公式)'!$B$20:$Y$20)*(1-实盘持仓配置!$AM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O$20*SUMPRODUCT(分期持仓明细!$B$20:$Y$20,'实盘净值数据(iFinD公式)'!$B47:$Y47/'实盘净值数据(iFinD公式)'!$B$25:$Y$25)*(1-实盘持仓配置!$AM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O$21*SUMPRODUCT(分期持仓明细!$B$21:$Y$21,'实盘净值数据(iFinD公式)'!$B47:$Y47/'实盘净值数据(iFinD公式)'!$B$25:$Y$25)*(1-实盘持仓配置!$AM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O$22*SUMPRODUCT(分期持仓明细!$B$22:$Y$22,'实盘净值数据(iFinD公式)'!$B47:$Y47/'实盘净值数据(iFinD公式)'!$B$25:$Y$25)*(1-实盘持仓配置!$AM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O$17*SUMPRODUCT(分期持仓明细!$B$17:$Y$17,'实盘净值数据(iFinD公式)'!$B48:$Y48/'实盘净值数据(iFinD公式)'!$B$20:$Y$20)*(1-实盘持仓配置!$AM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O$18*SUMPRODUCT(分期持仓明细!$B$18:$Y$18,'实盘净值数据(iFinD公式)'!$B48:$Y48/'实盘净值数据(iFinD公式)'!$B$20:$Y$20)*(1-实盘持仓配置!$AM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O$19*SUMPRODUCT(分期持仓明细!$B$19:$Y$19,'实盘净值数据(iFinD公式)'!$B48:$Y48/'实盘净值数据(iFinD公式)'!$B$20:$Y$20)*(1-实盘持仓配置!$AM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O$20*SUMPRODUCT(分期持仓明细!$B$20:$Y$20,'实盘净值数据(iFinD公式)'!$B48:$Y48/'实盘净值数据(iFinD公式)'!$B$25:$Y$25)*(1-实盘持仓配置!$AM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O$21*SUMPRODUCT(分期持仓明细!$B$21:$Y$21,'实盘净值数据(iFinD公式)'!$B48:$Y48/'实盘净值数据(iFinD公式)'!$B$25:$Y$25)*(1-实盘持仓配置!$AM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O$22*SUMPRODUCT(分期持仓明细!$B$22:$Y$22,'实盘净值数据(iFinD公式)'!$B48:$Y48/'实盘净值数据(iFinD公式)'!$B$25:$Y$25)*(1-实盘持仓配置!$AM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O$17*SUMPRODUCT(分期持仓明细!$B$17:$Y$17,'实盘净值数据(iFinD公式)'!$B49:$Y49/'实盘净值数据(iFinD公式)'!$B$20:$Y$20)*(1-实盘持仓配置!$AM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O$18*SUMPRODUCT(分期持仓明细!$B$18:$Y$18,'实盘净值数据(iFinD公式)'!$B49:$Y49/'实盘净值数据(iFinD公式)'!$B$20:$Y$20)*(1-实盘持仓配置!$AM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O$19*SUMPRODUCT(分期持仓明细!$B$19:$Y$19,'实盘净值数据(iFinD公式)'!$B49:$Y49/'实盘净值数据(iFinD公式)'!$B$20:$Y$20)*(1-实盘持仓配置!$AM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O$20*SUMPRODUCT(分期持仓明细!$B$20:$Y$20,'实盘净值数据(iFinD公式)'!$B49:$Y49/'实盘净值数据(iFinD公式)'!$B$25:$Y$25)*(1-实盘持仓配置!$AM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O$21*SUMPRODUCT(分期持仓明细!$B$21:$Y$21,'实盘净值数据(iFinD公式)'!$B49:$Y49/'实盘净值数据(iFinD公式)'!$B$25:$Y$25)*(1-实盘持仓配置!$AM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O$22*SUMPRODUCT(分期持仓明细!$B$22:$Y$22,'实盘净值数据(iFinD公式)'!$B49:$Y49/'实盘净值数据(iFinD公式)'!$B$25:$Y$25)*(1-实盘持仓配置!$AM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O$17*SUMPRODUCT(分期持仓明细!$B$17:$Y$17,'实盘净值数据(iFinD公式)'!$B50:$Y50/'实盘净值数据(iFinD公式)'!$B$20:$Y$20)*(1-实盘持仓配置!$AM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O$18*SUMPRODUCT(分期持仓明细!$B$18:$Y$18,'实盘净值数据(iFinD公式)'!$B50:$Y50/'实盘净值数据(iFinD公式)'!$B$20:$Y$20)*(1-实盘持仓配置!$AM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O$19*SUMPRODUCT(分期持仓明细!$B$19:$Y$19,'实盘净值数据(iFinD公式)'!$B50:$Y50/'实盘净值数据(iFinD公式)'!$B$20:$Y$20)*(1-实盘持仓配置!$AM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O$20*SUMPRODUCT(分期持仓明细!$B$20:$Y$20,'实盘净值数据(iFinD公式)'!$B50:$Y50/'实盘净值数据(iFinD公式)'!$B$25:$Y$25)*(1-实盘持仓配置!$AM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O$21*SUMPRODUCT(分期持仓明细!$B$21:$Y$21,'实盘净值数据(iFinD公式)'!$B50:$Y50/'实盘净值数据(iFinD公式)'!$B$25:$Y$25)*(1-实盘持仓配置!$AM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O$22*SUMPRODUCT(分期持仓明细!$B$22:$Y$22,'实盘净值数据(iFinD公式)'!$B50:$Y50/'实盘净值数据(iFinD公式)'!$B$25:$Y$25)*(1-实盘持仓配置!$AM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O$17*SUMPRODUCT(分期持仓明细!$B$17:$Y$17,'实盘净值数据(iFinD公式)'!$B51:$Y51/'实盘净值数据(iFinD公式)'!$B$20:$Y$20)*(1-实盘持仓配置!$AM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O$18*SUMPRODUCT(分期持仓明细!$B$18:$Y$18,'实盘净值数据(iFinD公式)'!$B51:$Y51/'实盘净值数据(iFinD公式)'!$B$20:$Y$20)*(1-实盘持仓配置!$AM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O$19*SUMPRODUCT(分期持仓明细!$B$19:$Y$19,'实盘净值数据(iFinD公式)'!$B51:$Y51/'实盘净值数据(iFinD公式)'!$B$20:$Y$20)*(1-实盘持仓配置!$AM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O$20*SUMPRODUCT(分期持仓明细!$B$20:$Y$20,'实盘净值数据(iFinD公式)'!$B51:$Y51/'实盘净值数据(iFinD公式)'!$B$25:$Y$25)*(1-实盘持仓配置!$AM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O$21*SUMPRODUCT(分期持仓明细!$B$21:$Y$21,'实盘净值数据(iFinD公式)'!$B51:$Y51/'实盘净值数据(iFinD公式)'!$B$25:$Y$25)*(1-实盘持仓配置!$AM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O$22*SUMPRODUCT(分期持仓明细!$B$22:$Y$22,'实盘净值数据(iFinD公式)'!$B51:$Y51/'实盘净值数据(iFinD公式)'!$B$25:$Y$25)*(1-实盘持仓配置!$AM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O$17*SUMPRODUCT(分期持仓明细!$B$17:$Y$17,'实盘净值数据(iFinD公式)'!$B52:$Y52/'实盘净值数据(iFinD公式)'!$B$20:$Y$20)*(1-实盘持仓配置!$AM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O$18*SUMPRODUCT(分期持仓明细!$B$18:$Y$18,'实盘净值数据(iFinD公式)'!$B52:$Y52/'实盘净值数据(iFinD公式)'!$B$20:$Y$20)*(1-实盘持仓配置!$AM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O$19*SUMPRODUCT(分期持仓明细!$B$19:$Y$19,'实盘净值数据(iFinD公式)'!$B52:$Y52/'实盘净值数据(iFinD公式)'!$B$20:$Y$20)*(1-实盘持仓配置!$AM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O$20*SUMPRODUCT(分期持仓明细!$B$20:$Y$20,'实盘净值数据(iFinD公式)'!$B52:$Y52/'实盘净值数据(iFinD公式)'!$B$25:$Y$25)*(1-实盘持仓配置!$AM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O$21*SUMPRODUCT(分期持仓明细!$B$21:$Y$21,'实盘净值数据(iFinD公式)'!$B52:$Y52/'实盘净值数据(iFinD公式)'!$B$25:$Y$25)*(1-实盘持仓配置!$AM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O$22*SUMPRODUCT(分期持仓明细!$B$22:$Y$22,'实盘净值数据(iFinD公式)'!$B52:$Y52/'实盘净值数据(iFinD公式)'!$B$25:$Y$25)*(1-实盘持仓配置!$AM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O$17*SUMPRODUCT(分期持仓明细!$B$17:$Y$17,'实盘净值数据(iFinD公式)'!$B53:$Y53/'实盘净值数据(iFinD公式)'!$B$20:$Y$20)*(1-实盘持仓配置!$AM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O$18*SUMPRODUCT(分期持仓明细!$B$18:$Y$18,'实盘净值数据(iFinD公式)'!$B53:$Y53/'实盘净值数据(iFinD公式)'!$B$20:$Y$20)*(1-实盘持仓配置!$AM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O$19*SUMPRODUCT(分期持仓明细!$B$19:$Y$19,'实盘净值数据(iFinD公式)'!$B53:$Y53/'实盘净值数据(iFinD公式)'!$B$20:$Y$20)*(1-实盘持仓配置!$AM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O$20*SUMPRODUCT(分期持仓明细!$B$20:$Y$20,'实盘净值数据(iFinD公式)'!$B53:$Y53/'实盘净值数据(iFinD公式)'!$B$25:$Y$25)*(1-实盘持仓配置!$AM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O$21*SUMPRODUCT(分期持仓明细!$B$21:$Y$21,'实盘净值数据(iFinD公式)'!$B53:$Y53/'实盘净值数据(iFinD公式)'!$B$25:$Y$25)*(1-实盘持仓配置!$AM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O$22*SUMPRODUCT(分期持仓明细!$B$22:$Y$22,'实盘净值数据(iFinD公式)'!$B53:$Y53/'实盘净值数据(iFinD公式)'!$B$25:$Y$25)*(1-实盘持仓配置!$AM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O$17*SUMPRODUCT(分期持仓明细!$B$17:$Y$17,'实盘净值数据(iFinD公式)'!$B54:$Y54/'实盘净值数据(iFinD公式)'!$B$20:$Y$20)*(1-实盘持仓配置!$AM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O$18*SUMPRODUCT(分期持仓明细!$B$18:$Y$18,'实盘净值数据(iFinD公式)'!$B54:$Y54/'实盘净值数据(iFinD公式)'!$B$20:$Y$20)*(1-实盘持仓配置!$AM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O$19*SUMPRODUCT(分期持仓明细!$B$19:$Y$19,'实盘净值数据(iFinD公式)'!$B54:$Y54/'实盘净值数据(iFinD公式)'!$B$20:$Y$20)*(1-实盘持仓配置!$AM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O$20*SUMPRODUCT(分期持仓明细!$B$20:$Y$20,'实盘净值数据(iFinD公式)'!$B54:$Y54/'实盘净值数据(iFinD公式)'!$B$25:$Y$25)*(1-实盘持仓配置!$AM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O$21*SUMPRODUCT(分期持仓明细!$B$21:$Y$21,'实盘净值数据(iFinD公式)'!$B54:$Y54/'实盘净值数据(iFinD公式)'!$B$25:$Y$25)*(1-实盘持仓配置!$AM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O$22*SUMPRODUCT(分期持仓明细!$B$22:$Y$22,'实盘净值数据(iFinD公式)'!$B54:$Y54/'实盘净值数据(iFinD公式)'!$B$25:$Y$25)*(1-实盘持仓配置!$AM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O$17*SUMPRODUCT(分期持仓明细!$B$17:$Y$17,'实盘净值数据(iFinD公式)'!$B55:$Y55/'实盘净值数据(iFinD公式)'!$B$20:$Y$20)*(1-实盘持仓配置!$AM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O$18*SUMPRODUCT(分期持仓明细!$B$18:$Y$18,'实盘净值数据(iFinD公式)'!$B55:$Y55/'实盘净值数据(iFinD公式)'!$B$20:$Y$20)*(1-实盘持仓配置!$AM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O$19*SUMPRODUCT(分期持仓明细!$B$19:$Y$19,'实盘净值数据(iFinD公式)'!$B55:$Y55/'实盘净值数据(iFinD公式)'!$B$20:$Y$20)*(1-实盘持仓配置!$AM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O$20*SUMPRODUCT(分期持仓明细!$B$20:$Y$20,'实盘净值数据(iFinD公式)'!$B55:$Y55/'实盘净值数据(iFinD公式)'!$B$25:$Y$25)*(1-实盘持仓配置!$AM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O$21*SUMPRODUCT(分期持仓明细!$B$21:$Y$21,'实盘净值数据(iFinD公式)'!$B55:$Y55/'实盘净值数据(iFinD公式)'!$B$25:$Y$25)*(1-实盘持仓配置!$AM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O$22*SUMPRODUCT(分期持仓明细!$B$22:$Y$22,'实盘净值数据(iFinD公式)'!$B55:$Y55/'实盘净值数据(iFinD公式)'!$B$25:$Y$25)*(1-实盘持仓配置!$AM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O$17*SUMPRODUCT(分期持仓明细!$B$17:$Y$17,'实盘净值数据(iFinD公式)'!$B56:$Y56/'实盘净值数据(iFinD公式)'!$B$20:$Y$20)*(1-实盘持仓配置!$AM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O$18*SUMPRODUCT(分期持仓明细!$B$18:$Y$18,'实盘净值数据(iFinD公式)'!$B56:$Y56/'实盘净值数据(iFinD公式)'!$B$20:$Y$20)*(1-实盘持仓配置!$AM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O$19*SUMPRODUCT(分期持仓明细!$B$19:$Y$19,'实盘净值数据(iFinD公式)'!$B56:$Y56/'实盘净值数据(iFinD公式)'!$B$20:$Y$20)*(1-实盘持仓配置!$AM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O$20*SUMPRODUCT(分期持仓明细!$B$20:$Y$20,'实盘净值数据(iFinD公式)'!$B56:$Y56/'实盘净值数据(iFinD公式)'!$B$25:$Y$25)*(1-实盘持仓配置!$AM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O$21*SUMPRODUCT(分期持仓明细!$B$21:$Y$21,'实盘净值数据(iFinD公式)'!$B56:$Y56/'实盘净值数据(iFinD公式)'!$B$25:$Y$25)*(1-实盘持仓配置!$AM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O$22*SUMPRODUCT(分期持仓明细!$B$22:$Y$22,'实盘净值数据(iFinD公式)'!$B56:$Y56/'实盘净值数据(iFinD公式)'!$B$25:$Y$25)*(1-实盘持仓配置!$AM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O$17*SUMPRODUCT(分期持仓明细!$B$17:$Y$17,'实盘净值数据(iFinD公式)'!$B57:$Y57/'实盘净值数据(iFinD公式)'!$B$20:$Y$20)*(1-实盘持仓配置!$AM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O$18*SUMPRODUCT(分期持仓明细!$B$18:$Y$18,'实盘净值数据(iFinD公式)'!$B57:$Y57/'实盘净值数据(iFinD公式)'!$B$20:$Y$20)*(1-实盘持仓配置!$AM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O$19*SUMPRODUCT(分期持仓明细!$B$19:$Y$19,'实盘净值数据(iFinD公式)'!$B57:$Y57/'实盘净值数据(iFinD公式)'!$B$20:$Y$20)*(1-实盘持仓配置!$AM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O$20*SUMPRODUCT(分期持仓明细!$B$20:$Y$20,'实盘净值数据(iFinD公式)'!$B57:$Y57/'实盘净值数据(iFinD公式)'!$B$25:$Y$25)*(1-实盘持仓配置!$AM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O$21*SUMPRODUCT(分期持仓明细!$B$21:$Y$21,'实盘净值数据(iFinD公式)'!$B57:$Y57/'实盘净值数据(iFinD公式)'!$B$25:$Y$25)*(1-实盘持仓配置!$AM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O$22*SUMPRODUCT(分期持仓明细!$B$22:$Y$22,'实盘净值数据(iFinD公式)'!$B57:$Y57/'实盘净值数据(iFinD公式)'!$B$25:$Y$25)*(1-实盘持仓配置!$AM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O$17*SUMPRODUCT(分期持仓明细!$B$17:$Y$17,'实盘净值数据(iFinD公式)'!$B58:$Y58/'实盘净值数据(iFinD公式)'!$B$20:$Y$20)*(1-实盘持仓配置!$AM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O$18*SUMPRODUCT(分期持仓明细!$B$18:$Y$18,'实盘净值数据(iFinD公式)'!$B58:$Y58/'实盘净值数据(iFinD公式)'!$B$20:$Y$20)*(1-实盘持仓配置!$AM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O$19*SUMPRODUCT(分期持仓明细!$B$19:$Y$19,'实盘净值数据(iFinD公式)'!$B58:$Y58/'实盘净值数据(iFinD公式)'!$B$20:$Y$20)*(1-实盘持仓配置!$AM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O$20*SUMPRODUCT(分期持仓明细!$B$20:$Y$20,'实盘净值数据(iFinD公式)'!$B58:$Y58/'实盘净值数据(iFinD公式)'!$B$25:$Y$25)*(1-实盘持仓配置!$AM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O$21*SUMPRODUCT(分期持仓明细!$B$21:$Y$21,'实盘净值数据(iFinD公式)'!$B58:$Y58/'实盘净值数据(iFinD公式)'!$B$25:$Y$25)*(1-实盘持仓配置!$AM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O$22*SUMPRODUCT(分期持仓明细!$B$22:$Y$22,'实盘净值数据(iFinD公式)'!$B58:$Y58/'实盘净值数据(iFinD公式)'!$B$25:$Y$25)*(1-实盘持仓配置!$AM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O$17*SUMPRODUCT(分期持仓明细!$B$17:$Y$17,'实盘净值数据(iFinD公式)'!$B59:$Y59/'实盘净值数据(iFinD公式)'!$B$20:$Y$20)*(1-实盘持仓配置!$AM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O$18*SUMPRODUCT(分期持仓明细!$B$18:$Y$18,'实盘净值数据(iFinD公式)'!$B59:$Y59/'实盘净值数据(iFinD公式)'!$B$20:$Y$20)*(1-实盘持仓配置!$AM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O$19*SUMPRODUCT(分期持仓明细!$B$19:$Y$19,'实盘净值数据(iFinD公式)'!$B59:$Y59/'实盘净值数据(iFinD公式)'!$B$20:$Y$20)*(1-实盘持仓配置!$AM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O$20*SUMPRODUCT(分期持仓明细!$B$20:$Y$20,'实盘净值数据(iFinD公式)'!$B59:$Y59/'实盘净值数据(iFinD公式)'!$B$25:$Y$25)*(1-实盘持仓配置!$AM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O$21*SUMPRODUCT(分期持仓明细!$B$21:$Y$21,'实盘净值数据(iFinD公式)'!$B59:$Y59/'实盘净值数据(iFinD公式)'!$B$25:$Y$25)*(1-实盘持仓配置!$AM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O$22*SUMPRODUCT(分期持仓明细!$B$22:$Y$22,'实盘净值数据(iFinD公式)'!$B59:$Y59/'实盘净值数据(iFinD公式)'!$B$25:$Y$25)*(1-实盘持仓配置!$AM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O$17*SUMPRODUCT(分期持仓明细!$B$17:$Y$17,'实盘净值数据(iFinD公式)'!$B60:$Y60/'实盘净值数据(iFinD公式)'!$B$20:$Y$20)*(1-实盘持仓配置!$AM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O$18*SUMPRODUCT(分期持仓明细!$B$18:$Y$18,'实盘净值数据(iFinD公式)'!$B60:$Y60/'实盘净值数据(iFinD公式)'!$B$20:$Y$20)*(1-实盘持仓配置!$AM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O$19*SUMPRODUCT(分期持仓明细!$B$19:$Y$19,'实盘净值数据(iFinD公式)'!$B60:$Y60/'实盘净值数据(iFinD公式)'!$B$20:$Y$20)*(1-实盘持仓配置!$AM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O$20*SUMPRODUCT(分期持仓明细!$B$20:$Y$20,'实盘净值数据(iFinD公式)'!$B60:$Y60/'实盘净值数据(iFinD公式)'!$B$25:$Y$25)*(1-实盘持仓配置!$AM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O$21*SUMPRODUCT(分期持仓明细!$B$21:$Y$21,'实盘净值数据(iFinD公式)'!$B60:$Y60/'实盘净值数据(iFinD公式)'!$B$25:$Y$25)*(1-实盘持仓配置!$AM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O$22*SUMPRODUCT(分期持仓明细!$B$22:$Y$22,'实盘净值数据(iFinD公式)'!$B60:$Y60/'实盘净值数据(iFinD公式)'!$B$25:$Y$25)*(1-实盘持仓配置!$AM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O$17*SUMPRODUCT(分期持仓明细!$B$17:$Y$17,'实盘净值数据(iFinD公式)'!$B61:$Y61/'实盘净值数据(iFinD公式)'!$B$20:$Y$20)*(1-实盘持仓配置!$AM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O$18*SUMPRODUCT(分期持仓明细!$B$18:$Y$18,'实盘净值数据(iFinD公式)'!$B61:$Y61/'实盘净值数据(iFinD公式)'!$B$20:$Y$20)*(1-实盘持仓配置!$AM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O$19*SUMPRODUCT(分期持仓明细!$B$19:$Y$19,'实盘净值数据(iFinD公式)'!$B61:$Y61/'实盘净值数据(iFinD公式)'!$B$20:$Y$20)*(1-实盘持仓配置!$AM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O$20*SUMPRODUCT(分期持仓明细!$B$20:$Y$20,'实盘净值数据(iFinD公式)'!$B61:$Y61/'实盘净值数据(iFinD公式)'!$B$25:$Y$25)*(1-实盘持仓配置!$AM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O$21*SUMPRODUCT(分期持仓明细!$B$21:$Y$21,'实盘净值数据(iFinD公式)'!$B61:$Y61/'实盘净值数据(iFinD公式)'!$B$25:$Y$25)*(1-实盘持仓配置!$AM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O$22*SUMPRODUCT(分期持仓明细!$B$22:$Y$22,'实盘净值数据(iFinD公式)'!$B61:$Y61/'实盘净值数据(iFinD公式)'!$B$25:$Y$25)*(1-实盘持仓配置!$AM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O$17*SUMPRODUCT(分期持仓明细!$B$17:$Y$17,'实盘净值数据(iFinD公式)'!$B62:$Y62/'实盘净值数据(iFinD公式)'!$B$20:$Y$20)*(1-实盘持仓配置!$AM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O$18*SUMPRODUCT(分期持仓明细!$B$18:$Y$18,'实盘净值数据(iFinD公式)'!$B62:$Y62/'实盘净值数据(iFinD公式)'!$B$20:$Y$20)*(1-实盘持仓配置!$AM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O$19*SUMPRODUCT(分期持仓明细!$B$19:$Y$19,'实盘净值数据(iFinD公式)'!$B62:$Y62/'实盘净值数据(iFinD公式)'!$B$20:$Y$20)*(1-实盘持仓配置!$AM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O$20*SUMPRODUCT(分期持仓明细!$B$20:$Y$20,'实盘净值数据(iFinD公式)'!$B62:$Y62/'实盘净值数据(iFinD公式)'!$B$25:$Y$25)*(1-实盘持仓配置!$AM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O$21*SUMPRODUCT(分期持仓明细!$B$21:$Y$21,'实盘净值数据(iFinD公式)'!$B62:$Y62/'实盘净值数据(iFinD公式)'!$B$25:$Y$25)*(1-实盘持仓配置!$AM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O$22*SUMPRODUCT(分期持仓明细!$B$22:$Y$22,'实盘净值数据(iFinD公式)'!$B62:$Y62/'实盘净值数据(iFinD公式)'!$B$25:$Y$25)*(1-实盘持仓配置!$AM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O$17*SUMPRODUCT(分期持仓明细!$B$17:$Y$17,'实盘净值数据(iFinD公式)'!$B63:$Y63/'实盘净值数据(iFinD公式)'!$B$20:$Y$20)*(1-实盘持仓配置!$AM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O$18*SUMPRODUCT(分期持仓明细!$B$18:$Y$18,'实盘净值数据(iFinD公式)'!$B63:$Y63/'实盘净值数据(iFinD公式)'!$B$20:$Y$20)*(1-实盘持仓配置!$AM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O$19*SUMPRODUCT(分期持仓明细!$B$19:$Y$19,'实盘净值数据(iFinD公式)'!$B63:$Y63/'实盘净值数据(iFinD公式)'!$B$20:$Y$20)*(1-实盘持仓配置!$AM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O$20*SUMPRODUCT(分期持仓明细!$B$20:$Y$20,'实盘净值数据(iFinD公式)'!$B63:$Y63/'实盘净值数据(iFinD公式)'!$B$25:$Y$25)*(1-实盘持仓配置!$AM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O$21*SUMPRODUCT(分期持仓明细!$B$21:$Y$21,'实盘净值数据(iFinD公式)'!$B63:$Y63/'实盘净值数据(iFinD公式)'!$B$25:$Y$25)*(1-实盘持仓配置!$AM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O$22*SUMPRODUCT(分期持仓明细!$B$22:$Y$22,'实盘净值数据(iFinD公式)'!$B63:$Y63/'实盘净值数据(iFinD公式)'!$B$25:$Y$25)*(1-实盘持仓配置!$AM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O$17*SUMPRODUCT(分期持仓明细!$B$17:$Y$17,'实盘净值数据(iFinD公式)'!$B64:$Y64/'实盘净值数据(iFinD公式)'!$B$20:$Y$20)*(1-实盘持仓配置!$AM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O$18*SUMPRODUCT(分期持仓明细!$B$18:$Y$18,'实盘净值数据(iFinD公式)'!$B64:$Y64/'实盘净值数据(iFinD公式)'!$B$20:$Y$20)*(1-实盘持仓配置!$AM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O$19*SUMPRODUCT(分期持仓明细!$B$19:$Y$19,'实盘净值数据(iFinD公式)'!$B64:$Y64/'实盘净值数据(iFinD公式)'!$B$20:$Y$20)*(1-实盘持仓配置!$AM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O$20*SUMPRODUCT(分期持仓明细!$B$20:$Y$20,'实盘净值数据(iFinD公式)'!$B64:$Y64/'实盘净值数据(iFinD公式)'!$B$25:$Y$25)*(1-实盘持仓配置!$AM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O$21*SUMPRODUCT(分期持仓明细!$B$21:$Y$21,'实盘净值数据(iFinD公式)'!$B64:$Y64/'实盘净值数据(iFinD公式)'!$B$25:$Y$25)*(1-实盘持仓配置!$AM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O$22*SUMPRODUCT(分期持仓明细!$B$22:$Y$22,'实盘净值数据(iFinD公式)'!$B64:$Y64/'实盘净值数据(iFinD公式)'!$B$25:$Y$25)*(1-实盘持仓配置!$AM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O$17*SUMPRODUCT(分期持仓明细!$B$17:$Y$17,'实盘净值数据(iFinD公式)'!$B65:$Y65/'实盘净值数据(iFinD公式)'!$B$20:$Y$20)*(1-实盘持仓配置!$AM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O$18*SUMPRODUCT(分期持仓明细!$B$18:$Y$18,'实盘净值数据(iFinD公式)'!$B65:$Y65/'实盘净值数据(iFinD公式)'!$B$20:$Y$20)*(1-实盘持仓配置!$AM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O$19*SUMPRODUCT(分期持仓明细!$B$19:$Y$19,'实盘净值数据(iFinD公式)'!$B65:$Y65/'实盘净值数据(iFinD公式)'!$B$20:$Y$20)*(1-实盘持仓配置!$AM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O$23*(SUMPRODUCT(分期持仓明细!$B$23:$Y$23,'实盘净值数据(iFinD公式)'!$B65:$Y65/'实盘净值数据(iFinD公式)'!$B$65:$Y$65)+SUMPRODUCT(分期持仓明细!$Z$23:$AA$23,'实盘净值数据(iFinD公式)'!$Z65:$AA65/'实盘净值数据(iFinD公式)'!$Z$65:$AA$65))*(1-实盘持仓配置!$AM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O$24*(SUMPRODUCT(分期持仓明细!$B$24:$Y$24,'实盘净值数据(iFinD公式)'!$B65:$Y65/'实盘净值数据(iFinD公式)'!$B$65:$Y$65)+SUMPRODUCT(分期持仓明细!$Z$24:$AA$24,'实盘净值数据(iFinD公式)'!$Z65:$AA65/'实盘净值数据(iFinD公式)'!$Z$65:$AA$65))*(1-实盘持仓配置!$AM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O$25*(SUMPRODUCT(分期持仓明细!$B$25:$Y$25,'实盘净值数据(iFinD公式)'!$B65:$Y65/'实盘净值数据(iFinD公式)'!$B$65:$Y$65)+SUMPRODUCT(分期持仓明细!$Z$25:$AA$25,'实盘净值数据(iFinD公式)'!$Z65:$AA65/'实盘净值数据(iFinD公式)'!$Z$65:$AA$65))*(1-实盘持仓配置!$AM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>
        <v>1</v>
      </c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O$17*SUMPRODUCT(分期持仓明细!$B$17:$Y$17,'实盘净值数据(iFinD公式)'!$B66:$Y66/'实盘净值数据(iFinD公式)'!$B$20:$Y$20)*(1-实盘持仓配置!$AM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O$18*SUMPRODUCT(分期持仓明细!$B$18:$Y$18,'实盘净值数据(iFinD公式)'!$B66:$Y66/'实盘净值数据(iFinD公式)'!$B$20:$Y$20)*(1-实盘持仓配置!$AM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O$19*SUMPRODUCT(分期持仓明细!$B$19:$Y$19,'实盘净值数据(iFinD公式)'!$B66:$Y66/'实盘净值数据(iFinD公式)'!$B$20:$Y$20)*(1-实盘持仓配置!$AM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O$23*(SUMPRODUCT(分期持仓明细!$B$23:$Y$23,'实盘净值数据(iFinD公式)'!$B66:$Y66/'实盘净值数据(iFinD公式)'!$B$65:$Y$65)+SUMPRODUCT(分期持仓明细!$Z$23:$AA$23,'实盘净值数据(iFinD公式)'!$Z66:$AA66/'实盘净值数据(iFinD公式)'!$Z$65:$AA$65))*(1-实盘持仓配置!$AM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O$24*(SUMPRODUCT(分期持仓明细!$B$24:$Y$24,'实盘净值数据(iFinD公式)'!$B66:$Y66/'实盘净值数据(iFinD公式)'!$B$65:$Y$65)+SUMPRODUCT(分期持仓明细!$Z$24:$AA$24,'实盘净值数据(iFinD公式)'!$Z66:$AA66/'实盘净值数据(iFinD公式)'!$Z$65:$AA$65))*(1-实盘持仓配置!$AM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O$25*(SUMPRODUCT(分期持仓明细!$B$25:$Y$25,'实盘净值数据(iFinD公式)'!$B66:$Y66/'实盘净值数据(iFinD公式)'!$B$65:$Y$65)+SUMPRODUCT(分期持仓明细!$Z$25:$AA$25,'实盘净值数据(iFinD公式)'!$Z66:$AA66/'实盘净值数据(iFinD公式)'!$Z$65:$AA$65))*(1-实盘持仓配置!$AM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O$17*SUMPRODUCT(分期持仓明细!$B$17:$Y$17,'实盘净值数据(iFinD公式)'!$B67:$Y67/'实盘净值数据(iFinD公式)'!$B$20:$Y$20)*(1-实盘持仓配置!$AM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O$18*SUMPRODUCT(分期持仓明细!$B$18:$Y$18,'实盘净值数据(iFinD公式)'!$B67:$Y67/'实盘净值数据(iFinD公式)'!$B$20:$Y$20)*(1-实盘持仓配置!$AM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O$19*SUMPRODUCT(分期持仓明细!$B$19:$Y$19,'实盘净值数据(iFinD公式)'!$B67:$Y67/'实盘净值数据(iFinD公式)'!$B$20:$Y$20)*(1-实盘持仓配置!$AM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O$23*(SUMPRODUCT(分期持仓明细!$B$23:$Y$23,'实盘净值数据(iFinD公式)'!$B67:$Y67/'实盘净值数据(iFinD公式)'!$B$65:$Y$65)+SUMPRODUCT(分期持仓明细!$Z$23:$AA$23,'实盘净值数据(iFinD公式)'!$Z67:$AA67/'实盘净值数据(iFinD公式)'!$Z$65:$AA$65))*(1-实盘持仓配置!$AM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O$24*(SUMPRODUCT(分期持仓明细!$B$24:$Y$24,'实盘净值数据(iFinD公式)'!$B67:$Y67/'实盘净值数据(iFinD公式)'!$B$65:$Y$65)+SUMPRODUCT(分期持仓明细!$Z$24:$AA$24,'实盘净值数据(iFinD公式)'!$Z67:$AA67/'实盘净值数据(iFinD公式)'!$Z$65:$AA$65))*(1-实盘持仓配置!$AM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O$25*(SUMPRODUCT(分期持仓明细!$B$25:$Y$25,'实盘净值数据(iFinD公式)'!$B67:$Y67/'实盘净值数据(iFinD公式)'!$B$65:$Y$65)+SUMPRODUCT(分期持仓明细!$Z$25:$AA$25,'实盘净值数据(iFinD公式)'!$Z67:$AA67/'实盘净值数据(iFinD公式)'!$Z$65:$AA$65))*(1-实盘持仓配置!$AM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O$17*SUMPRODUCT(分期持仓明细!$B$17:$Y$17,'实盘净值数据(iFinD公式)'!$B68:$Y68/'实盘净值数据(iFinD公式)'!$B$20:$Y$20)*(1-实盘持仓配置!$AM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O$18*SUMPRODUCT(分期持仓明细!$B$18:$Y$18,'实盘净值数据(iFinD公式)'!$B68:$Y68/'实盘净值数据(iFinD公式)'!$B$20:$Y$20)*(1-实盘持仓配置!$AM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O$19*SUMPRODUCT(分期持仓明细!$B$19:$Y$19,'实盘净值数据(iFinD公式)'!$B68:$Y68/'实盘净值数据(iFinD公式)'!$B$20:$Y$20)*(1-实盘持仓配置!$AM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O$23*(SUMPRODUCT(分期持仓明细!$B$23:$Y$23,'实盘净值数据(iFinD公式)'!$B68:$Y68/'实盘净值数据(iFinD公式)'!$B$65:$Y$65)+SUMPRODUCT(分期持仓明细!$Z$23:$AA$23,'实盘净值数据(iFinD公式)'!$Z68:$AA68/'实盘净值数据(iFinD公式)'!$Z$65:$AA$65))*(1-实盘持仓配置!$AM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O$24*(SUMPRODUCT(分期持仓明细!$B$24:$Y$24,'实盘净值数据(iFinD公式)'!$B68:$Y68/'实盘净值数据(iFinD公式)'!$B$65:$Y$65)+SUMPRODUCT(分期持仓明细!$Z$24:$AA$24,'实盘净值数据(iFinD公式)'!$Z68:$AA68/'实盘净值数据(iFinD公式)'!$Z$65:$AA$65))*(1-实盘持仓配置!$AM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O$25*(SUMPRODUCT(分期持仓明细!$B$25:$Y$25,'实盘净值数据(iFinD公式)'!$B68:$Y68/'实盘净值数据(iFinD公式)'!$B$65:$Y$65)+SUMPRODUCT(分期持仓明细!$Z$25:$AA$25,'实盘净值数据(iFinD公式)'!$Z68:$AA68/'实盘净值数据(iFinD公式)'!$Z$65:$AA$65))*(1-实盘持仓配置!$AM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225"/>
      <c r="U68" s="226"/>
      <c r="V68" s="226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O$17*SUMPRODUCT(分期持仓明细!$B$17:$Y$17,'实盘净值数据(iFinD公式)'!$B69:$Y69/'实盘净值数据(iFinD公式)'!$B$20:$Y$20)*(1-实盘持仓配置!$AM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O$18*SUMPRODUCT(分期持仓明细!$B$18:$Y$18,'实盘净值数据(iFinD公式)'!$B69:$Y69/'实盘净值数据(iFinD公式)'!$B$20:$Y$20)*(1-实盘持仓配置!$AM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O$19*SUMPRODUCT(分期持仓明细!$B$19:$Y$19,'实盘净值数据(iFinD公式)'!$B69:$Y69/'实盘净值数据(iFinD公式)'!$B$20:$Y$20)*(1-实盘持仓配置!$AM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O$23*(SUMPRODUCT(分期持仓明细!$B$23:$Y$23,'实盘净值数据(iFinD公式)'!$B69:$Y69/'实盘净值数据(iFinD公式)'!$B$65:$Y$65)+SUMPRODUCT(分期持仓明细!$Z$23:$AA$23,'实盘净值数据(iFinD公式)'!$Z69:$AA69/'实盘净值数据(iFinD公式)'!$Z$65:$AA$65))*(1-实盘持仓配置!$AM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O$24*(SUMPRODUCT(分期持仓明细!$B$24:$Y$24,'实盘净值数据(iFinD公式)'!$B69:$Y69/'实盘净值数据(iFinD公式)'!$B$65:$Y$65)+SUMPRODUCT(分期持仓明细!$Z$24:$AA$24,'实盘净值数据(iFinD公式)'!$Z69:$AA69/'实盘净值数据(iFinD公式)'!$Z$65:$AA$65))*(1-实盘持仓配置!$AM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O$25*(SUMPRODUCT(分期持仓明细!$B$25:$Y$25,'实盘净值数据(iFinD公式)'!$B69:$Y69/'实盘净值数据(iFinD公式)'!$B$65:$Y$65)+SUMPRODUCT(分期持仓明细!$Z$25:$AA$25,'实盘净值数据(iFinD公式)'!$Z69:$AA69/'实盘净值数据(iFinD公式)'!$Z$65:$AA$65))*(1-实盘持仓配置!$AM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 t="str">
        <f t="shared" ref="U69:U100" si="12">IF(OR(T68="",T69=""),"",T69/T68-1)</f>
        <v/>
      </c>
      <c r="V69" s="16">
        <f>IF(T69="","",T69/MAX(T$5:T69)-1)</f>
        <v>0</v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O$17*SUMPRODUCT(分期持仓明细!$B$17:$Y$17,'实盘净值数据(iFinD公式)'!$B70:$Y70/'实盘净值数据(iFinD公式)'!$B$20:$Y$20)*(1-实盘持仓配置!$AM$4)^(('实盘净值数据(iFinD公式)'!$A70-'实盘净值数据(iFinD公式)'!$A$6)/365))</f>
        <v>0.8580285234359244</v>
      </c>
      <c r="C70" s="16">
        <f t="shared" ref="C70:C133" si="13">IF(OR(B69="",B70=""),"",B70/B69-1)</f>
        <v>2.9162749108795571E-2</v>
      </c>
      <c r="D70" s="16">
        <f>IF(B70="","",B70/MAX(B$5:B70)-1)</f>
        <v>-0.20172099318938397</v>
      </c>
      <c r="E70" s="13">
        <f>IF(OR('实盘净值数据(iFinD公式)'!$A70="",'实盘净值数据(iFinD公式)'!$B70=""),"",分期持仓明细!$AO$18*SUMPRODUCT(分期持仓明细!$B$18:$Y$18,'实盘净值数据(iFinD公式)'!$B70:$Y70/'实盘净值数据(iFinD公式)'!$B$20:$Y$20)*(1-实盘持仓配置!$AM$5)^(('实盘净值数据(iFinD公式)'!$A70-'实盘净值数据(iFinD公式)'!$A$5)/365))</f>
        <v>0.87831302693431956</v>
      </c>
      <c r="F70" s="16">
        <f t="shared" ref="F70:F133" si="14">IF(OR(E69="",E70=""),"",E70/E69-1)</f>
        <v>2.9180380280497076E-2</v>
      </c>
      <c r="G70" s="16">
        <f>IF(E70="","",E70/MAX(E$5:E70)-1)</f>
        <v>-0.20134256670020967</v>
      </c>
      <c r="H70" s="13">
        <f>IF(OR('实盘净值数据(iFinD公式)'!$A70="",'实盘净值数据(iFinD公式)'!$B70=""),"",分期持仓明细!$AO$19*SUMPRODUCT(分期持仓明细!$B$19:$Y$19,'实盘净值数据(iFinD公式)'!$B70:$Y70/'实盘净值数据(iFinD公式)'!$B$20:$Y$20)*(1-实盘持仓配置!$AM$6)^(('实盘净值数据(iFinD公式)'!$A70-'实盘净值数据(iFinD公式)'!$A$7)/365))</f>
        <v>0.86909518292519927</v>
      </c>
      <c r="I70" s="16">
        <f t="shared" ref="I70:I133" si="15">IF(OR(H69="",H70=""),"",H70/H69-1)</f>
        <v>3.0877830020086483E-2</v>
      </c>
      <c r="J70" s="16">
        <f>IF(H70="","",H70/MAX(H$5:H70)-1)</f>
        <v>-0.2182333826894729</v>
      </c>
      <c r="K70" s="13">
        <f>IF(OR('实盘净值数据(iFinD公式)'!$A70="",'实盘净值数据(iFinD公式)'!$B70="",'实盘净值数据(iFinD公式)'!$Z70="",'实盘净值数据(iFinD公式)'!$AA70=""),"",分期持仓明细!$AO$23*(SUMPRODUCT(分期持仓明细!$B$23:$Y$23,'实盘净值数据(iFinD公式)'!$B70:$Y70/'实盘净值数据(iFinD公式)'!$B$65:$Y$65)+SUMPRODUCT(分期持仓明细!$Z$23:$AA$23,'实盘净值数据(iFinD公式)'!$Z70:$AA70/'实盘净值数据(iFinD公式)'!$Z$65:$AA$65))*(1-实盘持仓配置!$AM$7)^(('实盘净值数据(iFinD公式)'!$A70-'实盘净值数据(iFinD公式)'!$A$8)/365))</f>
        <v>0.99564029457706782</v>
      </c>
      <c r="L70" s="16">
        <f t="shared" ref="L70:L133" si="16">IF(OR(K69="",K70=""),"",K70/K69-1)</f>
        <v>3.599776404123789E-3</v>
      </c>
      <c r="M70" s="16">
        <f>IF(K70="","",K70/MAX(K$5:K70)-1)</f>
        <v>-7.6068096220879289E-3</v>
      </c>
      <c r="N70" s="13">
        <f>IF(OR('实盘净值数据(iFinD公式)'!$A70="",'实盘净值数据(iFinD公式)'!$B70="",'实盘净值数据(iFinD公式)'!$Z70="",'实盘净值数据(iFinD公式)'!$AA70=""),"",分期持仓明细!$AO$24*(SUMPRODUCT(分期持仓明细!$B$24:$Y$24,'实盘净值数据(iFinD公式)'!$B70:$Y70/'实盘净值数据(iFinD公式)'!$B$65:$Y$65)+SUMPRODUCT(分期持仓明细!$Z$24:$AA$24,'实盘净值数据(iFinD公式)'!$Z70:$AA70/'实盘净值数据(iFinD公式)'!$Z$65:$AA$65))*(1-实盘持仓配置!$AM$8)^(('实盘净值数据(iFinD公式)'!$A70-'实盘净值数据(iFinD公式)'!$A$5)/365))</f>
        <v>0.99657917386980865</v>
      </c>
      <c r="O70" s="16">
        <f t="shared" ref="O70:O133" si="17">IF(OR(N69="",N70=""),"",N70/N69-1)</f>
        <v>3.5999480938782025E-3</v>
      </c>
      <c r="P70" s="16">
        <f>IF(N70="","",N70/MAX(N$5:N70)-1)</f>
        <v>-6.1143944130481742E-3</v>
      </c>
      <c r="Q70" s="13">
        <f>IF(OR('实盘净值数据(iFinD公式)'!$A70="",'实盘净值数据(iFinD公式)'!$B70="",'实盘净值数据(iFinD公式)'!$Z70="",'实盘净值数据(iFinD公式)'!$AA70=""),"",分期持仓明细!$AO$25*(SUMPRODUCT(分期持仓明细!$B$25:$Y$25,'实盘净值数据(iFinD公式)'!$B70:$Y70/'实盘净值数据(iFinD公式)'!$B$65:$Y$65)+SUMPRODUCT(分期持仓明细!$Z$25:$AA$25,'实盘净值数据(iFinD公式)'!$Z70:$AA70/'实盘净值数据(iFinD公式)'!$Z$65:$AA$65))*(1-实盘持仓配置!$AM$9)^(('实盘净值数据(iFinD公式)'!$A70-'实盘净值数据(iFinD公式)'!$A$8)/365))</f>
        <v>0.96971928915972971</v>
      </c>
      <c r="R70" s="16">
        <f t="shared" ref="R70:R133" si="18">IF(OR(Q69="",Q70=""),"",Q70/Q69-1)</f>
        <v>9.1806264968603557E-3</v>
      </c>
      <c r="S70" s="16">
        <f>IF(Q70="","",Q70/MAX(Q$5:Q70)-1)</f>
        <v>-3.8703467188347385E-2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Z$26:$AA$26,'实盘净值数据(iFinD公式)'!$Z70:$AA70/'实盘净值数据(iFinD公式)'!$Z$69:$AA$69)+SUMPRODUCT(分期持仓明细!$AB$26:$AL$26,'实盘净值数据(iFinD公式)'!$AB70:$AL70/'实盘净值数据(iFinD公式)'!$AB$69:$AL$69))*(1-实盘持仓配置!$AM$10)^(('实盘净值数据(iFinD公式)'!$A70-'实盘净值数据(iFinD公式)'!$A$69)/365))</f>
        <v>1.0028197191098192</v>
      </c>
      <c r="U70" s="16">
        <f t="shared" si="12"/>
        <v>2.8197191098191521E-3</v>
      </c>
      <c r="V70" s="16">
        <f>IF(T70="","",T70/MAX(T$5:T70)-1)</f>
        <v>0</v>
      </c>
    </row>
    <row r="71" spans="1:22">
      <c r="A71" s="15">
        <f>IF('实盘净值数据(iFinD公式)'!A71="","",'实盘净值数据(iFinD公式)'!A71)</f>
        <v>46286</v>
      </c>
      <c r="B71" s="13">
        <f>IF(OR('实盘净值数据(iFinD公式)'!$A71="",'实盘净值数据(iFinD公式)'!$B71=""),"",分期持仓明细!$AO$17*SUMPRODUCT(分期持仓明细!$B$17:$Y$17,'实盘净值数据(iFinD公式)'!$B71:$Y71/'实盘净值数据(iFinD公式)'!$B$20:$Y$20)*(1-实盘持仓配置!$AM$4)^(('实盘净值数据(iFinD公式)'!$A71-'实盘净值数据(iFinD公式)'!$A$6)/365))</f>
        <v>0.85764383509009423</v>
      </c>
      <c r="C71" s="16">
        <f t="shared" si="13"/>
        <v>-4.4833981076719542E-4</v>
      </c>
      <c r="D71" s="16">
        <f>IF(B71="","",B71/MAX(B$5:B71)-1)</f>
        <v>-0.20207889344823693</v>
      </c>
      <c r="E71" s="13">
        <f>IF(OR('实盘净值数据(iFinD公式)'!$A71="",'实盘净值数据(iFinD公式)'!$B71=""),"",分期持仓明细!$AO$18*SUMPRODUCT(分期持仓明细!$B$18:$Y$18,'实盘净值数据(iFinD公式)'!$B71:$Y71/'实盘净值数据(iFinD公式)'!$B$20:$Y$20)*(1-实盘持仓配置!$AM$5)^(('实盘净值数据(iFinD公式)'!$A71-'实盘净值数据(iFinD公式)'!$A$5)/365))</f>
        <v>0.87795480907096701</v>
      </c>
      <c r="F71" s="16">
        <f t="shared" si="14"/>
        <v>-4.0784760372147844E-4</v>
      </c>
      <c r="G71" s="16">
        <f>IF(E71="","",E71/MAX(E$5:E71)-1)</f>
        <v>-0.20166829722057544</v>
      </c>
      <c r="H71" s="13">
        <f>IF(OR('实盘净值数据(iFinD公式)'!$A71="",'实盘净值数据(iFinD公式)'!$B71=""),"",分期持仓明细!$AO$19*SUMPRODUCT(分期持仓明细!$B$19:$Y$19,'实盘净值数据(iFinD公式)'!$B71:$Y71/'实盘净值数据(iFinD公式)'!$B$20:$Y$20)*(1-实盘持仓配置!$AM$6)^(('实盘净值数据(iFinD公式)'!$A71-'实盘净值数据(iFinD公式)'!$A$7)/365))</f>
        <v>0.86863658068922478</v>
      </c>
      <c r="I71" s="16">
        <f t="shared" si="15"/>
        <v>-5.276778021378048E-4</v>
      </c>
      <c r="J71" s="16">
        <f>IF(H71="","",H71/MAX(H$5:H71)-1)</f>
        <v>-0.21864590357988001</v>
      </c>
      <c r="K71" s="13">
        <f>IF(OR('实盘净值数据(iFinD公式)'!$A71="",'实盘净值数据(iFinD公式)'!$B71="",'实盘净值数据(iFinD公式)'!$Z71="",'实盘净值数据(iFinD公式)'!$AA71=""),"",分期持仓明细!$AO$23*(SUMPRODUCT(分期持仓明细!$B$23:$Y$23,'实盘净值数据(iFinD公式)'!$B71:$Y71/'实盘净值数据(iFinD公式)'!$B$65:$Y$65)+SUMPRODUCT(分期持仓明细!$Z$23:$AA$23,'实盘净值数据(iFinD公式)'!$Z71:$AA71/'实盘净值数据(iFinD公式)'!$Z$65:$AA$65))*(1-实盘持仓配置!$AM$7)^(('实盘净值数据(iFinD公式)'!$A71-'实盘净值数据(iFinD公式)'!$A$8)/365))</f>
        <v>0.99605292923285249</v>
      </c>
      <c r="L71" s="16">
        <f t="shared" si="16"/>
        <v>4.1444149863378854E-4</v>
      </c>
      <c r="M71" s="16">
        <f>IF(K71="","",K71/MAX(K$5:K71)-1)</f>
        <v>-7.1955207010337974E-3</v>
      </c>
      <c r="N71" s="13">
        <f>IF(OR('实盘净值数据(iFinD公式)'!$A71="",'实盘净值数据(iFinD公式)'!$B71="",'实盘净值数据(iFinD公式)'!$Z71="",'实盘净值数据(iFinD公式)'!$AA71=""),"",分期持仓明细!$AO$24*(SUMPRODUCT(分期持仓明细!$B$24:$Y$24,'实盘净值数据(iFinD公式)'!$B71:$Y71/'实盘净值数据(iFinD公式)'!$B$65:$Y$65)+SUMPRODUCT(分期持仓明细!$Z$24:$AA$24,'实盘净值数据(iFinD公式)'!$Z71:$AA71/'实盘净值数据(iFinD公式)'!$Z$65:$AA$65))*(1-实盘持仓配置!$AM$8)^(('实盘净值数据(iFinD公式)'!$A71-'实盘净值数据(iFinD公式)'!$A$5)/365))</f>
        <v>0.99696346679824355</v>
      </c>
      <c r="O71" s="16">
        <f t="shared" si="17"/>
        <v>3.856120401779517E-4</v>
      </c>
      <c r="P71" s="16">
        <f>IF(N71="","",N71/MAX(N$5:N71)-1)</f>
        <v>-5.7311401569741793E-3</v>
      </c>
      <c r="Q71" s="13">
        <f>IF(OR('实盘净值数据(iFinD公式)'!$A71="",'实盘净值数据(iFinD公式)'!$B71="",'实盘净值数据(iFinD公式)'!$Z71="",'实盘净值数据(iFinD公式)'!$AA71=""),"",分期持仓明细!$AO$25*(SUMPRODUCT(分期持仓明细!$B$25:$Y$25,'实盘净值数据(iFinD公式)'!$B71:$Y71/'实盘净值数据(iFinD公式)'!$B$65:$Y$65)+SUMPRODUCT(分期持仓明细!$Z$25:$AA$25,'实盘净值数据(iFinD公式)'!$Z71:$AA71/'实盘净值数据(iFinD公式)'!$Z$65:$AA$65))*(1-实盘持仓配置!$AM$9)^(('实盘净值数据(iFinD公式)'!$A71-'实盘净值数据(iFinD公式)'!$A$8)/365))</f>
        <v>0.97058693117180483</v>
      </c>
      <c r="R71" s="16">
        <f t="shared" si="18"/>
        <v>8.9473523087990614E-4</v>
      </c>
      <c r="S71" s="16">
        <f>IF(Q71="","",Q71/MAX(Q$5:Q71)-1)</f>
        <v>-3.7843361313118051E-2</v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Z$26:$AA$26,'实盘净值数据(iFinD公式)'!$Z71:$AA71/'实盘净值数据(iFinD公式)'!$Z$69:$AA$69)+SUMPRODUCT(分期持仓明细!$AB$26:$AL$26,'实盘净值数据(iFinD公式)'!$AB71:$AL71/'实盘净值数据(iFinD公式)'!$AB$69:$AL$69))*(1-实盘持仓配置!$AM$10)^(('实盘净值数据(iFinD公式)'!$A71-'实盘净值数据(iFinD公式)'!$A$69)/365))</f>
        <v>1.0039615484163595</v>
      </c>
      <c r="U71" s="16">
        <f t="shared" si="12"/>
        <v>1.1386187215722821E-3</v>
      </c>
      <c r="V71" s="16">
        <f>IF(T71="","",T71/MAX(T$5:T71)-1)</f>
        <v>0</v>
      </c>
    </row>
    <row r="72" spans="1:22">
      <c r="A72" s="15">
        <f>IF('实盘净值数据(iFinD公式)'!A72="","",'实盘净值数据(iFinD公式)'!A72)</f>
        <v>46287</v>
      </c>
      <c r="B72" s="13">
        <f>IF(OR('实盘净值数据(iFinD公式)'!$A72="",'实盘净值数据(iFinD公式)'!$B72=""),"",分期持仓明细!$AO$17*SUMPRODUCT(分期持仓明细!$B$17:$Y$17,'实盘净值数据(iFinD公式)'!$B72:$Y72/'实盘净值数据(iFinD公式)'!$B$20:$Y$20)*(1-实盘持仓配置!$AM$4)^(('实盘净值数据(iFinD公式)'!$A72-'实盘净值数据(iFinD公式)'!$A$6)/365))</f>
        <v>0.84824868544149001</v>
      </c>
      <c r="C72" s="16">
        <f t="shared" si="13"/>
        <v>-1.0954605238452264E-2</v>
      </c>
      <c r="D72" s="16">
        <f>IF(B72="","",B72/MAX(B$5:B72)-1)</f>
        <v>-0.21081980418194046</v>
      </c>
      <c r="E72" s="13">
        <f>IF(OR('实盘净值数据(iFinD公式)'!$A72="",'实盘净值数据(iFinD公式)'!$B72=""),"",分期持仓明细!$AO$18*SUMPRODUCT(分期持仓明细!$B$18:$Y$18,'实盘净值数据(iFinD公式)'!$B72:$Y72/'实盘净值数据(iFinD公式)'!$B$20:$Y$20)*(1-实盘持仓配置!$AM$5)^(('实盘净值数据(iFinD公式)'!$A72-'实盘净值数据(iFinD公式)'!$A$5)/365))</f>
        <v>0.86833244027466672</v>
      </c>
      <c r="F72" s="16">
        <f t="shared" si="14"/>
        <v>-1.0959981877065483E-2</v>
      </c>
      <c r="G72" s="16">
        <f>IF(E72="","",E72/MAX(E$5:E72)-1)</f>
        <v>-0.2104179982149248</v>
      </c>
      <c r="H72" s="13">
        <f>IF(OR('实盘净值数据(iFinD公式)'!$A72="",'实盘净值数据(iFinD公式)'!$B72=""),"",分期持仓明细!$AO$19*SUMPRODUCT(分期持仓明细!$B$19:$Y$19,'实盘净值数据(iFinD公式)'!$B72:$Y72/'实盘净值数据(iFinD公式)'!$B$20:$Y$20)*(1-实盘持仓配置!$AM$6)^(('实盘净值数据(iFinD公式)'!$A72-'实盘净值数据(iFinD公式)'!$A$7)/365))</f>
        <v>0.86059487461776318</v>
      </c>
      <c r="I72" s="16">
        <f t="shared" si="15"/>
        <v>-9.2578487370182927E-3</v>
      </c>
      <c r="J72" s="16">
        <f>IF(H72="","",H72/MAX(H$5:H72)-1)</f>
        <v>-0.22587956161458711</v>
      </c>
      <c r="K72" s="13">
        <f>IF(OR('实盘净值数据(iFinD公式)'!$A72="",'实盘净值数据(iFinD公式)'!$B72="",'实盘净值数据(iFinD公式)'!$Z72="",'实盘净值数据(iFinD公式)'!$AA72=""),"",分期持仓明细!$AO$23*(SUMPRODUCT(分期持仓明细!$B$23:$Y$23,'实盘净值数据(iFinD公式)'!$B72:$Y72/'实盘净值数据(iFinD公式)'!$B$65:$Y$65)+SUMPRODUCT(分期持仓明细!$Z$23:$AA$23,'实盘净值数据(iFinD公式)'!$Z72:$AA72/'实盘净值数据(iFinD公式)'!$Z$65:$AA$65))*(1-实盘持仓配置!$AM$7)^(('实盘净值数据(iFinD公式)'!$A72-'实盘净值数据(iFinD公式)'!$A$8)/365))</f>
        <v>0.99556490786349316</v>
      </c>
      <c r="L72" s="16">
        <f t="shared" si="16"/>
        <v>-4.8995525743311674E-4</v>
      </c>
      <c r="M72" s="16">
        <f>IF(K72="","",K72/MAX(K$5:K72)-1)</f>
        <v>-7.6819504752695389E-3</v>
      </c>
      <c r="N72" s="13">
        <f>IF(OR('实盘净值数据(iFinD公式)'!$A72="",'实盘净值数据(iFinD公式)'!$B72="",'实盘净值数据(iFinD公式)'!$Z72="",'实盘净值数据(iFinD公式)'!$AA72=""),"",分期持仓明细!$AO$24*(SUMPRODUCT(分期持仓明细!$B$24:$Y$24,'实盘净值数据(iFinD公式)'!$B72:$Y72/'实盘净值数据(iFinD公式)'!$B$65:$Y$65)+SUMPRODUCT(分期持仓明细!$Z$24:$AA$24,'实盘净值数据(iFinD公式)'!$Z72:$AA72/'实盘净值数据(iFinD公式)'!$Z$65:$AA$65))*(1-实盘持仓配置!$AM$8)^(('实盘净值数据(iFinD公式)'!$A72-'实盘净值数据(iFinD公式)'!$A$5)/365))</f>
        <v>0.99637448926500849</v>
      </c>
      <c r="O72" s="16">
        <f t="shared" si="17"/>
        <v>-5.9077143029784285E-4</v>
      </c>
      <c r="P72" s="16">
        <f>IF(N72="","",N72/MAX(N$5:N72)-1)</f>
        <v>-6.318525793404195E-3</v>
      </c>
      <c r="Q72" s="13">
        <f>IF(OR('实盘净值数据(iFinD公式)'!$A72="",'实盘净值数据(iFinD公式)'!$B72="",'实盘净值数据(iFinD公式)'!$Z72="",'实盘净值数据(iFinD公式)'!$AA72=""),"",分期持仓明细!$AO$25*(SUMPRODUCT(分期持仓明细!$B$25:$Y$25,'实盘净值数据(iFinD公式)'!$B72:$Y72/'实盘净值数据(iFinD公式)'!$B$65:$Y$65)+SUMPRODUCT(分期持仓明细!$Z$25:$AA$25,'实盘净值数据(iFinD公式)'!$Z72:$AA72/'实盘净值数据(iFinD公式)'!$Z$65:$AA$65))*(1-实盘持仓配置!$AM$9)^(('实盘净值数据(iFinD公式)'!$A72-'实盘净值数据(iFinD公式)'!$A$8)/365))</f>
        <v>0.96860588807840453</v>
      </c>
      <c r="R72" s="16">
        <f t="shared" si="18"/>
        <v>-2.0410774447668922E-3</v>
      </c>
      <c r="S72" s="16">
        <f>IF(Q72="","",Q72/MAX(Q$5:Q72)-1)</f>
        <v>-3.9807197526674609E-2</v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Z$26:$AA$26,'实盘净值数据(iFinD公式)'!$Z72:$AA72/'实盘净值数据(iFinD公式)'!$Z$69:$AA$69)+SUMPRODUCT(分期持仓明细!$AB$26:$AL$26,'实盘净值数据(iFinD公式)'!$AB72:$AL72/'实盘净值数据(iFinD公式)'!$AB$69:$AL$69))*(1-实盘持仓配置!$AM$10)^(('实盘净值数据(iFinD公式)'!$A72-'实盘净值数据(iFinD公式)'!$A$69)/365))</f>
        <v>1.0039107737504707</v>
      </c>
      <c r="U72" s="16">
        <f t="shared" si="12"/>
        <v>-5.057431329813511E-5</v>
      </c>
      <c r="V72" s="16">
        <f>IF(T72="","",T72/MAX(T$5:T72)-1)</f>
        <v>-5.057431329813511E-5</v>
      </c>
    </row>
    <row r="73" spans="1:22">
      <c r="A73" s="15">
        <f>IF('实盘净值数据(iFinD公式)'!A73="","",'实盘净值数据(iFinD公式)'!A73)</f>
        <v>46288</v>
      </c>
      <c r="B73" s="13">
        <f>IF(OR('实盘净值数据(iFinD公式)'!$A73="",'实盘净值数据(iFinD公式)'!$B73=""),"",分期持仓明细!$AO$17*SUMPRODUCT(分期持仓明细!$B$17:$Y$17,'实盘净值数据(iFinD公式)'!$B73:$Y73/'实盘净值数据(iFinD公式)'!$B$20:$Y$20)*(1-实盘持仓配置!$AM$4)^(('实盘净值数据(iFinD公式)'!$A73-'实盘净值数据(iFinD公式)'!$A$6)/365))</f>
        <v>0.84768811171480274</v>
      </c>
      <c r="C73" s="16">
        <f t="shared" si="13"/>
        <v>-6.6086011839261438E-4</v>
      </c>
      <c r="D73" s="16">
        <f>IF(B73="","",B73/MAX(B$5:B73)-1)</f>
        <v>-0.21134134189958198</v>
      </c>
      <c r="E73" s="13">
        <f>IF(OR('实盘净值数据(iFinD公式)'!$A73="",'实盘净值数据(iFinD公式)'!$B73=""),"",分期持仓明细!$AO$18*SUMPRODUCT(分期持仓明细!$B$18:$Y$18,'实盘净值数据(iFinD公式)'!$B73:$Y73/'实盘净值数据(iFinD公式)'!$B$20:$Y$20)*(1-实盘持仓配置!$AM$5)^(('实盘净值数据(iFinD公式)'!$A73-'实盘净值数据(iFinD公式)'!$A$5)/365))</f>
        <v>0.86776578073524202</v>
      </c>
      <c r="F73" s="16">
        <f t="shared" si="14"/>
        <v>-6.525836340347535E-4</v>
      </c>
      <c r="G73" s="16">
        <f>IF(E73="","",E73/MAX(E$5:E73)-1)</f>
        <v>-0.21093326650701805</v>
      </c>
      <c r="H73" s="13">
        <f>IF(OR('实盘净值数据(iFinD公式)'!$A73="",'实盘净值数据(iFinD公式)'!$B73=""),"",分期持仓明细!$AO$19*SUMPRODUCT(分期持仓明细!$B$19:$Y$19,'实盘净值数据(iFinD公式)'!$B73:$Y73/'实盘净值数据(iFinD公式)'!$B$20:$Y$20)*(1-实盘持仓配置!$AM$6)^(('实盘净值数据(iFinD公式)'!$A73-'实盘净值数据(iFinD公式)'!$A$7)/365))</f>
        <v>0.86034575013600456</v>
      </c>
      <c r="I73" s="16">
        <f t="shared" si="15"/>
        <v>-2.8947939280865587E-4</v>
      </c>
      <c r="J73" s="16">
        <f>IF(H73="","",H73/MAX(H$5:H73)-1)</f>
        <v>-0.22610365352905171</v>
      </c>
      <c r="K73" s="13">
        <f>IF(OR('实盘净值数据(iFinD公式)'!$A73="",'实盘净值数据(iFinD公式)'!$B73="",'实盘净值数据(iFinD公式)'!$Z73="",'实盘净值数据(iFinD公式)'!$AA73=""),"",分期持仓明细!$AO$23*(SUMPRODUCT(分期持仓明细!$B$23:$Y$23,'实盘净值数据(iFinD公式)'!$B73:$Y73/'实盘净值数据(iFinD公式)'!$B$65:$Y$65)+SUMPRODUCT(分期持仓明细!$Z$23:$AA$23,'实盘净值数据(iFinD公式)'!$Z73:$AA73/'实盘净值数据(iFinD公式)'!$Z$65:$AA$65))*(1-实盘持仓配置!$AM$7)^(('实盘净值数据(iFinD公式)'!$A73-'实盘净值数据(iFinD公式)'!$A$8)/365))</f>
        <v>0.99552260569273965</v>
      </c>
      <c r="L73" s="16">
        <f t="shared" si="16"/>
        <v>-4.2490620570712068E-5</v>
      </c>
      <c r="M73" s="16">
        <f>IF(K73="","",K73/MAX(K$5:K73)-1)</f>
        <v>-7.7241146849973408E-3</v>
      </c>
      <c r="N73" s="13">
        <f>IF(OR('实盘净值数据(iFinD公式)'!$A73="",'实盘净值数据(iFinD公式)'!$B73="",'实盘净值数据(iFinD公式)'!$Z73="",'实盘净值数据(iFinD公式)'!$AA73=""),"",分期持仓明细!$AO$24*(SUMPRODUCT(分期持仓明细!$B$24:$Y$24,'实盘净值数据(iFinD公式)'!$B73:$Y73/'实盘净值数据(iFinD公式)'!$B$65:$Y$65)+SUMPRODUCT(分期持仓明细!$Z$24:$AA$24,'实盘净值数据(iFinD公式)'!$Z73:$AA73/'实盘净值数据(iFinD公式)'!$Z$65:$AA$65))*(1-实盘持仓配置!$AM$8)^(('实盘净值数据(iFinD公式)'!$A73-'实盘净值数据(iFinD公式)'!$A$5)/365))</f>
        <v>0.99633703836320309</v>
      </c>
      <c r="O73" s="16">
        <f t="shared" si="17"/>
        <v>-3.7587174510078647E-5</v>
      </c>
      <c r="P73" s="16">
        <f>IF(N73="","",N73/MAX(N$5:N73)-1)</f>
        <v>-6.3558754723825883E-3</v>
      </c>
      <c r="Q73" s="13">
        <f>IF(OR('实盘净值数据(iFinD公式)'!$A73="",'实盘净值数据(iFinD公式)'!$B73="",'实盘净值数据(iFinD公式)'!$Z73="",'实盘净值数据(iFinD公式)'!$AA73=""),"",分期持仓明细!$AO$25*(SUMPRODUCT(分期持仓明细!$B$25:$Y$25,'实盘净值数据(iFinD公式)'!$B73:$Y73/'实盘净值数据(iFinD公式)'!$B$65:$Y$65)+SUMPRODUCT(分期持仓明细!$Z$25:$AA$25,'实盘净值数据(iFinD公式)'!$Z73:$AA73/'实盘净值数据(iFinD公式)'!$Z$65:$AA$65))*(1-实盘持仓配置!$AM$9)^(('实盘净值数据(iFinD公式)'!$A73-'实盘净值数据(iFinD公式)'!$A$8)/365))</f>
        <v>0.96829912943841101</v>
      </c>
      <c r="R73" s="16">
        <f t="shared" si="18"/>
        <v>-3.1670119268234487E-4</v>
      </c>
      <c r="S73" s="16">
        <f>IF(Q73="","",Q73/MAX(Q$5:Q73)-1)</f>
        <v>-4.0111291732422893E-2</v>
      </c>
      <c r="T73" s="13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Z$26:$AA$26,'实盘净值数据(iFinD公式)'!$Z73:$AA73/'实盘净值数据(iFinD公式)'!$Z$69:$AA$69)+SUMPRODUCT(分期持仓明细!$AB$26:$AL$26,'实盘净值数据(iFinD公式)'!$AB73:$AL73/'实盘净值数据(iFinD公式)'!$AB$69:$AL$69))*(1-实盘持仓配置!$AM$10)^(('实盘净值数据(iFinD公式)'!$A73-'实盘净值数据(iFinD公式)'!$A$69)/365))</f>
        <v>1.0035343018839322</v>
      </c>
      <c r="U73" s="16">
        <f t="shared" si="12"/>
        <v>-3.7500530563283618E-4</v>
      </c>
      <c r="V73" s="16">
        <f>IF(T73="","",T73/MAX(T$5:T73)-1)</f>
        <v>-4.2556065329524273E-4</v>
      </c>
    </row>
    <row r="74" spans="1:22">
      <c r="A74" s="15">
        <f>IF('实盘净值数据(iFinD公式)'!A74="","",'实盘净值数据(iFinD公式)'!A74)</f>
        <v>46289</v>
      </c>
      <c r="B74" s="13">
        <f>IF(OR('实盘净值数据(iFinD公式)'!$A74="",'实盘净值数据(iFinD公式)'!$B74=""),"",分期持仓明细!$AO$17*SUMPRODUCT(分期持仓明细!$B$17:$Y$17,'实盘净值数据(iFinD公式)'!$B74:$Y74/'实盘净值数据(iFinD公式)'!$B$20:$Y$20)*(1-实盘持仓配置!$AM$4)^(('实盘净值数据(iFinD公式)'!$A74-'实盘净值数据(iFinD公式)'!$A$6)/365))</f>
        <v>0.82538728009305617</v>
      </c>
      <c r="C74" s="16">
        <f t="shared" si="13"/>
        <v>-2.6307826326163575E-2</v>
      </c>
      <c r="D74" s="16">
        <f>IF(B74="","",B74/MAX(B$5:B74)-1)</f>
        <v>-0.23208923690751293</v>
      </c>
      <c r="E74" s="13">
        <f>IF(OR('实盘净值数据(iFinD公式)'!$A74="",'实盘净值数据(iFinD公式)'!$B74=""),"",分期持仓明细!$AO$18*SUMPRODUCT(分期持仓明细!$B$18:$Y$18,'实盘净值数据(iFinD公式)'!$B74:$Y74/'实盘净值数据(iFinD公式)'!$B$20:$Y$20)*(1-实盘持仓配置!$AM$5)^(('实盘净值数据(iFinD公式)'!$A74-'实盘净值数据(iFinD公式)'!$A$5)/365))</f>
        <v>0.84490811776117003</v>
      </c>
      <c r="F74" s="16">
        <f t="shared" si="14"/>
        <v>-2.6340820854568792E-2</v>
      </c>
      <c r="G74" s="16">
        <f>IF(E74="","",E74/MAX(E$5:E74)-1)</f>
        <v>-0.23171793197625645</v>
      </c>
      <c r="H74" s="13">
        <f>IF(OR('实盘净值数据(iFinD公式)'!$A74="",'实盘净值数据(iFinD公式)'!$B74=""),"",分期持仓明细!$AO$19*SUMPRODUCT(分期持仓明细!$B$19:$Y$19,'实盘净值数据(iFinD公式)'!$B74:$Y74/'实盘净值数据(iFinD公式)'!$B$20:$Y$20)*(1-实盘持仓配置!$AM$6)^(('实盘净值数据(iFinD公式)'!$A74-'实盘净值数据(iFinD公式)'!$A$7)/365))</f>
        <v>0.83746582349789678</v>
      </c>
      <c r="I74" s="16">
        <f t="shared" si="15"/>
        <v>-2.6593874188941991E-2</v>
      </c>
      <c r="J74" s="16">
        <f>IF(H74="","",H74/MAX(H$5:H74)-1)</f>
        <v>-0.24668455560238189</v>
      </c>
      <c r="K74" s="13">
        <f>IF(OR('实盘净值数据(iFinD公式)'!$A74="",'实盘净值数据(iFinD公式)'!$B74="",'实盘净值数据(iFinD公式)'!$Z74="",'实盘净值数据(iFinD公式)'!$AA74=""),"",分期持仓明细!$AO$23*(SUMPRODUCT(分期持仓明细!$B$23:$Y$23,'实盘净值数据(iFinD公式)'!$B74:$Y74/'实盘净值数据(iFinD公式)'!$B$65:$Y$65)+SUMPRODUCT(分期持仓明细!$Z$23:$AA$23,'实盘净值数据(iFinD公式)'!$Z74:$AA74/'实盘净值数据(iFinD公式)'!$Z$65:$AA$65))*(1-实盘持仓配置!$AM$7)^(('实盘净值数据(iFinD公式)'!$A74-'实盘净值数据(iFinD公式)'!$A$8)/365))</f>
        <v>0.99340803405582379</v>
      </c>
      <c r="L74" s="16">
        <f t="shared" si="16"/>
        <v>-2.1240819895239627E-3</v>
      </c>
      <c r="M74" s="16">
        <f>IF(K74="","",K74/MAX(K$5:K74)-1)</f>
        <v>-9.8317900216338128E-3</v>
      </c>
      <c r="N74" s="13">
        <f>IF(OR('实盘净值数据(iFinD公式)'!$A74="",'实盘净值数据(iFinD公式)'!$B74="",'实盘净值数据(iFinD公式)'!$Z74="",'实盘净值数据(iFinD公式)'!$AA74=""),"",分期持仓明细!$AO$24*(SUMPRODUCT(分期持仓明细!$B$24:$Y$24,'实盘净值数据(iFinD公式)'!$B74:$Y74/'实盘净值数据(iFinD公式)'!$B$65:$Y$65)+SUMPRODUCT(分期持仓明细!$Z$24:$AA$24,'实盘净值数据(iFinD公式)'!$Z74:$AA74/'实盘净值数据(iFinD公式)'!$Z$65:$AA$65))*(1-实盘持仓配置!$AM$8)^(('实盘净值数据(iFinD公式)'!$A74-'实盘净值数据(iFinD公式)'!$A$5)/365))</f>
        <v>0.99428114831930292</v>
      </c>
      <c r="O74" s="16">
        <f t="shared" si="17"/>
        <v>-2.0634483761414746E-3</v>
      </c>
      <c r="P74" s="16">
        <f>IF(N74="","",N74/MAX(N$5:N74)-1)</f>
        <v>-8.40620882760168E-3</v>
      </c>
      <c r="Q74" s="13">
        <f>IF(OR('实盘净值数据(iFinD公式)'!$A74="",'实盘净值数据(iFinD公式)'!$B74="",'实盘净值数据(iFinD公式)'!$Z74="",'实盘净值数据(iFinD公式)'!$AA74=""),"",分期持仓明细!$AO$25*(SUMPRODUCT(分期持仓明细!$B$25:$Y$25,'实盘净值数据(iFinD公式)'!$B74:$Y74/'实盘净值数据(iFinD公式)'!$B$65:$Y$65)+SUMPRODUCT(分期持仓明细!$Z$25:$AA$25,'实盘净值数据(iFinD公式)'!$Z74:$AA74/'实盘净值数据(iFinD公式)'!$Z$65:$AA$65))*(1-实盘持仓配置!$AM$9)^(('实盘净值数据(iFinD公式)'!$A74-'实盘净值数据(iFinD公式)'!$A$8)/365))</f>
        <v>0.96096484546171013</v>
      </c>
      <c r="R74" s="16">
        <f t="shared" si="18"/>
        <v>-7.5743990196031064E-3</v>
      </c>
      <c r="S74" s="16">
        <f>IF(Q74="","",Q74/MAX(Q$5:Q74)-1)</f>
        <v>-4.738187182325293E-2</v>
      </c>
      <c r="T74" s="13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Z$26:$AA$26,'实盘净值数据(iFinD公式)'!$Z74:$AA74/'实盘净值数据(iFinD公式)'!$Z$69:$AA$69)+SUMPRODUCT(分期持仓明细!$AB$26:$AL$26,'实盘净值数据(iFinD公式)'!$AB74:$AL74/'实盘净值数据(iFinD公式)'!$AB$69:$AL$69))*(1-实盘持仓配置!$AM$10)^(('实盘净值数据(iFinD公式)'!$A74-'实盘净值数据(iFinD公式)'!$A$69)/365))</f>
        <v>1.0016411400320431</v>
      </c>
      <c r="U74" s="16">
        <f t="shared" si="12"/>
        <v>-1.8864944111378623E-3</v>
      </c>
      <c r="V74" s="16">
        <f>IF(T74="","",T74/MAX(T$5:T74)-1)</f>
        <v>-2.3112522466389729E-3</v>
      </c>
    </row>
    <row r="75" spans="1:22">
      <c r="A75" s="15">
        <f>IF('实盘净值数据(iFinD公式)'!A75="","",'实盘净值数据(iFinD公式)'!A75)</f>
        <v>46293</v>
      </c>
      <c r="B75" s="13">
        <f>IF(OR('实盘净值数据(iFinD公式)'!$A75="",'实盘净值数据(iFinD公式)'!$B75=""),"",分期持仓明细!$AO$17*SUMPRODUCT(分期持仓明细!$B$17:$Y$17,'实盘净值数据(iFinD公式)'!$B75:$Y75/'实盘净值数据(iFinD公式)'!$B$20:$Y$20)*(1-实盘持仓配置!$AM$4)^(('实盘净值数据(iFinD公式)'!$A75-'实盘净值数据(iFinD公式)'!$A$6)/365))</f>
        <v>0.77983678575486437</v>
      </c>
      <c r="C75" s="16">
        <f t="shared" si="13"/>
        <v>-5.5186814040866117E-2</v>
      </c>
      <c r="D75" s="16">
        <f>IF(B75="","",B75/MAX(B$5:B75)-1)</f>
        <v>-0.27446778539027772</v>
      </c>
      <c r="E75" s="13">
        <f>IF(OR('实盘净值数据(iFinD公式)'!$A75="",'实盘净值数据(iFinD公式)'!$B75=""),"",分期持仓明细!$AO$18*SUMPRODUCT(分期持仓明细!$B$18:$Y$18,'实盘净值数据(iFinD公式)'!$B75:$Y75/'实盘净值数据(iFinD公式)'!$B$20:$Y$20)*(1-实盘持仓配置!$AM$5)^(('实盘净值数据(iFinD公式)'!$A75-'实盘净值数据(iFinD公式)'!$A$5)/365))</f>
        <v>0.79821565503418213</v>
      </c>
      <c r="F75" s="16">
        <f t="shared" si="14"/>
        <v>-5.5263361477355888E-2</v>
      </c>
      <c r="G75" s="16">
        <f>IF(E75="","",E75/MAX(E$5:E75)-1)</f>
        <v>-0.27417578161802314</v>
      </c>
      <c r="H75" s="13">
        <f>IF(OR('实盘净值数据(iFinD公式)'!$A75="",'实盘净值数据(iFinD公式)'!$B75=""),"",分期持仓明细!$AO$19*SUMPRODUCT(分期持仓明细!$B$19:$Y$19,'实盘净值数据(iFinD公式)'!$B75:$Y75/'实盘净值数据(iFinD公式)'!$B$20:$Y$20)*(1-实盘持仓配置!$AM$6)^(('实盘净值数据(iFinD公式)'!$A75-'实盘净值数据(iFinD公式)'!$A$7)/365))</f>
        <v>0.79461942206026914</v>
      </c>
      <c r="I75" s="16">
        <f t="shared" si="15"/>
        <v>-5.1161970119172562E-2</v>
      </c>
      <c r="J75" s="16">
        <f>IF(H75="","",H75/MAX(H$5:H75)-1)</f>
        <v>-0.28522565785896403</v>
      </c>
      <c r="K75" s="13">
        <f>IF(OR('实盘净值数据(iFinD公式)'!$A75="",'实盘净值数据(iFinD公式)'!$B75="",'实盘净值数据(iFinD公式)'!$Z75="",'实盘净值数据(iFinD公式)'!$AA75=""),"",分期持仓明细!$AO$23*(SUMPRODUCT(分期持仓明细!$B$23:$Y$23,'实盘净值数据(iFinD公式)'!$B75:$Y75/'实盘净值数据(iFinD公式)'!$B$65:$Y$65)+SUMPRODUCT(分期持仓明细!$Z$23:$AA$23,'实盘净值数据(iFinD公式)'!$Z75:$AA75/'实盘净值数据(iFinD公式)'!$Z$65:$AA$65))*(1-实盘持仓配置!$AM$7)^(('实盘净值数据(iFinD公式)'!$A75-'实盘净值数据(iFinD公式)'!$A$8)/365))</f>
        <v>0.98741351223966312</v>
      </c>
      <c r="L75" s="16">
        <f t="shared" si="16"/>
        <v>-6.0342997143747468E-3</v>
      </c>
      <c r="M75" s="16">
        <f>IF(K75="","",K75/MAX(K$5:K75)-1)</f>
        <v>-1.5806761768289213E-2</v>
      </c>
      <c r="N75" s="13">
        <f>IF(OR('实盘净值数据(iFinD公式)'!$A75="",'实盘净值数据(iFinD公式)'!$B75="",'实盘净值数据(iFinD公式)'!$Z75="",'实盘净值数据(iFinD公式)'!$AA75=""),"",分期持仓明细!$AO$24*(SUMPRODUCT(分期持仓明细!$B$24:$Y$24,'实盘净值数据(iFinD公式)'!$B75:$Y75/'实盘净值数据(iFinD公式)'!$B$65:$Y$65)+SUMPRODUCT(分期持仓明细!$Z$24:$AA$24,'实盘净值数据(iFinD公式)'!$Z75:$AA75/'实盘净值数据(iFinD公式)'!$Z$65:$AA$65))*(1-实盘持仓配置!$AM$8)^(('实盘净值数据(iFinD公式)'!$A75-'实盘净值数据(iFinD公式)'!$A$5)/365))</f>
        <v>0.98821135235560031</v>
      </c>
      <c r="O75" s="16">
        <f t="shared" si="17"/>
        <v>-6.1047078826373946E-3</v>
      </c>
      <c r="P75" s="16">
        <f>IF(N75="","",N75/MAX(N$5:N75)-1)</f>
        <v>-1.4459599260946088E-2</v>
      </c>
      <c r="Q75" s="13">
        <f>IF(OR('实盘净值数据(iFinD公式)'!$A75="",'实盘净值数据(iFinD公式)'!$B75="",'实盘净值数据(iFinD公式)'!$Z75="",'实盘净值数据(iFinD公式)'!$AA75=""),"",分期持仓明细!$AO$25*(SUMPRODUCT(分期持仓明细!$B$25:$Y$25,'实盘净值数据(iFinD公式)'!$B75:$Y75/'实盘净值数据(iFinD公式)'!$B$65:$Y$65)+SUMPRODUCT(分期持仓明细!$Z$25:$AA$25,'实盘净值数据(iFinD公式)'!$Z75:$AA75/'实盘净值数据(iFinD公式)'!$Z$65:$AA$65))*(1-实盘持仓配置!$AM$9)^(('实盘净值数据(iFinD公式)'!$A75-'实盘净值数据(iFinD公式)'!$A$8)/365))</f>
        <v>0.94559160796635988</v>
      </c>
      <c r="R75" s="16">
        <f t="shared" si="18"/>
        <v>-1.5997710600915815E-2</v>
      </c>
      <c r="S75" s="16">
        <f>IF(Q75="","",Q75/MAX(Q$5:Q75)-1)</f>
        <v>-6.2621580951010669E-2</v>
      </c>
      <c r="T75" s="13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Z$26:$AA$26,'实盘净值数据(iFinD公式)'!$Z75:$AA75/'实盘净值数据(iFinD公式)'!$Z$69:$AA$69)+SUMPRODUCT(分期持仓明细!$AB$26:$AL$26,'实盘净值数据(iFinD公式)'!$AB75:$AL75/'实盘净值数据(iFinD公式)'!$AB$69:$AL$69))*(1-实盘持仓配置!$AM$10)^(('实盘净值数据(iFinD公式)'!$A75-'实盘净值数据(iFinD公式)'!$A$69)/365))</f>
        <v>0.99706114062990459</v>
      </c>
      <c r="U75" s="16">
        <f t="shared" si="12"/>
        <v>-4.572495297060164E-3</v>
      </c>
      <c r="V75" s="16">
        <f>IF(T75="","",T75/MAX(T$5:T75)-1)</f>
        <v>-6.8731793536710439E-3</v>
      </c>
    </row>
    <row r="76" spans="1:22">
      <c r="A76" s="15">
        <f>IF('实盘净值数据(iFinD公式)'!A76="","",'实盘净值数据(iFinD公式)'!A76)</f>
        <v>46294</v>
      </c>
      <c r="B76" s="13">
        <f>IF(OR('实盘净值数据(iFinD公式)'!$A76="",'实盘净值数据(iFinD公式)'!$B76=""),"",分期持仓明细!$AO$17*SUMPRODUCT(分期持仓明细!$B$17:$Y$17,'实盘净值数据(iFinD公式)'!$B76:$Y76/'实盘净值数据(iFinD公式)'!$B$20:$Y$20)*(1-实盘持仓配置!$AM$4)^(('实盘净值数据(iFinD公式)'!$A76-'实盘净值数据(iFinD公式)'!$A$6)/365))</f>
        <v>0.78577250369523421</v>
      </c>
      <c r="C76" s="16">
        <f t="shared" si="13"/>
        <v>7.6114874917374564E-3</v>
      </c>
      <c r="D76" s="16">
        <f>IF(B76="","",B76/MAX(B$5:B76)-1)</f>
        <v>-0.26894540601392325</v>
      </c>
      <c r="E76" s="13">
        <f>IF(OR('实盘净值数据(iFinD公式)'!$A76="",'实盘净值数据(iFinD公式)'!$B76=""),"",分期持仓明细!$AO$18*SUMPRODUCT(分期持仓明细!$B$18:$Y$18,'实盘净值数据(iFinD公式)'!$B76:$Y76/'实盘净值数据(iFinD公式)'!$B$20:$Y$20)*(1-实盘持仓配置!$AM$5)^(('实盘净值数据(iFinD公式)'!$A76-'实盘净值数据(iFinD公式)'!$A$5)/365))</f>
        <v>0.80431065403616053</v>
      </c>
      <c r="F76" s="16">
        <f t="shared" si="14"/>
        <v>7.6357798341069039E-3</v>
      </c>
      <c r="G76" s="16">
        <f>IF(E76="","",E76/MAX(E$5:E76)-1)</f>
        <v>-0.26863354768819558</v>
      </c>
      <c r="H76" s="13">
        <f>IF(OR('实盘净值数据(iFinD公式)'!$A76="",'实盘净值数据(iFinD公式)'!$B76=""),"",分期持仓明细!$AO$19*SUMPRODUCT(分期持仓明细!$B$19:$Y$19,'实盘净值数据(iFinD公式)'!$B76:$Y76/'实盘净值数据(iFinD公式)'!$B$20:$Y$20)*(1-实盘持仓配置!$AM$6)^(('实盘净值数据(iFinD公式)'!$A76-'实盘净值数据(iFinD公式)'!$A$7)/365))</f>
        <v>0.7989371458291149</v>
      </c>
      <c r="I76" s="16">
        <f t="shared" si="15"/>
        <v>5.4337002708175763E-3</v>
      </c>
      <c r="J76" s="16">
        <f>IF(H76="","",H76/MAX(H$5:H76)-1)</f>
        <v>-0.2813417883224989</v>
      </c>
      <c r="K76" s="13">
        <f>IF(OR('实盘净值数据(iFinD公式)'!$A76="",'实盘净值数据(iFinD公式)'!$B76="",'实盘净值数据(iFinD公式)'!$Z76="",'实盘净值数据(iFinD公式)'!$AA76=""),"",分期持仓明细!$AO$23*(SUMPRODUCT(分期持仓明细!$B$23:$Y$23,'实盘净值数据(iFinD公式)'!$B76:$Y76/'实盘净值数据(iFinD公式)'!$B$65:$Y$65)+SUMPRODUCT(分期持仓明细!$Z$23:$AA$23,'实盘净值数据(iFinD公式)'!$Z76:$AA76/'实盘净值数据(iFinD公式)'!$Z$65:$AA$65))*(1-实盘持仓配置!$AM$7)^(('实盘净值数据(iFinD公式)'!$A76-'实盘净值数据(iFinD公式)'!$A$8)/365))</f>
        <v>0.9886589134542314</v>
      </c>
      <c r="L76" s="16">
        <f t="shared" si="16"/>
        <v>1.2612762526851284E-3</v>
      </c>
      <c r="M76" s="16">
        <f>IF(K76="","",K76/MAX(K$5:K76)-1)</f>
        <v>-1.4565422208854262E-2</v>
      </c>
      <c r="N76" s="13">
        <f>IF(OR('实盘净值数据(iFinD公式)'!$A76="",'实盘净值数据(iFinD公式)'!$B76="",'实盘净值数据(iFinD公式)'!$Z76="",'实盘净值数据(iFinD公式)'!$AA76=""),"",分期持仓明细!$AO$24*(SUMPRODUCT(分期持仓明细!$B$24:$Y$24,'实盘净值数据(iFinD公式)'!$B76:$Y76/'实盘净值数据(iFinD公式)'!$B$65:$Y$65)+SUMPRODUCT(分期持仓明细!$Z$24:$AA$24,'实盘净值数据(iFinD公式)'!$Z76:$AA76/'实盘净值数据(iFinD公式)'!$Z$65:$AA$65))*(1-实盘持仓配置!$AM$8)^(('实盘净值数据(iFinD公式)'!$A76-'实盘净值数据(iFinD公式)'!$A$5)/365))</f>
        <v>0.98955408677117096</v>
      </c>
      <c r="O76" s="16">
        <f t="shared" si="17"/>
        <v>1.3587522672857677E-3</v>
      </c>
      <c r="P76" s="16">
        <f>IF(N76="","",N76/MAX(N$5:N76)-1)</f>
        <v>-1.3120494006940264E-2</v>
      </c>
      <c r="Q76" s="13">
        <f>IF(OR('实盘净值数据(iFinD公式)'!$A76="",'实盘净值数据(iFinD公式)'!$B76="",'实盘净值数据(iFinD公式)'!$Z76="",'实盘净值数据(iFinD公式)'!$AA76=""),"",分期持仓明细!$AO$25*(SUMPRODUCT(分期持仓明细!$B$25:$Y$25,'实盘净值数据(iFinD公式)'!$B76:$Y76/'实盘净值数据(iFinD公式)'!$B$65:$Y$65)+SUMPRODUCT(分期持仓明细!$Z$25:$AA$25,'实盘净值数据(iFinD公式)'!$Z76:$AA76/'实盘净值数据(iFinD公式)'!$Z$65:$AA$65))*(1-实盘持仓配置!$AM$9)^(('实盘净值数据(iFinD公式)'!$A76-'实盘净值数据(iFinD公式)'!$A$8)/365))</f>
        <v>0.94752185852985193</v>
      </c>
      <c r="R76" s="16">
        <f t="shared" si="18"/>
        <v>2.0413152435261317E-3</v>
      </c>
      <c r="S76" s="16">
        <f>IF(Q76="","",Q76/MAX(Q$5:Q76)-1)</f>
        <v>-6.0708096095253627E-2</v>
      </c>
      <c r="T76" s="13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Z$26:$AA$26,'实盘净值数据(iFinD公式)'!$Z76:$AA76/'实盘净值数据(iFinD公式)'!$Z$69:$AA$69)+SUMPRODUCT(分期持仓明细!$AB$26:$AL$26,'实盘净值数据(iFinD公式)'!$AB76:$AL76/'实盘净值数据(iFinD公式)'!$AB$69:$AL$69))*(1-实盘持仓配置!$AM$10)^(('实盘净值数据(iFinD公式)'!$A76-'实盘净值数据(iFinD公式)'!$A$69)/365))</f>
        <v>0.99802594452974192</v>
      </c>
      <c r="U76" s="16">
        <f t="shared" si="12"/>
        <v>9.6764768028956283E-4</v>
      </c>
      <c r="V76" s="16">
        <f>IF(T76="","",T76/MAX(T$5:T76)-1)</f>
        <v>-5.912182489439366E-3</v>
      </c>
    </row>
    <row r="77" spans="1:22">
      <c r="A77" s="15">
        <f>IF('实盘净值数据(iFinD公式)'!A77="","",'实盘净值数据(iFinD公式)'!A77)</f>
        <v>46295</v>
      </c>
      <c r="B77" s="13">
        <f>IF(OR('实盘净值数据(iFinD公式)'!$A77="",'实盘净值数据(iFinD公式)'!$B77=""),"",分期持仓明细!$AO$17*SUMPRODUCT(分期持仓明细!$B$17:$Y$17,'实盘净值数据(iFinD公式)'!$B77:$Y77/'实盘净值数据(iFinD公式)'!$B$20:$Y$20)*(1-实盘持仓配置!$AM$4)^(('实盘净值数据(iFinD公式)'!$A77-'实盘净值数据(iFinD公式)'!$A$6)/365))</f>
        <v>0.77376106754922114</v>
      </c>
      <c r="C77" s="16">
        <f t="shared" si="13"/>
        <v>-1.5286149731031817E-2</v>
      </c>
      <c r="D77" s="16">
        <f>IF(B77="","",B77/MAX(B$5:B77)-1)</f>
        <v>-0.28012041599915305</v>
      </c>
      <c r="E77" s="13">
        <f>IF(OR('实盘净值数据(iFinD公式)'!$A77="",'实盘净值数据(iFinD公式)'!$B77=""),"",分期持仓明细!$AO$18*SUMPRODUCT(分期持仓明细!$B$18:$Y$18,'实盘净值数据(iFinD公式)'!$B77:$Y77/'实盘净值数据(iFinD公式)'!$B$20:$Y$20)*(1-实盘持仓配置!$AM$5)^(('实盘净值数据(iFinD公式)'!$A77-'实盘净值数据(iFinD公式)'!$A$5)/365))</f>
        <v>0.7920239802207002</v>
      </c>
      <c r="F77" s="16">
        <f t="shared" si="14"/>
        <v>-1.5276030167950427E-2</v>
      </c>
      <c r="G77" s="16">
        <f>IF(E77="","",E77/MAX(E$5:E77)-1)</f>
        <v>-0.27980592367753765</v>
      </c>
      <c r="H77" s="13">
        <f>IF(OR('实盘净值数据(iFinD公式)'!$A77="",'实盘净值数据(iFinD公式)'!$B77=""),"",分期持仓明细!$AO$19*SUMPRODUCT(分期持仓明细!$B$19:$Y$19,'实盘净值数据(iFinD公式)'!$B77:$Y77/'实盘净值数据(iFinD公式)'!$B$20:$Y$20)*(1-实盘持仓配置!$AM$6)^(('实盘净值数据(iFinD公式)'!$A77-'实盘净值数据(iFinD公式)'!$A$7)/365))</f>
        <v>0.78373389747065003</v>
      </c>
      <c r="I77" s="16">
        <f t="shared" si="15"/>
        <v>-1.9029342217762757E-2</v>
      </c>
      <c r="J77" s="16">
        <f>IF(H77="","",H77/MAX(H$5:H77)-1)</f>
        <v>-0.29501738137011546</v>
      </c>
      <c r="K77" s="13">
        <f>IF(OR('实盘净值数据(iFinD公式)'!$A77="",'实盘净值数据(iFinD公式)'!$B77="",'实盘净值数据(iFinD公式)'!$Z77="",'实盘净值数据(iFinD公式)'!$AA77=""),"",分期持仓明细!$AO$23*(SUMPRODUCT(分期持仓明细!$B$23:$Y$23,'实盘净值数据(iFinD公式)'!$B77:$Y77/'实盘净值数据(iFinD公式)'!$B$65:$Y$65)+SUMPRODUCT(分期持仓明细!$Z$23:$AA$23,'实盘净值数据(iFinD公式)'!$Z77:$AA77/'实盘净值数据(iFinD公式)'!$Z$65:$AA$65))*(1-实盘持仓配置!$AM$7)^(('实盘净值数据(iFinD公式)'!$A77-'实盘净值数据(iFinD公式)'!$A$8)/365))</f>
        <v>0.98722062084336581</v>
      </c>
      <c r="L77" s="16">
        <f t="shared" si="16"/>
        <v>-1.4547915274848444E-3</v>
      </c>
      <c r="M77" s="16">
        <f>IF(K77="","",K77/MAX(K$5:K77)-1)</f>
        <v>-1.5999024083515501E-2</v>
      </c>
      <c r="N77" s="13">
        <f>IF(OR('实盘净值数据(iFinD公式)'!$A77="",'实盘净值数据(iFinD公式)'!$B77="",'实盘净值数据(iFinD公式)'!$Z77="",'实盘净值数据(iFinD公式)'!$AA77=""),"",分期持仓明细!$AO$24*(SUMPRODUCT(分期持仓明细!$B$24:$Y$24,'实盘净值数据(iFinD公式)'!$B77:$Y77/'实盘净值数据(iFinD公式)'!$B$65:$Y$65)+SUMPRODUCT(分期持仓明细!$Z$24:$AA$24,'实盘净值数据(iFinD公式)'!$Z77:$AA77/'实盘净值数据(iFinD公式)'!$Z$65:$AA$65))*(1-实盘持仓配置!$AM$8)^(('实盘净值数据(iFinD公式)'!$A77-'实盘净值数据(iFinD公式)'!$A$5)/365))</f>
        <v>0.98823707745102929</v>
      </c>
      <c r="O77" s="16">
        <f t="shared" si="17"/>
        <v>-1.3309119104737421E-3</v>
      </c>
      <c r="P77" s="16">
        <f>IF(N77="","",N77/MAX(N$5:N77)-1)</f>
        <v>-1.4433943695668749E-2</v>
      </c>
      <c r="Q77" s="13">
        <f>IF(OR('实盘净值数据(iFinD公式)'!$A77="",'实盘净值数据(iFinD公式)'!$B77="",'实盘净值数据(iFinD公式)'!$Z77="",'实盘净值数据(iFinD公式)'!$AA77=""),"",分期持仓明细!$AO$25*(SUMPRODUCT(分期持仓明细!$B$25:$Y$25,'实盘净值数据(iFinD公式)'!$B77:$Y77/'实盘净值数据(iFinD公式)'!$B$65:$Y$65)+SUMPRODUCT(分期持仓明细!$Z$25:$AA$25,'实盘净值数据(iFinD公式)'!$Z77:$AA77/'实盘净值数据(iFinD公式)'!$Z$65:$AA$65))*(1-实盘持仓配置!$AM$9)^(('实盘净值数据(iFinD公式)'!$A77-'实盘净值数据(iFinD公式)'!$A$8)/365))</f>
        <v>0.94496366717007274</v>
      </c>
      <c r="R77" s="16">
        <f t="shared" si="18"/>
        <v>-2.6998758252906319E-3</v>
      </c>
      <c r="S77" s="16">
        <f>IF(Q77="","",Q77/MAX(Q$5:Q77)-1)</f>
        <v>-6.3244067599497189E-2</v>
      </c>
      <c r="T77" s="13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Z$26:$AA$26,'实盘净值数据(iFinD公式)'!$Z77:$AA77/'实盘净值数据(iFinD公式)'!$Z$69:$AA$69)+SUMPRODUCT(分期持仓明细!$AB$26:$AL$26,'实盘净值数据(iFinD公式)'!$AB77:$AL77/'实盘净值数据(iFinD公式)'!$AB$69:$AL$69))*(1-实盘持仓配置!$AM$10)^(('实盘净值数据(iFinD公式)'!$A77-'实盘净值数据(iFinD公式)'!$A$69)/365))</f>
        <v>0.9987144779146554</v>
      </c>
      <c r="U77" s="16">
        <f t="shared" si="12"/>
        <v>6.8989527645779702E-4</v>
      </c>
      <c r="V77" s="16">
        <f>IF(T77="","",T77/MAX(T$5:T77)-1)</f>
        <v>-5.2263659997544565E-3</v>
      </c>
    </row>
    <row r="78" spans="1:22">
      <c r="A78" s="15">
        <f>IF('实盘净值数据(iFinD公式)'!A78="","",'实盘净值数据(iFinD公式)'!A78)</f>
        <v>46303</v>
      </c>
      <c r="B78" s="13">
        <f>IF(OR('实盘净值数据(iFinD公式)'!$A78="",'实盘净值数据(iFinD公式)'!$B78=""),"",分期持仓明细!$AO$17*SUMPRODUCT(分期持仓明细!$B$17:$Y$17,'实盘净值数据(iFinD公式)'!$B78:$Y78/'实盘净值数据(iFinD公式)'!$B$20:$Y$20)*(1-实盘持仓配置!$AM$4)^(('实盘净值数据(iFinD公式)'!$A78-'实盘净值数据(iFinD公式)'!$A$6)/365))</f>
        <v>0.7336355581964763</v>
      </c>
      <c r="C78" s="16">
        <f t="shared" si="13"/>
        <v>-5.1857751747366509E-2</v>
      </c>
      <c r="D78" s="16">
        <f>IF(B78="","",B78/MAX(B$5:B78)-1)</f>
        <v>-0.31745175275426651</v>
      </c>
      <c r="E78" s="13">
        <f>IF(OR('实盘净值数据(iFinD公式)'!$A78="",'实盘净值数据(iFinD公式)'!$B78=""),"",分期持仓明细!$AO$18*SUMPRODUCT(分期持仓明细!$B$18:$Y$18,'实盘净值数据(iFinD公式)'!$B78:$Y78/'实盘净值数据(iFinD公式)'!$B$20:$Y$20)*(1-实盘持仓配置!$AM$5)^(('实盘净值数据(iFinD公式)'!$A78-'实盘净值数据(iFinD公式)'!$A$5)/365))</f>
        <v>0.75093267166273514</v>
      </c>
      <c r="F78" s="16">
        <f t="shared" si="14"/>
        <v>-5.1881394483175636E-2</v>
      </c>
      <c r="G78" s="16">
        <f>IF(E78="","",E78/MAX(E$5:E78)-1)</f>
        <v>-0.3171705966556696</v>
      </c>
      <c r="H78" s="13">
        <f>IF(OR('实盘净值数据(iFinD公式)'!$A78="",'实盘净值数据(iFinD公式)'!$B78=""),"",分期持仓明细!$AO$19*SUMPRODUCT(分期持仓明细!$B$19:$Y$19,'实盘净值数据(iFinD公式)'!$B78:$Y78/'实盘净值数据(iFinD公式)'!$B$20:$Y$20)*(1-实盘持仓配置!$AM$6)^(('实盘净值数据(iFinD公式)'!$A78-'实盘净值数据(iFinD公式)'!$A$7)/365))</f>
        <v>0.74789594755671329</v>
      </c>
      <c r="I78" s="16">
        <f t="shared" si="15"/>
        <v>-4.5727191371455089E-2</v>
      </c>
      <c r="J78" s="16">
        <f>IF(H78="","",H78/MAX(H$5:H78)-1)</f>
        <v>-0.32725425648575368</v>
      </c>
      <c r="K78" s="13">
        <f>IF(OR('实盘净值数据(iFinD公式)'!$A78="",'实盘净值数据(iFinD公式)'!$B78="",'实盘净值数据(iFinD公式)'!$Z78="",'实盘净值数据(iFinD公式)'!$AA78=""),"",分期持仓明细!$AO$23*(SUMPRODUCT(分期持仓明细!$B$23:$Y$23,'实盘净值数据(iFinD公式)'!$B78:$Y78/'实盘净值数据(iFinD公式)'!$B$65:$Y$65)+SUMPRODUCT(分期持仓明细!$Z$23:$AA$23,'实盘净值数据(iFinD公式)'!$Z78:$AA78/'实盘净值数据(iFinD公式)'!$Z$65:$AA$65))*(1-实盘持仓配置!$AM$7)^(('实盘净值数据(iFinD公式)'!$A78-'实盘净值数据(iFinD公式)'!$A$8)/365))</f>
        <v>0.9829285989950215</v>
      </c>
      <c r="L78" s="16">
        <f t="shared" si="16"/>
        <v>-4.3475812373912071E-3</v>
      </c>
      <c r="M78" s="16">
        <f>IF(K78="","",K78/MAX(K$5:K78)-1)</f>
        <v>-2.0277048263984576E-2</v>
      </c>
      <c r="N78" s="13">
        <f>IF(OR('实盘净值数据(iFinD公式)'!$A78="",'实盘净值数据(iFinD公式)'!$B78="",'实盘净值数据(iFinD公式)'!$Z78="",'实盘净值数据(iFinD公式)'!$AA78=""),"",分期持仓明细!$AO$24*(SUMPRODUCT(分期持仓明细!$B$24:$Y$24,'实盘净值数据(iFinD公式)'!$B78:$Y78/'实盘净值数据(iFinD公式)'!$B$65:$Y$65)+SUMPRODUCT(分期持仓明细!$Z$24:$AA$24,'实盘净值数据(iFinD公式)'!$Z78:$AA78/'实盘净值数据(iFinD公式)'!$Z$65:$AA$65))*(1-实盘持仓配置!$AM$8)^(('实盘净值数据(iFinD公式)'!$A78-'实盘净值数据(iFinD公式)'!$A$5)/365))</f>
        <v>0.98376777680813943</v>
      </c>
      <c r="O78" s="16">
        <f t="shared" si="17"/>
        <v>-4.5224984417884251E-3</v>
      </c>
      <c r="P78" s="16">
        <f>IF(N78="","",N78/MAX(N$5:N78)-1)</f>
        <v>-1.8891164649584735E-2</v>
      </c>
      <c r="Q78" s="13">
        <f>IF(OR('实盘净值数据(iFinD公式)'!$A78="",'实盘净值数据(iFinD公式)'!$B78="",'实盘净值数据(iFinD公式)'!$Z78="",'实盘净值数据(iFinD公式)'!$AA78=""),"",分期持仓明细!$AO$25*(SUMPRODUCT(分期持仓明细!$B$25:$Y$25,'实盘净值数据(iFinD公式)'!$B78:$Y78/'实盘净值数据(iFinD公式)'!$B$65:$Y$65)+SUMPRODUCT(分期持仓明细!$Z$25:$AA$25,'实盘净值数据(iFinD公式)'!$Z78:$AA78/'实盘净值数据(iFinD公式)'!$Z$65:$AA$65))*(1-实盘持仓配置!$AM$9)^(('实盘净值数据(iFinD公式)'!$A78-'实盘净值数据(iFinD公式)'!$A$8)/365))</f>
        <v>0.93375687071902447</v>
      </c>
      <c r="R78" s="16">
        <f t="shared" si="18"/>
        <v>-1.1859499830940368E-2</v>
      </c>
      <c r="S78" s="16">
        <f>IF(Q78="","",Q78/MAX(Q$5:Q78)-1)</f>
        <v>-7.4353524421433392E-2</v>
      </c>
      <c r="T78" s="13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Z$26:$AA$26,'实盘净值数据(iFinD公式)'!$Z78:$AA78/'实盘净值数据(iFinD公式)'!$Z$69:$AA$69)+SUMPRODUCT(分期持仓明细!$AB$26:$AL$26,'实盘净值数据(iFinD公式)'!$AB78:$AL78/'实盘净值数据(iFinD公式)'!$AB$69:$AL$69))*(1-实盘持仓配置!$AM$10)^(('实盘净值数据(iFinD公式)'!$A78-'实盘净值数据(iFinD公式)'!$A$69)/365))</f>
        <v>0.99682886906169466</v>
      </c>
      <c r="U78" s="16">
        <f t="shared" si="12"/>
        <v>-1.8880359648915102E-3</v>
      </c>
      <c r="V78" s="16">
        <f>IF(T78="","",T78/MAX(T$5:T78)-1)</f>
        <v>-7.1045343976727793E-3</v>
      </c>
    </row>
    <row r="79" spans="1:22">
      <c r="A79" s="15">
        <f>IF('实盘净值数据(iFinD公式)'!A79="","",'实盘净值数据(iFinD公式)'!A79)</f>
        <v>46304</v>
      </c>
      <c r="B79" s="13">
        <f>IF(OR('实盘净值数据(iFinD公式)'!$A79="",'实盘净值数据(iFinD公式)'!$B79=""),"",分期持仓明细!$AO$17*SUMPRODUCT(分期持仓明细!$B$17:$Y$17,'实盘净值数据(iFinD公式)'!$B79:$Y79/'实盘净值数据(iFinD公式)'!$B$20:$Y$20)*(1-实盘持仓配置!$AM$4)^(('实盘净值数据(iFinD公式)'!$A79-'实盘净值数据(iFinD公式)'!$A$6)/365))</f>
        <v>0.73360518101139494</v>
      </c>
      <c r="C79" s="16">
        <f t="shared" si="13"/>
        <v>-4.1406369609475746E-5</v>
      </c>
      <c r="D79" s="16">
        <f>IF(B79="","",B79/MAX(B$5:B79)-1)</f>
        <v>-0.31748001459926833</v>
      </c>
      <c r="E79" s="13">
        <f>IF(OR('实盘净值数据(iFinD公式)'!$A79="",'实盘净值数据(iFinD公式)'!$B79=""),"",分期持仓明细!$AO$18*SUMPRODUCT(分期持仓明细!$B$18:$Y$18,'实盘净值数据(iFinD公式)'!$B79:$Y79/'实盘净值数据(iFinD公式)'!$B$20:$Y$20)*(1-实盘持仓配置!$AM$5)^(('实盘净值数据(iFinD公式)'!$A79-'实盘净值数据(iFinD公式)'!$A$5)/365))</f>
        <v>0.7509078345510769</v>
      </c>
      <c r="F79" s="16">
        <f t="shared" si="14"/>
        <v>-3.3075018034844916E-5</v>
      </c>
      <c r="G79" s="16">
        <f>IF(E79="","",E79/MAX(E$5:E79)-1)</f>
        <v>-0.3171931812505</v>
      </c>
      <c r="H79" s="13">
        <f>IF(OR('实盘净值数据(iFinD公式)'!$A79="",'实盘净值数据(iFinD公式)'!$B79=""),"",分期持仓明细!$AO$19*SUMPRODUCT(分期持仓明细!$B$19:$Y$19,'实盘净值数据(iFinD公式)'!$B79:$Y79/'实盘净值数据(iFinD公式)'!$B$20:$Y$20)*(1-实盘持仓配置!$AM$6)^(('实盘净值数据(iFinD公式)'!$A79-'实盘净值数据(iFinD公式)'!$A$7)/365))</f>
        <v>0.74786497990067935</v>
      </c>
      <c r="I79" s="16">
        <f t="shared" si="15"/>
        <v>-4.1406369609475746E-5</v>
      </c>
      <c r="J79" s="16">
        <f>IF(H79="","",H79/MAX(H$5:H79)-1)</f>
        <v>-0.32728211244466276</v>
      </c>
      <c r="K79" s="13">
        <f>IF(OR('实盘净值数据(iFinD公式)'!$A79="",'实盘净值数据(iFinD公式)'!$B79="",'实盘净值数据(iFinD公式)'!$Z79="",'实盘净值数据(iFinD公式)'!$AA79=""),"",分期持仓明细!$AO$23*(SUMPRODUCT(分期持仓明细!$B$23:$Y$23,'实盘净值数据(iFinD公式)'!$B79:$Y79/'实盘净值数据(iFinD公式)'!$B$65:$Y$65)+SUMPRODUCT(分期持仓明细!$Z$23:$AA$23,'实盘净值数据(iFinD公式)'!$Z79:$AA79/'实盘净值数据(iFinD公式)'!$Z$65:$AA$65))*(1-实盘持仓配置!$AM$7)^(('实盘净值数据(iFinD公式)'!$A79-'实盘净值数据(iFinD公式)'!$A$8)/365))</f>
        <v>0.98290696895555596</v>
      </c>
      <c r="L79" s="16">
        <f t="shared" si="16"/>
        <v>-2.2005707726480139E-5</v>
      </c>
      <c r="M79" s="16">
        <f>IF(K79="","",K79/MAX(K$5:K79)-1)</f>
        <v>-2.0298607760913523E-2</v>
      </c>
      <c r="N79" s="13">
        <f>IF(OR('实盘净值数据(iFinD公式)'!$A79="",'实盘净值数据(iFinD公式)'!$B79="",'实盘净值数据(iFinD公式)'!$Z79="",'实盘净值数据(iFinD公式)'!$AA79=""),"",分期持仓明细!$AO$24*(SUMPRODUCT(分期持仓明细!$B$24:$Y$24,'实盘净值数据(iFinD公式)'!$B79:$Y79/'实盘净值数据(iFinD公式)'!$B$65:$Y$65)+SUMPRODUCT(分期持仓明细!$Z$24:$AA$24,'实盘净值数据(iFinD公式)'!$Z79:$AA79/'实盘净值数据(iFinD公式)'!$Z$65:$AA$65))*(1-实盘持仓配置!$AM$8)^(('实盘净值数据(iFinD公式)'!$A79-'实盘净值数据(iFinD公式)'!$A$5)/365))</f>
        <v>0.98375426682658829</v>
      </c>
      <c r="O79" s="16">
        <f t="shared" si="17"/>
        <v>-1.3732897000351407E-5</v>
      </c>
      <c r="P79" s="16">
        <f>IF(N79="","",N79/MAX(N$5:N79)-1)</f>
        <v>-1.8904638116166717E-2</v>
      </c>
      <c r="Q79" s="13">
        <f>IF(OR('实盘净值数据(iFinD公式)'!$A79="",'实盘净值数据(iFinD公式)'!$B79="",'实盘净值数据(iFinD公式)'!$Z79="",'实盘净值数据(iFinD公式)'!$AA79=""),"",分期持仓明细!$AO$25*(SUMPRODUCT(分期持仓明细!$B$25:$Y$25,'实盘净值数据(iFinD公式)'!$B79:$Y79/'实盘净值数据(iFinD公式)'!$B$65:$Y$65)+SUMPRODUCT(分期持仓明细!$Z$25:$AA$25,'实盘净值数据(iFinD公式)'!$Z79:$AA79/'实盘净值数据(iFinD公式)'!$Z$65:$AA$65))*(1-实盘持仓配置!$AM$9)^(('实盘净值数据(iFinD公式)'!$A79-'实盘净值数据(iFinD公式)'!$A$8)/365))</f>
        <v>0.93372598669368523</v>
      </c>
      <c r="R79" s="16">
        <f t="shared" si="18"/>
        <v>-3.3075018034844916E-5</v>
      </c>
      <c r="S79" s="16">
        <f>IF(Q79="","",Q79/MAX(Q$5:Q79)-1)</f>
        <v>-7.4384140195307036E-2</v>
      </c>
      <c r="T79" s="13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Z$26:$AA$26,'实盘净值数据(iFinD公式)'!$Z79:$AA79/'实盘净值数据(iFinD公式)'!$Z$69:$AA$69)+SUMPRODUCT(分期持仓明细!$AB$26:$AL$26,'实盘净值数据(iFinD公式)'!$AB79:$AL79/'实盘净值数据(iFinD公式)'!$AB$69:$AL$69))*(1-实盘持仓配置!$AM$10)^(('实盘净值数据(iFinD公式)'!$A79-'实盘净值数据(iFinD公式)'!$A$69)/365))</f>
        <v>0.9968069331369489</v>
      </c>
      <c r="U79" s="16">
        <f t="shared" si="12"/>
        <v>-2.2005707726369117E-5</v>
      </c>
      <c r="V79" s="16">
        <f>IF(T79="","",T79/MAX(T$5:T79)-1)</f>
        <v>-7.1263837650916706E-3</v>
      </c>
    </row>
    <row r="80" spans="1:22">
      <c r="A80" s="15" t="str">
        <f>IF('实盘净值数据(iFinD公式)'!A80="","",'实盘净值数据(iFinD公式)'!A80)</f>
        <v/>
      </c>
      <c r="B80" s="13" t="str">
        <f>IF(OR('实盘净值数据(iFinD公式)'!$A80="",'实盘净值数据(iFinD公式)'!$B80=""),"",分期持仓明细!$AO$17*SUMPRODUCT(分期持仓明细!$B$17:$Y$17,'实盘净值数据(iFinD公式)'!$B80:$Y80/'实盘净值数据(iFinD公式)'!$B$20:$Y$20)*(1-实盘持仓配置!$AM$4)^(('实盘净值数据(iFinD公式)'!$A80-'实盘净值数据(iFinD公式)'!$A$6)/365))</f>
        <v/>
      </c>
      <c r="C80" s="16" t="str">
        <f t="shared" si="13"/>
        <v/>
      </c>
      <c r="D80" s="16" t="str">
        <f>IF(B80="","",B80/MAX(B$5:B80)-1)</f>
        <v/>
      </c>
      <c r="E80" s="13" t="str">
        <f>IF(OR('实盘净值数据(iFinD公式)'!$A80="",'实盘净值数据(iFinD公式)'!$B80=""),"",分期持仓明细!$AO$18*SUMPRODUCT(分期持仓明细!$B$18:$Y$18,'实盘净值数据(iFinD公式)'!$B80:$Y80/'实盘净值数据(iFinD公式)'!$B$20:$Y$20)*(1-实盘持仓配置!$AM$5)^(('实盘净值数据(iFinD公式)'!$A80-'实盘净值数据(iFinD公式)'!$A$5)/365))</f>
        <v/>
      </c>
      <c r="F80" s="16" t="str">
        <f t="shared" si="14"/>
        <v/>
      </c>
      <c r="G80" s="16" t="str">
        <f>IF(E80="","",E80/MAX(E$5:E80)-1)</f>
        <v/>
      </c>
      <c r="H80" s="13" t="str">
        <f>IF(OR('实盘净值数据(iFinD公式)'!$A80="",'实盘净值数据(iFinD公式)'!$B80=""),"",分期持仓明细!$AO$19*SUMPRODUCT(分期持仓明细!$B$19:$Y$19,'实盘净值数据(iFinD公式)'!$B80:$Y80/'实盘净值数据(iFinD公式)'!$B$20:$Y$20)*(1-实盘持仓配置!$AM$6)^(('实盘净值数据(iFinD公式)'!$A80-'实盘净值数据(iFinD公式)'!$A$7)/365))</f>
        <v/>
      </c>
      <c r="I80" s="16" t="str">
        <f t="shared" si="15"/>
        <v/>
      </c>
      <c r="J80" s="16" t="str">
        <f>IF(H80="","",H80/MAX(H$5:H80)-1)</f>
        <v/>
      </c>
      <c r="K80" s="13" t="str">
        <f>IF(OR('实盘净值数据(iFinD公式)'!$A80="",'实盘净值数据(iFinD公式)'!$B80="",'实盘净值数据(iFinD公式)'!$Z80="",'实盘净值数据(iFinD公式)'!$AA80=""),"",分期持仓明细!$AO$23*(SUMPRODUCT(分期持仓明细!$B$23:$Y$23,'实盘净值数据(iFinD公式)'!$B80:$Y80/'实盘净值数据(iFinD公式)'!$B$65:$Y$65)+SUMPRODUCT(分期持仓明细!$Z$23:$AA$23,'实盘净值数据(iFinD公式)'!$Z80:$AA80/'实盘净值数据(iFinD公式)'!$Z$65:$AA$65))*(1-实盘持仓配置!$AM$7)^(('实盘净值数据(iFinD公式)'!$A80-'实盘净值数据(iFinD公式)'!$A$8)/365))</f>
        <v/>
      </c>
      <c r="L80" s="16" t="str">
        <f t="shared" si="16"/>
        <v/>
      </c>
      <c r="M80" s="16" t="str">
        <f>IF(K80="","",K80/MAX(K$5:K80)-1)</f>
        <v/>
      </c>
      <c r="N80" s="13" t="str">
        <f>IF(OR('实盘净值数据(iFinD公式)'!$A80="",'实盘净值数据(iFinD公式)'!$B80="",'实盘净值数据(iFinD公式)'!$Z80="",'实盘净值数据(iFinD公式)'!$AA80=""),"",分期持仓明细!$AO$24*(SUMPRODUCT(分期持仓明细!$B$24:$Y$24,'实盘净值数据(iFinD公式)'!$B80:$Y80/'实盘净值数据(iFinD公式)'!$B$65:$Y$65)+SUMPRODUCT(分期持仓明细!$Z$24:$AA$24,'实盘净值数据(iFinD公式)'!$Z80:$AA80/'实盘净值数据(iFinD公式)'!$Z$65:$AA$65))*(1-实盘持仓配置!$AM$8)^(('实盘净值数据(iFinD公式)'!$A80-'实盘净值数据(iFinD公式)'!$A$5)/365))</f>
        <v/>
      </c>
      <c r="O80" s="16" t="str">
        <f t="shared" si="17"/>
        <v/>
      </c>
      <c r="P80" s="16" t="str">
        <f>IF(N80="","",N80/MAX(N$5:N80)-1)</f>
        <v/>
      </c>
      <c r="Q80" s="13" t="str">
        <f>IF(OR('实盘净值数据(iFinD公式)'!$A80="",'实盘净值数据(iFinD公式)'!$B80="",'实盘净值数据(iFinD公式)'!$Z80="",'实盘净值数据(iFinD公式)'!$AA80=""),"",分期持仓明细!$AO$25*(SUMPRODUCT(分期持仓明细!$B$25:$Y$25,'实盘净值数据(iFinD公式)'!$B80:$Y80/'实盘净值数据(iFinD公式)'!$B$65:$Y$65)+SUMPRODUCT(分期持仓明细!$Z$25:$AA$25,'实盘净值数据(iFinD公式)'!$Z80:$AA80/'实盘净值数据(iFinD公式)'!$Z$65:$AA$65))*(1-实盘持仓配置!$AM$9)^(('实盘净值数据(iFinD公式)'!$A80-'实盘净值数据(iFinD公式)'!$A$8)/365))</f>
        <v/>
      </c>
      <c r="R80" s="16" t="str">
        <f t="shared" si="18"/>
        <v/>
      </c>
      <c r="S80" s="16" t="str">
        <f>IF(Q80="","",Q80/MAX(Q$5:Q80)-1)</f>
        <v/>
      </c>
      <c r="T80" s="13" t="str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Z$26:$AA$26,'实盘净值数据(iFinD公式)'!$Z80:$AA80/'实盘净值数据(iFinD公式)'!$Z$69:$AA$69)+SUMPRODUCT(分期持仓明细!$AB$26:$AL$26,'实盘净值数据(iFinD公式)'!$AB80:$AL80/'实盘净值数据(iFinD公式)'!$AB$69:$AL$69))*(1-实盘持仓配置!$AM$10)^(('实盘净值数据(iFinD公式)'!$A80-'实盘净值数据(iFinD公式)'!$A$69)/365))</f>
        <v/>
      </c>
      <c r="U80" s="16" t="str">
        <f t="shared" si="12"/>
        <v/>
      </c>
      <c r="V80" s="16" t="str">
        <f>IF(T80="","",T80/MAX(T$5:T80)-1)</f>
        <v/>
      </c>
    </row>
    <row r="81" spans="1:22">
      <c r="A81" s="15" t="str">
        <f>IF('实盘净值数据(iFinD公式)'!A81="","",'实盘净值数据(iFinD公式)'!A81)</f>
        <v/>
      </c>
      <c r="B81" s="13" t="str">
        <f>IF(OR('实盘净值数据(iFinD公式)'!$A81="",'实盘净值数据(iFinD公式)'!$B81=""),"",分期持仓明细!$AO$17*SUMPRODUCT(分期持仓明细!$B$17:$Y$17,'实盘净值数据(iFinD公式)'!$B81:$Y81/'实盘净值数据(iFinD公式)'!$B$20:$Y$20)*(1-实盘持仓配置!$AM$4)^(('实盘净值数据(iFinD公式)'!$A81-'实盘净值数据(iFinD公式)'!$A$6)/365))</f>
        <v/>
      </c>
      <c r="C81" s="16" t="str">
        <f t="shared" si="13"/>
        <v/>
      </c>
      <c r="D81" s="16" t="str">
        <f>IF(B81="","",B81/MAX(B$5:B81)-1)</f>
        <v/>
      </c>
      <c r="E81" s="13" t="str">
        <f>IF(OR('实盘净值数据(iFinD公式)'!$A81="",'实盘净值数据(iFinD公式)'!$B81=""),"",分期持仓明细!$AO$18*SUMPRODUCT(分期持仓明细!$B$18:$Y$18,'实盘净值数据(iFinD公式)'!$B81:$Y81/'实盘净值数据(iFinD公式)'!$B$20:$Y$20)*(1-实盘持仓配置!$AM$5)^(('实盘净值数据(iFinD公式)'!$A81-'实盘净值数据(iFinD公式)'!$A$5)/365))</f>
        <v/>
      </c>
      <c r="F81" s="16" t="str">
        <f t="shared" si="14"/>
        <v/>
      </c>
      <c r="G81" s="16" t="str">
        <f>IF(E81="","",E81/MAX(E$5:E81)-1)</f>
        <v/>
      </c>
      <c r="H81" s="13" t="str">
        <f>IF(OR('实盘净值数据(iFinD公式)'!$A81="",'实盘净值数据(iFinD公式)'!$B81=""),"",分期持仓明细!$AO$19*SUMPRODUCT(分期持仓明细!$B$19:$Y$19,'实盘净值数据(iFinD公式)'!$B81:$Y81/'实盘净值数据(iFinD公式)'!$B$20:$Y$20)*(1-实盘持仓配置!$AM$6)^(('实盘净值数据(iFinD公式)'!$A81-'实盘净值数据(iFinD公式)'!$A$7)/365))</f>
        <v/>
      </c>
      <c r="I81" s="16" t="str">
        <f t="shared" si="15"/>
        <v/>
      </c>
      <c r="J81" s="16" t="str">
        <f>IF(H81="","",H81/MAX(H$5:H81)-1)</f>
        <v/>
      </c>
      <c r="K81" s="13" t="str">
        <f>IF(OR('实盘净值数据(iFinD公式)'!$A81="",'实盘净值数据(iFinD公式)'!$B81="",'实盘净值数据(iFinD公式)'!$Z81="",'实盘净值数据(iFinD公式)'!$AA81=""),"",分期持仓明细!$AO$23*(SUMPRODUCT(分期持仓明细!$B$23:$Y$23,'实盘净值数据(iFinD公式)'!$B81:$Y81/'实盘净值数据(iFinD公式)'!$B$65:$Y$65)+SUMPRODUCT(分期持仓明细!$Z$23:$AA$23,'实盘净值数据(iFinD公式)'!$Z81:$AA81/'实盘净值数据(iFinD公式)'!$Z$65:$AA$65))*(1-实盘持仓配置!$AM$7)^(('实盘净值数据(iFinD公式)'!$A81-'实盘净值数据(iFinD公式)'!$A$8)/365))</f>
        <v/>
      </c>
      <c r="L81" s="16" t="str">
        <f t="shared" si="16"/>
        <v/>
      </c>
      <c r="M81" s="16" t="str">
        <f>IF(K81="","",K81/MAX(K$5:K81)-1)</f>
        <v/>
      </c>
      <c r="N81" s="13" t="str">
        <f>IF(OR('实盘净值数据(iFinD公式)'!$A81="",'实盘净值数据(iFinD公式)'!$B81="",'实盘净值数据(iFinD公式)'!$Z81="",'实盘净值数据(iFinD公式)'!$AA81=""),"",分期持仓明细!$AO$24*(SUMPRODUCT(分期持仓明细!$B$24:$Y$24,'实盘净值数据(iFinD公式)'!$B81:$Y81/'实盘净值数据(iFinD公式)'!$B$65:$Y$65)+SUMPRODUCT(分期持仓明细!$Z$24:$AA$24,'实盘净值数据(iFinD公式)'!$Z81:$AA81/'实盘净值数据(iFinD公式)'!$Z$65:$AA$65))*(1-实盘持仓配置!$AM$8)^(('实盘净值数据(iFinD公式)'!$A81-'实盘净值数据(iFinD公式)'!$A$5)/365))</f>
        <v/>
      </c>
      <c r="O81" s="16" t="str">
        <f t="shared" si="17"/>
        <v/>
      </c>
      <c r="P81" s="16" t="str">
        <f>IF(N81="","",N81/MAX(N$5:N81)-1)</f>
        <v/>
      </c>
      <c r="Q81" s="13" t="str">
        <f>IF(OR('实盘净值数据(iFinD公式)'!$A81="",'实盘净值数据(iFinD公式)'!$B81="",'实盘净值数据(iFinD公式)'!$Z81="",'实盘净值数据(iFinD公式)'!$AA81=""),"",分期持仓明细!$AO$25*(SUMPRODUCT(分期持仓明细!$B$25:$Y$25,'实盘净值数据(iFinD公式)'!$B81:$Y81/'实盘净值数据(iFinD公式)'!$B$65:$Y$65)+SUMPRODUCT(分期持仓明细!$Z$25:$AA$25,'实盘净值数据(iFinD公式)'!$Z81:$AA81/'实盘净值数据(iFinD公式)'!$Z$65:$AA$65))*(1-实盘持仓配置!$AM$9)^(('实盘净值数据(iFinD公式)'!$A81-'实盘净值数据(iFinD公式)'!$A$8)/365))</f>
        <v/>
      </c>
      <c r="R81" s="16" t="str">
        <f t="shared" si="18"/>
        <v/>
      </c>
      <c r="S81" s="16" t="str">
        <f>IF(Q81="","",Q81/MAX(Q$5:Q81)-1)</f>
        <v/>
      </c>
      <c r="T81" s="13" t="str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Z$26:$AA$26,'实盘净值数据(iFinD公式)'!$Z81:$AA81/'实盘净值数据(iFinD公式)'!$Z$69:$AA$69)+SUMPRODUCT(分期持仓明细!$AB$26:$AL$26,'实盘净值数据(iFinD公式)'!$AB81:$AL81/'实盘净值数据(iFinD公式)'!$AB$69:$AL$69))*(1-实盘持仓配置!$AM$10)^(('实盘净值数据(iFinD公式)'!$A81-'实盘净值数据(iFinD公式)'!$A$69)/365))</f>
        <v/>
      </c>
      <c r="U81" s="16" t="str">
        <f t="shared" si="12"/>
        <v/>
      </c>
      <c r="V81" s="16" t="str">
        <f>IF(T81="","",T81/MAX(T$5:T81)-1)</f>
        <v/>
      </c>
    </row>
    <row r="82" spans="1:22">
      <c r="A82" s="15" t="str">
        <f>IF('实盘净值数据(iFinD公式)'!A82="","",'实盘净值数据(iFinD公式)'!A82)</f>
        <v/>
      </c>
      <c r="B82" s="13" t="str">
        <f>IF(OR('实盘净值数据(iFinD公式)'!$A82="",'实盘净值数据(iFinD公式)'!$B82=""),"",分期持仓明细!$AO$17*SUMPRODUCT(分期持仓明细!$B$17:$Y$17,'实盘净值数据(iFinD公式)'!$B82:$Y82/'实盘净值数据(iFinD公式)'!$B$20:$Y$20)*(1-实盘持仓配置!$AM$4)^(('实盘净值数据(iFinD公式)'!$A82-'实盘净值数据(iFinD公式)'!$A$6)/365))</f>
        <v/>
      </c>
      <c r="C82" s="16" t="str">
        <f t="shared" si="13"/>
        <v/>
      </c>
      <c r="D82" s="16" t="str">
        <f>IF(B82="","",B82/MAX(B$5:B82)-1)</f>
        <v/>
      </c>
      <c r="E82" s="13" t="str">
        <f>IF(OR('实盘净值数据(iFinD公式)'!$A82="",'实盘净值数据(iFinD公式)'!$B82=""),"",分期持仓明细!$AO$18*SUMPRODUCT(分期持仓明细!$B$18:$Y$18,'实盘净值数据(iFinD公式)'!$B82:$Y82/'实盘净值数据(iFinD公式)'!$B$20:$Y$20)*(1-实盘持仓配置!$AM$5)^(('实盘净值数据(iFinD公式)'!$A82-'实盘净值数据(iFinD公式)'!$A$5)/365))</f>
        <v/>
      </c>
      <c r="F82" s="16" t="str">
        <f t="shared" si="14"/>
        <v/>
      </c>
      <c r="G82" s="16" t="str">
        <f>IF(E82="","",E82/MAX(E$5:E82)-1)</f>
        <v/>
      </c>
      <c r="H82" s="13" t="str">
        <f>IF(OR('实盘净值数据(iFinD公式)'!$A82="",'实盘净值数据(iFinD公式)'!$B82=""),"",分期持仓明细!$AO$19*SUMPRODUCT(分期持仓明细!$B$19:$Y$19,'实盘净值数据(iFinD公式)'!$B82:$Y82/'实盘净值数据(iFinD公式)'!$B$20:$Y$20)*(1-实盘持仓配置!$AM$6)^(('实盘净值数据(iFinD公式)'!$A82-'实盘净值数据(iFinD公式)'!$A$7)/365))</f>
        <v/>
      </c>
      <c r="I82" s="16" t="str">
        <f t="shared" si="15"/>
        <v/>
      </c>
      <c r="J82" s="16" t="str">
        <f>IF(H82="","",H82/MAX(H$5:H82)-1)</f>
        <v/>
      </c>
      <c r="K82" s="13" t="str">
        <f>IF(OR('实盘净值数据(iFinD公式)'!$A82="",'实盘净值数据(iFinD公式)'!$B82="",'实盘净值数据(iFinD公式)'!$Z82="",'实盘净值数据(iFinD公式)'!$AA82=""),"",分期持仓明细!$AO$23*(SUMPRODUCT(分期持仓明细!$B$23:$Y$23,'实盘净值数据(iFinD公式)'!$B82:$Y82/'实盘净值数据(iFinD公式)'!$B$65:$Y$65)+SUMPRODUCT(分期持仓明细!$Z$23:$AA$23,'实盘净值数据(iFinD公式)'!$Z82:$AA82/'实盘净值数据(iFinD公式)'!$Z$65:$AA$65))*(1-实盘持仓配置!$AM$7)^(('实盘净值数据(iFinD公式)'!$A82-'实盘净值数据(iFinD公式)'!$A$8)/365))</f>
        <v/>
      </c>
      <c r="L82" s="16" t="str">
        <f t="shared" si="16"/>
        <v/>
      </c>
      <c r="M82" s="16" t="str">
        <f>IF(K82="","",K82/MAX(K$5:K82)-1)</f>
        <v/>
      </c>
      <c r="N82" s="13" t="str">
        <f>IF(OR('实盘净值数据(iFinD公式)'!$A82="",'实盘净值数据(iFinD公式)'!$B82="",'实盘净值数据(iFinD公式)'!$Z82="",'实盘净值数据(iFinD公式)'!$AA82=""),"",分期持仓明细!$AO$24*(SUMPRODUCT(分期持仓明细!$B$24:$Y$24,'实盘净值数据(iFinD公式)'!$B82:$Y82/'实盘净值数据(iFinD公式)'!$B$65:$Y$65)+SUMPRODUCT(分期持仓明细!$Z$24:$AA$24,'实盘净值数据(iFinD公式)'!$Z82:$AA82/'实盘净值数据(iFinD公式)'!$Z$65:$AA$65))*(1-实盘持仓配置!$AM$8)^(('实盘净值数据(iFinD公式)'!$A82-'实盘净值数据(iFinD公式)'!$A$5)/365))</f>
        <v/>
      </c>
      <c r="O82" s="16" t="str">
        <f t="shared" si="17"/>
        <v/>
      </c>
      <c r="P82" s="16" t="str">
        <f>IF(N82="","",N82/MAX(N$5:N82)-1)</f>
        <v/>
      </c>
      <c r="Q82" s="13" t="str">
        <f>IF(OR('实盘净值数据(iFinD公式)'!$A82="",'实盘净值数据(iFinD公式)'!$B82="",'实盘净值数据(iFinD公式)'!$Z82="",'实盘净值数据(iFinD公式)'!$AA82=""),"",分期持仓明细!$AO$25*(SUMPRODUCT(分期持仓明细!$B$25:$Y$25,'实盘净值数据(iFinD公式)'!$B82:$Y82/'实盘净值数据(iFinD公式)'!$B$65:$Y$65)+SUMPRODUCT(分期持仓明细!$Z$25:$AA$25,'实盘净值数据(iFinD公式)'!$Z82:$AA82/'实盘净值数据(iFinD公式)'!$Z$65:$AA$65))*(1-实盘持仓配置!$AM$9)^(('实盘净值数据(iFinD公式)'!$A82-'实盘净值数据(iFinD公式)'!$A$8)/365))</f>
        <v/>
      </c>
      <c r="R82" s="16" t="str">
        <f t="shared" si="18"/>
        <v/>
      </c>
      <c r="S82" s="16" t="str">
        <f>IF(Q82="","",Q82/MAX(Q$5:Q82)-1)</f>
        <v/>
      </c>
      <c r="T82" s="13" t="str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Z$26:$AA$26,'实盘净值数据(iFinD公式)'!$Z82:$AA82/'实盘净值数据(iFinD公式)'!$Z$69:$AA$69)+SUMPRODUCT(分期持仓明细!$AB$26:$AL$26,'实盘净值数据(iFinD公式)'!$AB82:$AL82/'实盘净值数据(iFinD公式)'!$AB$69:$AL$69))*(1-实盘持仓配置!$AM$10)^(('实盘净值数据(iFinD公式)'!$A82-'实盘净值数据(iFinD公式)'!$A$69)/365))</f>
        <v/>
      </c>
      <c r="U82" s="16" t="str">
        <f t="shared" si="12"/>
        <v/>
      </c>
      <c r="V82" s="16" t="str">
        <f>IF(T82="","",T82/MAX(T$5:T82)-1)</f>
        <v/>
      </c>
    </row>
    <row r="83" spans="1:22">
      <c r="A83" s="15" t="str">
        <f>IF('实盘净值数据(iFinD公式)'!A83="","",'实盘净值数据(iFinD公式)'!A83)</f>
        <v/>
      </c>
      <c r="B83" s="13" t="str">
        <f>IF(OR('实盘净值数据(iFinD公式)'!$A83="",'实盘净值数据(iFinD公式)'!$B83=""),"",分期持仓明细!$AO$17*SUMPRODUCT(分期持仓明细!$B$17:$Y$17,'实盘净值数据(iFinD公式)'!$B83:$Y83/'实盘净值数据(iFinD公式)'!$B$20:$Y$20)*(1-实盘持仓配置!$AM$4)^(('实盘净值数据(iFinD公式)'!$A83-'实盘净值数据(iFinD公式)'!$A$6)/365))</f>
        <v/>
      </c>
      <c r="C83" s="16" t="str">
        <f t="shared" si="13"/>
        <v/>
      </c>
      <c r="D83" s="16" t="str">
        <f>IF(B83="","",B83/MAX(B$5:B83)-1)</f>
        <v/>
      </c>
      <c r="E83" s="13" t="str">
        <f>IF(OR('实盘净值数据(iFinD公式)'!$A83="",'实盘净值数据(iFinD公式)'!$B83=""),"",分期持仓明细!$AO$18*SUMPRODUCT(分期持仓明细!$B$18:$Y$18,'实盘净值数据(iFinD公式)'!$B83:$Y83/'实盘净值数据(iFinD公式)'!$B$20:$Y$20)*(1-实盘持仓配置!$AM$5)^(('实盘净值数据(iFinD公式)'!$A83-'实盘净值数据(iFinD公式)'!$A$5)/365))</f>
        <v/>
      </c>
      <c r="F83" s="16" t="str">
        <f t="shared" si="14"/>
        <v/>
      </c>
      <c r="G83" s="16" t="str">
        <f>IF(E83="","",E83/MAX(E$5:E83)-1)</f>
        <v/>
      </c>
      <c r="H83" s="13" t="str">
        <f>IF(OR('实盘净值数据(iFinD公式)'!$A83="",'实盘净值数据(iFinD公式)'!$B83=""),"",分期持仓明细!$AO$19*SUMPRODUCT(分期持仓明细!$B$19:$Y$19,'实盘净值数据(iFinD公式)'!$B83:$Y83/'实盘净值数据(iFinD公式)'!$B$20:$Y$20)*(1-实盘持仓配置!$AM$6)^(('实盘净值数据(iFinD公式)'!$A83-'实盘净值数据(iFinD公式)'!$A$7)/365))</f>
        <v/>
      </c>
      <c r="I83" s="16" t="str">
        <f t="shared" si="15"/>
        <v/>
      </c>
      <c r="J83" s="16" t="str">
        <f>IF(H83="","",H83/MAX(H$5:H83)-1)</f>
        <v/>
      </c>
      <c r="K83" s="13" t="str">
        <f>IF(OR('实盘净值数据(iFinD公式)'!$A83="",'实盘净值数据(iFinD公式)'!$B83="",'实盘净值数据(iFinD公式)'!$Z83="",'实盘净值数据(iFinD公式)'!$AA83=""),"",分期持仓明细!$AO$23*(SUMPRODUCT(分期持仓明细!$B$23:$Y$23,'实盘净值数据(iFinD公式)'!$B83:$Y83/'实盘净值数据(iFinD公式)'!$B$65:$Y$65)+SUMPRODUCT(分期持仓明细!$Z$23:$AA$23,'实盘净值数据(iFinD公式)'!$Z83:$AA83/'实盘净值数据(iFinD公式)'!$Z$65:$AA$65))*(1-实盘持仓配置!$AM$7)^(('实盘净值数据(iFinD公式)'!$A83-'实盘净值数据(iFinD公式)'!$A$8)/365))</f>
        <v/>
      </c>
      <c r="L83" s="16" t="str">
        <f t="shared" si="16"/>
        <v/>
      </c>
      <c r="M83" s="16" t="str">
        <f>IF(K83="","",K83/MAX(K$5:K83)-1)</f>
        <v/>
      </c>
      <c r="N83" s="13" t="str">
        <f>IF(OR('实盘净值数据(iFinD公式)'!$A83="",'实盘净值数据(iFinD公式)'!$B83="",'实盘净值数据(iFinD公式)'!$Z83="",'实盘净值数据(iFinD公式)'!$AA83=""),"",分期持仓明细!$AO$24*(SUMPRODUCT(分期持仓明细!$B$24:$Y$24,'实盘净值数据(iFinD公式)'!$B83:$Y83/'实盘净值数据(iFinD公式)'!$B$65:$Y$65)+SUMPRODUCT(分期持仓明细!$Z$24:$AA$24,'实盘净值数据(iFinD公式)'!$Z83:$AA83/'实盘净值数据(iFinD公式)'!$Z$65:$AA$65))*(1-实盘持仓配置!$AM$8)^(('实盘净值数据(iFinD公式)'!$A83-'实盘净值数据(iFinD公式)'!$A$5)/365))</f>
        <v/>
      </c>
      <c r="O83" s="16" t="str">
        <f t="shared" si="17"/>
        <v/>
      </c>
      <c r="P83" s="16" t="str">
        <f>IF(N83="","",N83/MAX(N$5:N83)-1)</f>
        <v/>
      </c>
      <c r="Q83" s="13" t="str">
        <f>IF(OR('实盘净值数据(iFinD公式)'!$A83="",'实盘净值数据(iFinD公式)'!$B83="",'实盘净值数据(iFinD公式)'!$Z83="",'实盘净值数据(iFinD公式)'!$AA83=""),"",分期持仓明细!$AO$25*(SUMPRODUCT(分期持仓明细!$B$25:$Y$25,'实盘净值数据(iFinD公式)'!$B83:$Y83/'实盘净值数据(iFinD公式)'!$B$65:$Y$65)+SUMPRODUCT(分期持仓明细!$Z$25:$AA$25,'实盘净值数据(iFinD公式)'!$Z83:$AA83/'实盘净值数据(iFinD公式)'!$Z$65:$AA$65))*(1-实盘持仓配置!$AM$9)^(('实盘净值数据(iFinD公式)'!$A83-'实盘净值数据(iFinD公式)'!$A$8)/365))</f>
        <v/>
      </c>
      <c r="R83" s="16" t="str">
        <f t="shared" si="18"/>
        <v/>
      </c>
      <c r="S83" s="16" t="str">
        <f>IF(Q83="","",Q83/MAX(Q$5:Q83)-1)</f>
        <v/>
      </c>
      <c r="T83" s="13" t="str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Z$26:$AA$26,'实盘净值数据(iFinD公式)'!$Z83:$AA83/'实盘净值数据(iFinD公式)'!$Z$69:$AA$69)+SUMPRODUCT(分期持仓明细!$AB$26:$AL$26,'实盘净值数据(iFinD公式)'!$AB83:$AL83/'实盘净值数据(iFinD公式)'!$AB$69:$AL$69))*(1-实盘持仓配置!$AM$10)^(('实盘净值数据(iFinD公式)'!$A83-'实盘净值数据(iFinD公式)'!$A$69)/365))</f>
        <v/>
      </c>
      <c r="U83" s="16" t="str">
        <f t="shared" si="12"/>
        <v/>
      </c>
      <c r="V83" s="16" t="str">
        <f>IF(T83="","",T83/MAX(T$5:T83)-1)</f>
        <v/>
      </c>
    </row>
    <row r="84" spans="1:22">
      <c r="A84" s="15" t="str">
        <f>IF('实盘净值数据(iFinD公式)'!A84="","",'实盘净值数据(iFinD公式)'!A84)</f>
        <v/>
      </c>
      <c r="B84" s="13" t="str">
        <f>IF(OR('实盘净值数据(iFinD公式)'!$A84="",'实盘净值数据(iFinD公式)'!$B84=""),"",分期持仓明细!$AO$17*SUMPRODUCT(分期持仓明细!$B$17:$Y$17,'实盘净值数据(iFinD公式)'!$B84:$Y84/'实盘净值数据(iFinD公式)'!$B$20:$Y$20)*(1-实盘持仓配置!$AM$4)^(('实盘净值数据(iFinD公式)'!$A84-'实盘净值数据(iFinD公式)'!$A$6)/365))</f>
        <v/>
      </c>
      <c r="C84" s="16" t="str">
        <f t="shared" si="13"/>
        <v/>
      </c>
      <c r="D84" s="16" t="str">
        <f>IF(B84="","",B84/MAX(B$5:B84)-1)</f>
        <v/>
      </c>
      <c r="E84" s="13" t="str">
        <f>IF(OR('实盘净值数据(iFinD公式)'!$A84="",'实盘净值数据(iFinD公式)'!$B84=""),"",分期持仓明细!$AO$18*SUMPRODUCT(分期持仓明细!$B$18:$Y$18,'实盘净值数据(iFinD公式)'!$B84:$Y84/'实盘净值数据(iFinD公式)'!$B$20:$Y$20)*(1-实盘持仓配置!$AM$5)^(('实盘净值数据(iFinD公式)'!$A84-'实盘净值数据(iFinD公式)'!$A$5)/365))</f>
        <v/>
      </c>
      <c r="F84" s="16" t="str">
        <f t="shared" si="14"/>
        <v/>
      </c>
      <c r="G84" s="16" t="str">
        <f>IF(E84="","",E84/MAX(E$5:E84)-1)</f>
        <v/>
      </c>
      <c r="H84" s="13" t="str">
        <f>IF(OR('实盘净值数据(iFinD公式)'!$A84="",'实盘净值数据(iFinD公式)'!$B84=""),"",分期持仓明细!$AO$19*SUMPRODUCT(分期持仓明细!$B$19:$Y$19,'实盘净值数据(iFinD公式)'!$B84:$Y84/'实盘净值数据(iFinD公式)'!$B$20:$Y$20)*(1-实盘持仓配置!$AM$6)^(('实盘净值数据(iFinD公式)'!$A84-'实盘净值数据(iFinD公式)'!$A$7)/365))</f>
        <v/>
      </c>
      <c r="I84" s="16" t="str">
        <f t="shared" si="15"/>
        <v/>
      </c>
      <c r="J84" s="16" t="str">
        <f>IF(H84="","",H84/MAX(H$5:H84)-1)</f>
        <v/>
      </c>
      <c r="K84" s="13" t="str">
        <f>IF(OR('实盘净值数据(iFinD公式)'!$A84="",'实盘净值数据(iFinD公式)'!$B84="",'实盘净值数据(iFinD公式)'!$Z84="",'实盘净值数据(iFinD公式)'!$AA84=""),"",分期持仓明细!$AO$23*(SUMPRODUCT(分期持仓明细!$B$23:$Y$23,'实盘净值数据(iFinD公式)'!$B84:$Y84/'实盘净值数据(iFinD公式)'!$B$65:$Y$65)+SUMPRODUCT(分期持仓明细!$Z$23:$AA$23,'实盘净值数据(iFinD公式)'!$Z84:$AA84/'实盘净值数据(iFinD公式)'!$Z$65:$AA$65))*(1-实盘持仓配置!$AM$7)^(('实盘净值数据(iFinD公式)'!$A84-'实盘净值数据(iFinD公式)'!$A$8)/365))</f>
        <v/>
      </c>
      <c r="L84" s="16" t="str">
        <f t="shared" si="16"/>
        <v/>
      </c>
      <c r="M84" s="16" t="str">
        <f>IF(K84="","",K84/MAX(K$5:K84)-1)</f>
        <v/>
      </c>
      <c r="N84" s="13" t="str">
        <f>IF(OR('实盘净值数据(iFinD公式)'!$A84="",'实盘净值数据(iFinD公式)'!$B84="",'实盘净值数据(iFinD公式)'!$Z84="",'实盘净值数据(iFinD公式)'!$AA84=""),"",分期持仓明细!$AO$24*(SUMPRODUCT(分期持仓明细!$B$24:$Y$24,'实盘净值数据(iFinD公式)'!$B84:$Y84/'实盘净值数据(iFinD公式)'!$B$65:$Y$65)+SUMPRODUCT(分期持仓明细!$Z$24:$AA$24,'实盘净值数据(iFinD公式)'!$Z84:$AA84/'实盘净值数据(iFinD公式)'!$Z$65:$AA$65))*(1-实盘持仓配置!$AM$8)^(('实盘净值数据(iFinD公式)'!$A84-'实盘净值数据(iFinD公式)'!$A$5)/365))</f>
        <v/>
      </c>
      <c r="O84" s="16" t="str">
        <f t="shared" si="17"/>
        <v/>
      </c>
      <c r="P84" s="16" t="str">
        <f>IF(N84="","",N84/MAX(N$5:N84)-1)</f>
        <v/>
      </c>
      <c r="Q84" s="13" t="str">
        <f>IF(OR('实盘净值数据(iFinD公式)'!$A84="",'实盘净值数据(iFinD公式)'!$B84="",'实盘净值数据(iFinD公式)'!$Z84="",'实盘净值数据(iFinD公式)'!$AA84=""),"",分期持仓明细!$AO$25*(SUMPRODUCT(分期持仓明细!$B$25:$Y$25,'实盘净值数据(iFinD公式)'!$B84:$Y84/'实盘净值数据(iFinD公式)'!$B$65:$Y$65)+SUMPRODUCT(分期持仓明细!$Z$25:$AA$25,'实盘净值数据(iFinD公式)'!$Z84:$AA84/'实盘净值数据(iFinD公式)'!$Z$65:$AA$65))*(1-实盘持仓配置!$AM$9)^(('实盘净值数据(iFinD公式)'!$A84-'实盘净值数据(iFinD公式)'!$A$8)/365))</f>
        <v/>
      </c>
      <c r="R84" s="16" t="str">
        <f t="shared" si="18"/>
        <v/>
      </c>
      <c r="S84" s="16" t="str">
        <f>IF(Q84="","",Q84/MAX(Q$5:Q84)-1)</f>
        <v/>
      </c>
      <c r="T84" s="13" t="str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Z$26:$AA$26,'实盘净值数据(iFinD公式)'!$Z84:$AA84/'实盘净值数据(iFinD公式)'!$Z$69:$AA$69)+SUMPRODUCT(分期持仓明细!$AB$26:$AL$26,'实盘净值数据(iFinD公式)'!$AB84:$AL84/'实盘净值数据(iFinD公式)'!$AB$69:$AL$69))*(1-实盘持仓配置!$AM$10)^(('实盘净值数据(iFinD公式)'!$A84-'实盘净值数据(iFinD公式)'!$A$69)/365))</f>
        <v/>
      </c>
      <c r="U84" s="16" t="str">
        <f t="shared" si="12"/>
        <v/>
      </c>
      <c r="V84" s="16" t="str">
        <f>IF(T84="","",T84/MAX(T$5:T84)-1)</f>
        <v/>
      </c>
    </row>
    <row r="85" spans="1:22">
      <c r="A85" s="15" t="str">
        <f>IF('实盘净值数据(iFinD公式)'!A85="","",'实盘净值数据(iFinD公式)'!A85)</f>
        <v/>
      </c>
      <c r="B85" s="13" t="str">
        <f>IF(OR('实盘净值数据(iFinD公式)'!$A85="",'实盘净值数据(iFinD公式)'!$B85=""),"",分期持仓明细!$AO$17*SUMPRODUCT(分期持仓明细!$B$17:$Y$17,'实盘净值数据(iFinD公式)'!$B85:$Y85/'实盘净值数据(iFinD公式)'!$B$20:$Y$20)*(1-实盘持仓配置!$AM$4)^(('实盘净值数据(iFinD公式)'!$A85-'实盘净值数据(iFinD公式)'!$A$6)/365))</f>
        <v/>
      </c>
      <c r="C85" s="16" t="str">
        <f t="shared" si="13"/>
        <v/>
      </c>
      <c r="D85" s="16" t="str">
        <f>IF(B85="","",B85/MAX(B$5:B85)-1)</f>
        <v/>
      </c>
      <c r="E85" s="13" t="str">
        <f>IF(OR('实盘净值数据(iFinD公式)'!$A85="",'实盘净值数据(iFinD公式)'!$B85=""),"",分期持仓明细!$AO$18*SUMPRODUCT(分期持仓明细!$B$18:$Y$18,'实盘净值数据(iFinD公式)'!$B85:$Y85/'实盘净值数据(iFinD公式)'!$B$20:$Y$20)*(1-实盘持仓配置!$AM$5)^(('实盘净值数据(iFinD公式)'!$A85-'实盘净值数据(iFinD公式)'!$A$5)/365))</f>
        <v/>
      </c>
      <c r="F85" s="16" t="str">
        <f t="shared" si="14"/>
        <v/>
      </c>
      <c r="G85" s="16" t="str">
        <f>IF(E85="","",E85/MAX(E$5:E85)-1)</f>
        <v/>
      </c>
      <c r="H85" s="13" t="str">
        <f>IF(OR('实盘净值数据(iFinD公式)'!$A85="",'实盘净值数据(iFinD公式)'!$B85=""),"",分期持仓明细!$AO$19*SUMPRODUCT(分期持仓明细!$B$19:$Y$19,'实盘净值数据(iFinD公式)'!$B85:$Y85/'实盘净值数据(iFinD公式)'!$B$20:$Y$20)*(1-实盘持仓配置!$AM$6)^(('实盘净值数据(iFinD公式)'!$A85-'实盘净值数据(iFinD公式)'!$A$7)/365))</f>
        <v/>
      </c>
      <c r="I85" s="16" t="str">
        <f t="shared" si="15"/>
        <v/>
      </c>
      <c r="J85" s="16" t="str">
        <f>IF(H85="","",H85/MAX(H$5:H85)-1)</f>
        <v/>
      </c>
      <c r="K85" s="13" t="str">
        <f>IF(OR('实盘净值数据(iFinD公式)'!$A85="",'实盘净值数据(iFinD公式)'!$B85="",'实盘净值数据(iFinD公式)'!$Z85="",'实盘净值数据(iFinD公式)'!$AA85=""),"",分期持仓明细!$AO$23*(SUMPRODUCT(分期持仓明细!$B$23:$Y$23,'实盘净值数据(iFinD公式)'!$B85:$Y85/'实盘净值数据(iFinD公式)'!$B$65:$Y$65)+SUMPRODUCT(分期持仓明细!$Z$23:$AA$23,'实盘净值数据(iFinD公式)'!$Z85:$AA85/'实盘净值数据(iFinD公式)'!$Z$65:$AA$65))*(1-实盘持仓配置!$AM$7)^(('实盘净值数据(iFinD公式)'!$A85-'实盘净值数据(iFinD公式)'!$A$8)/365))</f>
        <v/>
      </c>
      <c r="L85" s="16" t="str">
        <f t="shared" si="16"/>
        <v/>
      </c>
      <c r="M85" s="16" t="str">
        <f>IF(K85="","",K85/MAX(K$5:K85)-1)</f>
        <v/>
      </c>
      <c r="N85" s="13" t="str">
        <f>IF(OR('实盘净值数据(iFinD公式)'!$A85="",'实盘净值数据(iFinD公式)'!$B85="",'实盘净值数据(iFinD公式)'!$Z85="",'实盘净值数据(iFinD公式)'!$AA85=""),"",分期持仓明细!$AO$24*(SUMPRODUCT(分期持仓明细!$B$24:$Y$24,'实盘净值数据(iFinD公式)'!$B85:$Y85/'实盘净值数据(iFinD公式)'!$B$65:$Y$65)+SUMPRODUCT(分期持仓明细!$Z$24:$AA$24,'实盘净值数据(iFinD公式)'!$Z85:$AA85/'实盘净值数据(iFinD公式)'!$Z$65:$AA$65))*(1-实盘持仓配置!$AM$8)^(('实盘净值数据(iFinD公式)'!$A85-'实盘净值数据(iFinD公式)'!$A$5)/365))</f>
        <v/>
      </c>
      <c r="O85" s="16" t="str">
        <f t="shared" si="17"/>
        <v/>
      </c>
      <c r="P85" s="16" t="str">
        <f>IF(N85="","",N85/MAX(N$5:N85)-1)</f>
        <v/>
      </c>
      <c r="Q85" s="13" t="str">
        <f>IF(OR('实盘净值数据(iFinD公式)'!$A85="",'实盘净值数据(iFinD公式)'!$B85="",'实盘净值数据(iFinD公式)'!$Z85="",'实盘净值数据(iFinD公式)'!$AA85=""),"",分期持仓明细!$AO$25*(SUMPRODUCT(分期持仓明细!$B$25:$Y$25,'实盘净值数据(iFinD公式)'!$B85:$Y85/'实盘净值数据(iFinD公式)'!$B$65:$Y$65)+SUMPRODUCT(分期持仓明细!$Z$25:$AA$25,'实盘净值数据(iFinD公式)'!$Z85:$AA85/'实盘净值数据(iFinD公式)'!$Z$65:$AA$65))*(1-实盘持仓配置!$AM$9)^(('实盘净值数据(iFinD公式)'!$A85-'实盘净值数据(iFinD公式)'!$A$8)/365))</f>
        <v/>
      </c>
      <c r="R85" s="16" t="str">
        <f t="shared" si="18"/>
        <v/>
      </c>
      <c r="S85" s="16" t="str">
        <f>IF(Q85="","",Q85/MAX(Q$5:Q85)-1)</f>
        <v/>
      </c>
      <c r="T85" s="13" t="str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Z$26:$AA$26,'实盘净值数据(iFinD公式)'!$Z85:$AA85/'实盘净值数据(iFinD公式)'!$Z$69:$AA$69)+SUMPRODUCT(分期持仓明细!$AB$26:$AL$26,'实盘净值数据(iFinD公式)'!$AB85:$AL85/'实盘净值数据(iFinD公式)'!$AB$69:$AL$69))*(1-实盘持仓配置!$AM$10)^(('实盘净值数据(iFinD公式)'!$A85-'实盘净值数据(iFinD公式)'!$A$69)/365))</f>
        <v/>
      </c>
      <c r="U85" s="16" t="str">
        <f t="shared" si="12"/>
        <v/>
      </c>
      <c r="V85" s="16" t="str">
        <f>IF(T85="","",T85/MAX(T$5:T85)-1)</f>
        <v/>
      </c>
    </row>
    <row r="86" spans="1:22">
      <c r="A86" s="15" t="str">
        <f>IF('实盘净值数据(iFinD公式)'!A86="","",'实盘净值数据(iFinD公式)'!A86)</f>
        <v/>
      </c>
      <c r="B86" s="13" t="str">
        <f>IF(OR('实盘净值数据(iFinD公式)'!$A86="",'实盘净值数据(iFinD公式)'!$B86=""),"",分期持仓明细!$AO$17*SUMPRODUCT(分期持仓明细!$B$17:$Y$17,'实盘净值数据(iFinD公式)'!$B86:$Y86/'实盘净值数据(iFinD公式)'!$B$20:$Y$20)*(1-实盘持仓配置!$AM$4)^(('实盘净值数据(iFinD公式)'!$A86-'实盘净值数据(iFinD公式)'!$A$6)/365))</f>
        <v/>
      </c>
      <c r="C86" s="16" t="str">
        <f t="shared" si="13"/>
        <v/>
      </c>
      <c r="D86" s="16" t="str">
        <f>IF(B86="","",B86/MAX(B$5:B86)-1)</f>
        <v/>
      </c>
      <c r="E86" s="13" t="str">
        <f>IF(OR('实盘净值数据(iFinD公式)'!$A86="",'实盘净值数据(iFinD公式)'!$B86=""),"",分期持仓明细!$AO$18*SUMPRODUCT(分期持仓明细!$B$18:$Y$18,'实盘净值数据(iFinD公式)'!$B86:$Y86/'实盘净值数据(iFinD公式)'!$B$20:$Y$20)*(1-实盘持仓配置!$AM$5)^(('实盘净值数据(iFinD公式)'!$A86-'实盘净值数据(iFinD公式)'!$A$5)/365))</f>
        <v/>
      </c>
      <c r="F86" s="16" t="str">
        <f t="shared" si="14"/>
        <v/>
      </c>
      <c r="G86" s="16" t="str">
        <f>IF(E86="","",E86/MAX(E$5:E86)-1)</f>
        <v/>
      </c>
      <c r="H86" s="13" t="str">
        <f>IF(OR('实盘净值数据(iFinD公式)'!$A86="",'实盘净值数据(iFinD公式)'!$B86=""),"",分期持仓明细!$AO$19*SUMPRODUCT(分期持仓明细!$B$19:$Y$19,'实盘净值数据(iFinD公式)'!$B86:$Y86/'实盘净值数据(iFinD公式)'!$B$20:$Y$20)*(1-实盘持仓配置!$AM$6)^(('实盘净值数据(iFinD公式)'!$A86-'实盘净值数据(iFinD公式)'!$A$7)/365))</f>
        <v/>
      </c>
      <c r="I86" s="16" t="str">
        <f t="shared" si="15"/>
        <v/>
      </c>
      <c r="J86" s="16" t="str">
        <f>IF(H86="","",H86/MAX(H$5:H86)-1)</f>
        <v/>
      </c>
      <c r="K86" s="13" t="str">
        <f>IF(OR('实盘净值数据(iFinD公式)'!$A86="",'实盘净值数据(iFinD公式)'!$B86="",'实盘净值数据(iFinD公式)'!$Z86="",'实盘净值数据(iFinD公式)'!$AA86=""),"",分期持仓明细!$AO$23*(SUMPRODUCT(分期持仓明细!$B$23:$Y$23,'实盘净值数据(iFinD公式)'!$B86:$Y86/'实盘净值数据(iFinD公式)'!$B$65:$Y$65)+SUMPRODUCT(分期持仓明细!$Z$23:$AA$23,'实盘净值数据(iFinD公式)'!$Z86:$AA86/'实盘净值数据(iFinD公式)'!$Z$65:$AA$65))*(1-实盘持仓配置!$AM$7)^(('实盘净值数据(iFinD公式)'!$A86-'实盘净值数据(iFinD公式)'!$A$8)/365))</f>
        <v/>
      </c>
      <c r="L86" s="16" t="str">
        <f t="shared" si="16"/>
        <v/>
      </c>
      <c r="M86" s="16" t="str">
        <f>IF(K86="","",K86/MAX(K$5:K86)-1)</f>
        <v/>
      </c>
      <c r="N86" s="13" t="str">
        <f>IF(OR('实盘净值数据(iFinD公式)'!$A86="",'实盘净值数据(iFinD公式)'!$B86="",'实盘净值数据(iFinD公式)'!$Z86="",'实盘净值数据(iFinD公式)'!$AA86=""),"",分期持仓明细!$AO$24*(SUMPRODUCT(分期持仓明细!$B$24:$Y$24,'实盘净值数据(iFinD公式)'!$B86:$Y86/'实盘净值数据(iFinD公式)'!$B$65:$Y$65)+SUMPRODUCT(分期持仓明细!$Z$24:$AA$24,'实盘净值数据(iFinD公式)'!$Z86:$AA86/'实盘净值数据(iFinD公式)'!$Z$65:$AA$65))*(1-实盘持仓配置!$AM$8)^(('实盘净值数据(iFinD公式)'!$A86-'实盘净值数据(iFinD公式)'!$A$5)/365))</f>
        <v/>
      </c>
      <c r="O86" s="16" t="str">
        <f t="shared" si="17"/>
        <v/>
      </c>
      <c r="P86" s="16" t="str">
        <f>IF(N86="","",N86/MAX(N$5:N86)-1)</f>
        <v/>
      </c>
      <c r="Q86" s="13" t="str">
        <f>IF(OR('实盘净值数据(iFinD公式)'!$A86="",'实盘净值数据(iFinD公式)'!$B86="",'实盘净值数据(iFinD公式)'!$Z86="",'实盘净值数据(iFinD公式)'!$AA86=""),"",分期持仓明细!$AO$25*(SUMPRODUCT(分期持仓明细!$B$25:$Y$25,'实盘净值数据(iFinD公式)'!$B86:$Y86/'实盘净值数据(iFinD公式)'!$B$65:$Y$65)+SUMPRODUCT(分期持仓明细!$Z$25:$AA$25,'实盘净值数据(iFinD公式)'!$Z86:$AA86/'实盘净值数据(iFinD公式)'!$Z$65:$AA$65))*(1-实盘持仓配置!$AM$9)^(('实盘净值数据(iFinD公式)'!$A86-'实盘净值数据(iFinD公式)'!$A$8)/365))</f>
        <v/>
      </c>
      <c r="R86" s="16" t="str">
        <f t="shared" si="18"/>
        <v/>
      </c>
      <c r="S86" s="16" t="str">
        <f>IF(Q86="","",Q86/MAX(Q$5:Q86)-1)</f>
        <v/>
      </c>
      <c r="T86" s="13" t="str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Z$26:$AA$26,'实盘净值数据(iFinD公式)'!$Z86:$AA86/'实盘净值数据(iFinD公式)'!$Z$69:$AA$69)+SUMPRODUCT(分期持仓明细!$AB$26:$AL$26,'实盘净值数据(iFinD公式)'!$AB86:$AL86/'实盘净值数据(iFinD公式)'!$AB$69:$AL$69))*(1-实盘持仓配置!$AM$10)^(('实盘净值数据(iFinD公式)'!$A86-'实盘净值数据(iFinD公式)'!$A$69)/365))</f>
        <v/>
      </c>
      <c r="U86" s="16" t="str">
        <f t="shared" si="12"/>
        <v/>
      </c>
      <c r="V86" s="16" t="str">
        <f>IF(T86="","",T86/MAX(T$5:T86)-1)</f>
        <v/>
      </c>
    </row>
    <row r="87" spans="1:22">
      <c r="A87" s="15" t="str">
        <f>IF('实盘净值数据(iFinD公式)'!A87="","",'实盘净值数据(iFinD公式)'!A87)</f>
        <v/>
      </c>
      <c r="B87" s="13" t="str">
        <f>IF(OR('实盘净值数据(iFinD公式)'!$A87="",'实盘净值数据(iFinD公式)'!$B87=""),"",分期持仓明细!$AO$17*SUMPRODUCT(分期持仓明细!$B$17:$Y$17,'实盘净值数据(iFinD公式)'!$B87:$Y87/'实盘净值数据(iFinD公式)'!$B$20:$Y$20)*(1-实盘持仓配置!$AM$4)^(('实盘净值数据(iFinD公式)'!$A87-'实盘净值数据(iFinD公式)'!$A$6)/365))</f>
        <v/>
      </c>
      <c r="C87" s="16" t="str">
        <f t="shared" si="13"/>
        <v/>
      </c>
      <c r="D87" s="16" t="str">
        <f>IF(B87="","",B87/MAX(B$5:B87)-1)</f>
        <v/>
      </c>
      <c r="E87" s="13" t="str">
        <f>IF(OR('实盘净值数据(iFinD公式)'!$A87="",'实盘净值数据(iFinD公式)'!$B87=""),"",分期持仓明细!$AO$18*SUMPRODUCT(分期持仓明细!$B$18:$Y$18,'实盘净值数据(iFinD公式)'!$B87:$Y87/'实盘净值数据(iFinD公式)'!$B$20:$Y$20)*(1-实盘持仓配置!$AM$5)^(('实盘净值数据(iFinD公式)'!$A87-'实盘净值数据(iFinD公式)'!$A$5)/365))</f>
        <v/>
      </c>
      <c r="F87" s="16" t="str">
        <f t="shared" si="14"/>
        <v/>
      </c>
      <c r="G87" s="16" t="str">
        <f>IF(E87="","",E87/MAX(E$5:E87)-1)</f>
        <v/>
      </c>
      <c r="H87" s="13" t="str">
        <f>IF(OR('实盘净值数据(iFinD公式)'!$A87="",'实盘净值数据(iFinD公式)'!$B87=""),"",分期持仓明细!$AO$19*SUMPRODUCT(分期持仓明细!$B$19:$Y$19,'实盘净值数据(iFinD公式)'!$B87:$Y87/'实盘净值数据(iFinD公式)'!$B$20:$Y$20)*(1-实盘持仓配置!$AM$6)^(('实盘净值数据(iFinD公式)'!$A87-'实盘净值数据(iFinD公式)'!$A$7)/365))</f>
        <v/>
      </c>
      <c r="I87" s="16" t="str">
        <f t="shared" si="15"/>
        <v/>
      </c>
      <c r="J87" s="16" t="str">
        <f>IF(H87="","",H87/MAX(H$5:H87)-1)</f>
        <v/>
      </c>
      <c r="K87" s="13" t="str">
        <f>IF(OR('实盘净值数据(iFinD公式)'!$A87="",'实盘净值数据(iFinD公式)'!$B87="",'实盘净值数据(iFinD公式)'!$Z87="",'实盘净值数据(iFinD公式)'!$AA87=""),"",分期持仓明细!$AO$23*(SUMPRODUCT(分期持仓明细!$B$23:$Y$23,'实盘净值数据(iFinD公式)'!$B87:$Y87/'实盘净值数据(iFinD公式)'!$B$65:$Y$65)+SUMPRODUCT(分期持仓明细!$Z$23:$AA$23,'实盘净值数据(iFinD公式)'!$Z87:$AA87/'实盘净值数据(iFinD公式)'!$Z$65:$AA$65))*(1-实盘持仓配置!$AM$7)^(('实盘净值数据(iFinD公式)'!$A87-'实盘净值数据(iFinD公式)'!$A$8)/365))</f>
        <v/>
      </c>
      <c r="L87" s="16" t="str">
        <f t="shared" si="16"/>
        <v/>
      </c>
      <c r="M87" s="16" t="str">
        <f>IF(K87="","",K87/MAX(K$5:K87)-1)</f>
        <v/>
      </c>
      <c r="N87" s="13" t="str">
        <f>IF(OR('实盘净值数据(iFinD公式)'!$A87="",'实盘净值数据(iFinD公式)'!$B87="",'实盘净值数据(iFinD公式)'!$Z87="",'实盘净值数据(iFinD公式)'!$AA87=""),"",分期持仓明细!$AO$24*(SUMPRODUCT(分期持仓明细!$B$24:$Y$24,'实盘净值数据(iFinD公式)'!$B87:$Y87/'实盘净值数据(iFinD公式)'!$B$65:$Y$65)+SUMPRODUCT(分期持仓明细!$Z$24:$AA$24,'实盘净值数据(iFinD公式)'!$Z87:$AA87/'实盘净值数据(iFinD公式)'!$Z$65:$AA$65))*(1-实盘持仓配置!$AM$8)^(('实盘净值数据(iFinD公式)'!$A87-'实盘净值数据(iFinD公式)'!$A$5)/365))</f>
        <v/>
      </c>
      <c r="O87" s="16" t="str">
        <f t="shared" si="17"/>
        <v/>
      </c>
      <c r="P87" s="16" t="str">
        <f>IF(N87="","",N87/MAX(N$5:N87)-1)</f>
        <v/>
      </c>
      <c r="Q87" s="13" t="str">
        <f>IF(OR('实盘净值数据(iFinD公式)'!$A87="",'实盘净值数据(iFinD公式)'!$B87="",'实盘净值数据(iFinD公式)'!$Z87="",'实盘净值数据(iFinD公式)'!$AA87=""),"",分期持仓明细!$AO$25*(SUMPRODUCT(分期持仓明细!$B$25:$Y$25,'实盘净值数据(iFinD公式)'!$B87:$Y87/'实盘净值数据(iFinD公式)'!$B$65:$Y$65)+SUMPRODUCT(分期持仓明细!$Z$25:$AA$25,'实盘净值数据(iFinD公式)'!$Z87:$AA87/'实盘净值数据(iFinD公式)'!$Z$65:$AA$65))*(1-实盘持仓配置!$AM$9)^(('实盘净值数据(iFinD公式)'!$A87-'实盘净值数据(iFinD公式)'!$A$8)/365))</f>
        <v/>
      </c>
      <c r="R87" s="16" t="str">
        <f t="shared" si="18"/>
        <v/>
      </c>
      <c r="S87" s="16" t="str">
        <f>IF(Q87="","",Q87/MAX(Q$5:Q87)-1)</f>
        <v/>
      </c>
      <c r="T87" s="13" t="str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Z$26:$AA$26,'实盘净值数据(iFinD公式)'!$Z87:$AA87/'实盘净值数据(iFinD公式)'!$Z$69:$AA$69)+SUMPRODUCT(分期持仓明细!$AB$26:$AL$26,'实盘净值数据(iFinD公式)'!$AB87:$AL87/'实盘净值数据(iFinD公式)'!$AB$69:$AL$69))*(1-实盘持仓配置!$AM$10)^(('实盘净值数据(iFinD公式)'!$A87-'实盘净值数据(iFinD公式)'!$A$69)/365))</f>
        <v/>
      </c>
      <c r="U87" s="16" t="str">
        <f t="shared" si="12"/>
        <v/>
      </c>
      <c r="V87" s="16" t="str">
        <f>IF(T87="","",T87/MAX(T$5:T87)-1)</f>
        <v/>
      </c>
    </row>
    <row r="88" spans="1:22">
      <c r="A88" s="15" t="str">
        <f>IF('实盘净值数据(iFinD公式)'!A88="","",'实盘净值数据(iFinD公式)'!A88)</f>
        <v/>
      </c>
      <c r="B88" s="13" t="str">
        <f>IF(OR('实盘净值数据(iFinD公式)'!$A88="",'实盘净值数据(iFinD公式)'!$B88=""),"",分期持仓明细!$AO$17*SUMPRODUCT(分期持仓明细!$B$17:$Y$17,'实盘净值数据(iFinD公式)'!$B88:$Y88/'实盘净值数据(iFinD公式)'!$B$20:$Y$20)*(1-实盘持仓配置!$AM$4)^(('实盘净值数据(iFinD公式)'!$A88-'实盘净值数据(iFinD公式)'!$A$6)/365))</f>
        <v/>
      </c>
      <c r="C88" s="16" t="str">
        <f t="shared" si="13"/>
        <v/>
      </c>
      <c r="D88" s="16" t="str">
        <f>IF(B88="","",B88/MAX(B$5:B88)-1)</f>
        <v/>
      </c>
      <c r="E88" s="13" t="str">
        <f>IF(OR('实盘净值数据(iFinD公式)'!$A88="",'实盘净值数据(iFinD公式)'!$B88=""),"",分期持仓明细!$AO$18*SUMPRODUCT(分期持仓明细!$B$18:$Y$18,'实盘净值数据(iFinD公式)'!$B88:$Y88/'实盘净值数据(iFinD公式)'!$B$20:$Y$20)*(1-实盘持仓配置!$AM$5)^(('实盘净值数据(iFinD公式)'!$A88-'实盘净值数据(iFinD公式)'!$A$5)/365))</f>
        <v/>
      </c>
      <c r="F88" s="16" t="str">
        <f t="shared" si="14"/>
        <v/>
      </c>
      <c r="G88" s="16" t="str">
        <f>IF(E88="","",E88/MAX(E$5:E88)-1)</f>
        <v/>
      </c>
      <c r="H88" s="13" t="str">
        <f>IF(OR('实盘净值数据(iFinD公式)'!$A88="",'实盘净值数据(iFinD公式)'!$B88=""),"",分期持仓明细!$AO$19*SUMPRODUCT(分期持仓明细!$B$19:$Y$19,'实盘净值数据(iFinD公式)'!$B88:$Y88/'实盘净值数据(iFinD公式)'!$B$20:$Y$20)*(1-实盘持仓配置!$AM$6)^(('实盘净值数据(iFinD公式)'!$A88-'实盘净值数据(iFinD公式)'!$A$7)/365))</f>
        <v/>
      </c>
      <c r="I88" s="16" t="str">
        <f t="shared" si="15"/>
        <v/>
      </c>
      <c r="J88" s="16" t="str">
        <f>IF(H88="","",H88/MAX(H$5:H88)-1)</f>
        <v/>
      </c>
      <c r="K88" s="13" t="str">
        <f>IF(OR('实盘净值数据(iFinD公式)'!$A88="",'实盘净值数据(iFinD公式)'!$B88="",'实盘净值数据(iFinD公式)'!$Z88="",'实盘净值数据(iFinD公式)'!$AA88=""),"",分期持仓明细!$AO$23*(SUMPRODUCT(分期持仓明细!$B$23:$Y$23,'实盘净值数据(iFinD公式)'!$B88:$Y88/'实盘净值数据(iFinD公式)'!$B$65:$Y$65)+SUMPRODUCT(分期持仓明细!$Z$23:$AA$23,'实盘净值数据(iFinD公式)'!$Z88:$AA88/'实盘净值数据(iFinD公式)'!$Z$65:$AA$65))*(1-实盘持仓配置!$AM$7)^(('实盘净值数据(iFinD公式)'!$A88-'实盘净值数据(iFinD公式)'!$A$8)/365))</f>
        <v/>
      </c>
      <c r="L88" s="16" t="str">
        <f t="shared" si="16"/>
        <v/>
      </c>
      <c r="M88" s="16" t="str">
        <f>IF(K88="","",K88/MAX(K$5:K88)-1)</f>
        <v/>
      </c>
      <c r="N88" s="13" t="str">
        <f>IF(OR('实盘净值数据(iFinD公式)'!$A88="",'实盘净值数据(iFinD公式)'!$B88="",'实盘净值数据(iFinD公式)'!$Z88="",'实盘净值数据(iFinD公式)'!$AA88=""),"",分期持仓明细!$AO$24*(SUMPRODUCT(分期持仓明细!$B$24:$Y$24,'实盘净值数据(iFinD公式)'!$B88:$Y88/'实盘净值数据(iFinD公式)'!$B$65:$Y$65)+SUMPRODUCT(分期持仓明细!$Z$24:$AA$24,'实盘净值数据(iFinD公式)'!$Z88:$AA88/'实盘净值数据(iFinD公式)'!$Z$65:$AA$65))*(1-实盘持仓配置!$AM$8)^(('实盘净值数据(iFinD公式)'!$A88-'实盘净值数据(iFinD公式)'!$A$5)/365))</f>
        <v/>
      </c>
      <c r="O88" s="16" t="str">
        <f t="shared" si="17"/>
        <v/>
      </c>
      <c r="P88" s="16" t="str">
        <f>IF(N88="","",N88/MAX(N$5:N88)-1)</f>
        <v/>
      </c>
      <c r="Q88" s="13" t="str">
        <f>IF(OR('实盘净值数据(iFinD公式)'!$A88="",'实盘净值数据(iFinD公式)'!$B88="",'实盘净值数据(iFinD公式)'!$Z88="",'实盘净值数据(iFinD公式)'!$AA88=""),"",分期持仓明细!$AO$25*(SUMPRODUCT(分期持仓明细!$B$25:$Y$25,'实盘净值数据(iFinD公式)'!$B88:$Y88/'实盘净值数据(iFinD公式)'!$B$65:$Y$65)+SUMPRODUCT(分期持仓明细!$Z$25:$AA$25,'实盘净值数据(iFinD公式)'!$Z88:$AA88/'实盘净值数据(iFinD公式)'!$Z$65:$AA$65))*(1-实盘持仓配置!$AM$9)^(('实盘净值数据(iFinD公式)'!$A88-'实盘净值数据(iFinD公式)'!$A$8)/365))</f>
        <v/>
      </c>
      <c r="R88" s="16" t="str">
        <f t="shared" si="18"/>
        <v/>
      </c>
      <c r="S88" s="16" t="str">
        <f>IF(Q88="","",Q88/MAX(Q$5:Q88)-1)</f>
        <v/>
      </c>
      <c r="T88" s="13" t="str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Z$26:$AA$26,'实盘净值数据(iFinD公式)'!$Z88:$AA88/'实盘净值数据(iFinD公式)'!$Z$69:$AA$69)+SUMPRODUCT(分期持仓明细!$AB$26:$AL$26,'实盘净值数据(iFinD公式)'!$AB88:$AL88/'实盘净值数据(iFinD公式)'!$AB$69:$AL$69))*(1-实盘持仓配置!$AM$10)^(('实盘净值数据(iFinD公式)'!$A88-'实盘净值数据(iFinD公式)'!$A$69)/365))</f>
        <v/>
      </c>
      <c r="U88" s="16" t="str">
        <f t="shared" si="12"/>
        <v/>
      </c>
      <c r="V88" s="16" t="str">
        <f>IF(T88="","",T88/MAX(T$5:T88)-1)</f>
        <v/>
      </c>
    </row>
    <row r="89" spans="1:22">
      <c r="A89" s="15" t="str">
        <f>IF('实盘净值数据(iFinD公式)'!A89="","",'实盘净值数据(iFinD公式)'!A89)</f>
        <v/>
      </c>
      <c r="B89" s="13" t="str">
        <f>IF(OR('实盘净值数据(iFinD公式)'!$A89="",'实盘净值数据(iFinD公式)'!$B89=""),"",分期持仓明细!$AO$17*SUMPRODUCT(分期持仓明细!$B$17:$Y$17,'实盘净值数据(iFinD公式)'!$B89:$Y89/'实盘净值数据(iFinD公式)'!$B$20:$Y$20)*(1-实盘持仓配置!$AM$4)^(('实盘净值数据(iFinD公式)'!$A89-'实盘净值数据(iFinD公式)'!$A$6)/365))</f>
        <v/>
      </c>
      <c r="C89" s="16" t="str">
        <f t="shared" si="13"/>
        <v/>
      </c>
      <c r="D89" s="16" t="str">
        <f>IF(B89="","",B89/MAX(B$5:B89)-1)</f>
        <v/>
      </c>
      <c r="E89" s="13" t="str">
        <f>IF(OR('实盘净值数据(iFinD公式)'!$A89="",'实盘净值数据(iFinD公式)'!$B89=""),"",分期持仓明细!$AO$18*SUMPRODUCT(分期持仓明细!$B$18:$Y$18,'实盘净值数据(iFinD公式)'!$B89:$Y89/'实盘净值数据(iFinD公式)'!$B$20:$Y$20)*(1-实盘持仓配置!$AM$5)^(('实盘净值数据(iFinD公式)'!$A89-'实盘净值数据(iFinD公式)'!$A$5)/365))</f>
        <v/>
      </c>
      <c r="F89" s="16" t="str">
        <f t="shared" si="14"/>
        <v/>
      </c>
      <c r="G89" s="16" t="str">
        <f>IF(E89="","",E89/MAX(E$5:E89)-1)</f>
        <v/>
      </c>
      <c r="H89" s="13" t="str">
        <f>IF(OR('实盘净值数据(iFinD公式)'!$A89="",'实盘净值数据(iFinD公式)'!$B89=""),"",分期持仓明细!$AO$19*SUMPRODUCT(分期持仓明细!$B$19:$Y$19,'实盘净值数据(iFinD公式)'!$B89:$Y89/'实盘净值数据(iFinD公式)'!$B$20:$Y$20)*(1-实盘持仓配置!$AM$6)^(('实盘净值数据(iFinD公式)'!$A89-'实盘净值数据(iFinD公式)'!$A$7)/365))</f>
        <v/>
      </c>
      <c r="I89" s="16" t="str">
        <f t="shared" si="15"/>
        <v/>
      </c>
      <c r="J89" s="16" t="str">
        <f>IF(H89="","",H89/MAX(H$5:H89)-1)</f>
        <v/>
      </c>
      <c r="K89" s="13" t="str">
        <f>IF(OR('实盘净值数据(iFinD公式)'!$A89="",'实盘净值数据(iFinD公式)'!$B89="",'实盘净值数据(iFinD公式)'!$Z89="",'实盘净值数据(iFinD公式)'!$AA89=""),"",分期持仓明细!$AO$23*(SUMPRODUCT(分期持仓明细!$B$23:$Y$23,'实盘净值数据(iFinD公式)'!$B89:$Y89/'实盘净值数据(iFinD公式)'!$B$65:$Y$65)+SUMPRODUCT(分期持仓明细!$Z$23:$AA$23,'实盘净值数据(iFinD公式)'!$Z89:$AA89/'实盘净值数据(iFinD公式)'!$Z$65:$AA$65))*(1-实盘持仓配置!$AM$7)^(('实盘净值数据(iFinD公式)'!$A89-'实盘净值数据(iFinD公式)'!$A$8)/365))</f>
        <v/>
      </c>
      <c r="L89" s="16" t="str">
        <f t="shared" si="16"/>
        <v/>
      </c>
      <c r="M89" s="16" t="str">
        <f>IF(K89="","",K89/MAX(K$5:K89)-1)</f>
        <v/>
      </c>
      <c r="N89" s="13" t="str">
        <f>IF(OR('实盘净值数据(iFinD公式)'!$A89="",'实盘净值数据(iFinD公式)'!$B89="",'实盘净值数据(iFinD公式)'!$Z89="",'实盘净值数据(iFinD公式)'!$AA89=""),"",分期持仓明细!$AO$24*(SUMPRODUCT(分期持仓明细!$B$24:$Y$24,'实盘净值数据(iFinD公式)'!$B89:$Y89/'实盘净值数据(iFinD公式)'!$B$65:$Y$65)+SUMPRODUCT(分期持仓明细!$Z$24:$AA$24,'实盘净值数据(iFinD公式)'!$Z89:$AA89/'实盘净值数据(iFinD公式)'!$Z$65:$AA$65))*(1-实盘持仓配置!$AM$8)^(('实盘净值数据(iFinD公式)'!$A89-'实盘净值数据(iFinD公式)'!$A$5)/365))</f>
        <v/>
      </c>
      <c r="O89" s="16" t="str">
        <f t="shared" si="17"/>
        <v/>
      </c>
      <c r="P89" s="16" t="str">
        <f>IF(N89="","",N89/MAX(N$5:N89)-1)</f>
        <v/>
      </c>
      <c r="Q89" s="13" t="str">
        <f>IF(OR('实盘净值数据(iFinD公式)'!$A89="",'实盘净值数据(iFinD公式)'!$B89="",'实盘净值数据(iFinD公式)'!$Z89="",'实盘净值数据(iFinD公式)'!$AA89=""),"",分期持仓明细!$AO$25*(SUMPRODUCT(分期持仓明细!$B$25:$Y$25,'实盘净值数据(iFinD公式)'!$B89:$Y89/'实盘净值数据(iFinD公式)'!$B$65:$Y$65)+SUMPRODUCT(分期持仓明细!$Z$25:$AA$25,'实盘净值数据(iFinD公式)'!$Z89:$AA89/'实盘净值数据(iFinD公式)'!$Z$65:$AA$65))*(1-实盘持仓配置!$AM$9)^(('实盘净值数据(iFinD公式)'!$A89-'实盘净值数据(iFinD公式)'!$A$8)/365))</f>
        <v/>
      </c>
      <c r="R89" s="16" t="str">
        <f t="shared" si="18"/>
        <v/>
      </c>
      <c r="S89" s="16" t="str">
        <f>IF(Q89="","",Q89/MAX(Q$5:Q89)-1)</f>
        <v/>
      </c>
      <c r="T89" s="13" t="str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Z$26:$AA$26,'实盘净值数据(iFinD公式)'!$Z89:$AA89/'实盘净值数据(iFinD公式)'!$Z$69:$AA$69)+SUMPRODUCT(分期持仓明细!$AB$26:$AL$26,'实盘净值数据(iFinD公式)'!$AB89:$AL89/'实盘净值数据(iFinD公式)'!$AB$69:$AL$69))*(1-实盘持仓配置!$AM$10)^(('实盘净值数据(iFinD公式)'!$A89-'实盘净值数据(iFinD公式)'!$A$69)/365))</f>
        <v/>
      </c>
      <c r="U89" s="16" t="str">
        <f t="shared" si="12"/>
        <v/>
      </c>
      <c r="V89" s="16" t="str">
        <f>IF(T89="","",T89/MAX(T$5:T89)-1)</f>
        <v/>
      </c>
    </row>
    <row r="90" spans="1:22">
      <c r="A90" s="15" t="str">
        <f>IF('实盘净值数据(iFinD公式)'!A90="","",'实盘净值数据(iFinD公式)'!A90)</f>
        <v/>
      </c>
      <c r="B90" s="13" t="str">
        <f>IF(OR('实盘净值数据(iFinD公式)'!$A90="",'实盘净值数据(iFinD公式)'!$B90=""),"",分期持仓明细!$AO$17*SUMPRODUCT(分期持仓明细!$B$17:$Y$17,'实盘净值数据(iFinD公式)'!$B90:$Y90/'实盘净值数据(iFinD公式)'!$B$20:$Y$20)*(1-实盘持仓配置!$AM$4)^(('实盘净值数据(iFinD公式)'!$A90-'实盘净值数据(iFinD公式)'!$A$6)/365))</f>
        <v/>
      </c>
      <c r="C90" s="16" t="str">
        <f t="shared" si="13"/>
        <v/>
      </c>
      <c r="D90" s="16" t="str">
        <f>IF(B90="","",B90/MAX(B$5:B90)-1)</f>
        <v/>
      </c>
      <c r="E90" s="13" t="str">
        <f>IF(OR('实盘净值数据(iFinD公式)'!$A90="",'实盘净值数据(iFinD公式)'!$B90=""),"",分期持仓明细!$AO$18*SUMPRODUCT(分期持仓明细!$B$18:$Y$18,'实盘净值数据(iFinD公式)'!$B90:$Y90/'实盘净值数据(iFinD公式)'!$B$20:$Y$20)*(1-实盘持仓配置!$AM$5)^(('实盘净值数据(iFinD公式)'!$A90-'实盘净值数据(iFinD公式)'!$A$5)/365))</f>
        <v/>
      </c>
      <c r="F90" s="16" t="str">
        <f t="shared" si="14"/>
        <v/>
      </c>
      <c r="G90" s="16" t="str">
        <f>IF(E90="","",E90/MAX(E$5:E90)-1)</f>
        <v/>
      </c>
      <c r="H90" s="13" t="str">
        <f>IF(OR('实盘净值数据(iFinD公式)'!$A90="",'实盘净值数据(iFinD公式)'!$B90=""),"",分期持仓明细!$AO$19*SUMPRODUCT(分期持仓明细!$B$19:$Y$19,'实盘净值数据(iFinD公式)'!$B90:$Y90/'实盘净值数据(iFinD公式)'!$B$20:$Y$20)*(1-实盘持仓配置!$AM$6)^(('实盘净值数据(iFinD公式)'!$A90-'实盘净值数据(iFinD公式)'!$A$7)/365))</f>
        <v/>
      </c>
      <c r="I90" s="16" t="str">
        <f t="shared" si="15"/>
        <v/>
      </c>
      <c r="J90" s="16" t="str">
        <f>IF(H90="","",H90/MAX(H$5:H90)-1)</f>
        <v/>
      </c>
      <c r="K90" s="13" t="str">
        <f>IF(OR('实盘净值数据(iFinD公式)'!$A90="",'实盘净值数据(iFinD公式)'!$B90="",'实盘净值数据(iFinD公式)'!$Z90="",'实盘净值数据(iFinD公式)'!$AA90=""),"",分期持仓明细!$AO$23*(SUMPRODUCT(分期持仓明细!$B$23:$Y$23,'实盘净值数据(iFinD公式)'!$B90:$Y90/'实盘净值数据(iFinD公式)'!$B$65:$Y$65)+SUMPRODUCT(分期持仓明细!$Z$23:$AA$23,'实盘净值数据(iFinD公式)'!$Z90:$AA90/'实盘净值数据(iFinD公式)'!$Z$65:$AA$65))*(1-实盘持仓配置!$AM$7)^(('实盘净值数据(iFinD公式)'!$A90-'实盘净值数据(iFinD公式)'!$A$8)/365))</f>
        <v/>
      </c>
      <c r="L90" s="16" t="str">
        <f t="shared" si="16"/>
        <v/>
      </c>
      <c r="M90" s="16" t="str">
        <f>IF(K90="","",K90/MAX(K$5:K90)-1)</f>
        <v/>
      </c>
      <c r="N90" s="13" t="str">
        <f>IF(OR('实盘净值数据(iFinD公式)'!$A90="",'实盘净值数据(iFinD公式)'!$B90="",'实盘净值数据(iFinD公式)'!$Z90="",'实盘净值数据(iFinD公式)'!$AA90=""),"",分期持仓明细!$AO$24*(SUMPRODUCT(分期持仓明细!$B$24:$Y$24,'实盘净值数据(iFinD公式)'!$B90:$Y90/'实盘净值数据(iFinD公式)'!$B$65:$Y$65)+SUMPRODUCT(分期持仓明细!$Z$24:$AA$24,'实盘净值数据(iFinD公式)'!$Z90:$AA90/'实盘净值数据(iFinD公式)'!$Z$65:$AA$65))*(1-实盘持仓配置!$AM$8)^(('实盘净值数据(iFinD公式)'!$A90-'实盘净值数据(iFinD公式)'!$A$5)/365))</f>
        <v/>
      </c>
      <c r="O90" s="16" t="str">
        <f t="shared" si="17"/>
        <v/>
      </c>
      <c r="P90" s="16" t="str">
        <f>IF(N90="","",N90/MAX(N$5:N90)-1)</f>
        <v/>
      </c>
      <c r="Q90" s="13" t="str">
        <f>IF(OR('实盘净值数据(iFinD公式)'!$A90="",'实盘净值数据(iFinD公式)'!$B90="",'实盘净值数据(iFinD公式)'!$Z90="",'实盘净值数据(iFinD公式)'!$AA90=""),"",分期持仓明细!$AO$25*(SUMPRODUCT(分期持仓明细!$B$25:$Y$25,'实盘净值数据(iFinD公式)'!$B90:$Y90/'实盘净值数据(iFinD公式)'!$B$65:$Y$65)+SUMPRODUCT(分期持仓明细!$Z$25:$AA$25,'实盘净值数据(iFinD公式)'!$Z90:$AA90/'实盘净值数据(iFinD公式)'!$Z$65:$AA$65))*(1-实盘持仓配置!$AM$9)^(('实盘净值数据(iFinD公式)'!$A90-'实盘净值数据(iFinD公式)'!$A$8)/365))</f>
        <v/>
      </c>
      <c r="R90" s="16" t="str">
        <f t="shared" si="18"/>
        <v/>
      </c>
      <c r="S90" s="16" t="str">
        <f>IF(Q90="","",Q90/MAX(Q$5:Q90)-1)</f>
        <v/>
      </c>
      <c r="T90" s="13" t="str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Z$26:$AA$26,'实盘净值数据(iFinD公式)'!$Z90:$AA90/'实盘净值数据(iFinD公式)'!$Z$69:$AA$69)+SUMPRODUCT(分期持仓明细!$AB$26:$AL$26,'实盘净值数据(iFinD公式)'!$AB90:$AL90/'实盘净值数据(iFinD公式)'!$AB$69:$AL$69))*(1-实盘持仓配置!$AM$10)^(('实盘净值数据(iFinD公式)'!$A90-'实盘净值数据(iFinD公式)'!$A$69)/365))</f>
        <v/>
      </c>
      <c r="U90" s="16" t="str">
        <f t="shared" si="12"/>
        <v/>
      </c>
      <c r="V90" s="16" t="str">
        <f>IF(T90="","",T90/MAX(T$5:T90)-1)</f>
        <v/>
      </c>
    </row>
    <row r="91" spans="1:22">
      <c r="A91" s="15" t="str">
        <f>IF('实盘净值数据(iFinD公式)'!A91="","",'实盘净值数据(iFinD公式)'!A91)</f>
        <v/>
      </c>
      <c r="B91" s="13" t="str">
        <f>IF(OR('实盘净值数据(iFinD公式)'!$A91="",'实盘净值数据(iFinD公式)'!$B91=""),"",分期持仓明细!$AO$17*SUMPRODUCT(分期持仓明细!$B$17:$Y$17,'实盘净值数据(iFinD公式)'!$B91:$Y91/'实盘净值数据(iFinD公式)'!$B$20:$Y$20)*(1-实盘持仓配置!$AM$4)^(('实盘净值数据(iFinD公式)'!$A91-'实盘净值数据(iFinD公式)'!$A$6)/365))</f>
        <v/>
      </c>
      <c r="C91" s="16" t="str">
        <f t="shared" si="13"/>
        <v/>
      </c>
      <c r="D91" s="16" t="str">
        <f>IF(B91="","",B91/MAX(B$5:B91)-1)</f>
        <v/>
      </c>
      <c r="E91" s="13" t="str">
        <f>IF(OR('实盘净值数据(iFinD公式)'!$A91="",'实盘净值数据(iFinD公式)'!$B91=""),"",分期持仓明细!$AO$18*SUMPRODUCT(分期持仓明细!$B$18:$Y$18,'实盘净值数据(iFinD公式)'!$B91:$Y91/'实盘净值数据(iFinD公式)'!$B$20:$Y$20)*(1-实盘持仓配置!$AM$5)^(('实盘净值数据(iFinD公式)'!$A91-'实盘净值数据(iFinD公式)'!$A$5)/365))</f>
        <v/>
      </c>
      <c r="F91" s="16" t="str">
        <f t="shared" si="14"/>
        <v/>
      </c>
      <c r="G91" s="16" t="str">
        <f>IF(E91="","",E91/MAX(E$5:E91)-1)</f>
        <v/>
      </c>
      <c r="H91" s="13" t="str">
        <f>IF(OR('实盘净值数据(iFinD公式)'!$A91="",'实盘净值数据(iFinD公式)'!$B91=""),"",分期持仓明细!$AO$19*SUMPRODUCT(分期持仓明细!$B$19:$Y$19,'实盘净值数据(iFinD公式)'!$B91:$Y91/'实盘净值数据(iFinD公式)'!$B$20:$Y$20)*(1-实盘持仓配置!$AM$6)^(('实盘净值数据(iFinD公式)'!$A91-'实盘净值数据(iFinD公式)'!$A$7)/365))</f>
        <v/>
      </c>
      <c r="I91" s="16" t="str">
        <f t="shared" si="15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O$23*(SUMPRODUCT(分期持仓明细!$B$23:$Y$23,'实盘净值数据(iFinD公式)'!$B91:$Y91/'实盘净值数据(iFinD公式)'!$B$65:$Y$65)+SUMPRODUCT(分期持仓明细!$Z$23:$AA$23,'实盘净值数据(iFinD公式)'!$Z91:$AA91/'实盘净值数据(iFinD公式)'!$Z$65:$AA$65))*(1-实盘持仓配置!$AM$7)^(('实盘净值数据(iFinD公式)'!$A91-'实盘净值数据(iFinD公式)'!$A$8)/365))</f>
        <v/>
      </c>
      <c r="L91" s="16" t="str">
        <f t="shared" si="16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O$24*(SUMPRODUCT(分期持仓明细!$B$24:$Y$24,'实盘净值数据(iFinD公式)'!$B91:$Y91/'实盘净值数据(iFinD公式)'!$B$65:$Y$65)+SUMPRODUCT(分期持仓明细!$Z$24:$AA$24,'实盘净值数据(iFinD公式)'!$Z91:$AA91/'实盘净值数据(iFinD公式)'!$Z$65:$AA$65))*(1-实盘持仓配置!$AM$8)^(('实盘净值数据(iFinD公式)'!$A91-'实盘净值数据(iFinD公式)'!$A$5)/365))</f>
        <v/>
      </c>
      <c r="O91" s="16" t="str">
        <f t="shared" si="17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O$25*(SUMPRODUCT(分期持仓明细!$B$25:$Y$25,'实盘净值数据(iFinD公式)'!$B91:$Y91/'实盘净值数据(iFinD公式)'!$B$65:$Y$65)+SUMPRODUCT(分期持仓明细!$Z$25:$AA$25,'实盘净值数据(iFinD公式)'!$Z91:$AA91/'实盘净值数据(iFinD公式)'!$Z$65:$AA$65))*(1-实盘持仓配置!$AM$9)^(('实盘净值数据(iFinD公式)'!$A91-'实盘净值数据(iFinD公式)'!$A$8)/365))</f>
        <v/>
      </c>
      <c r="R91" s="16" t="str">
        <f t="shared" si="18"/>
        <v/>
      </c>
      <c r="S91" s="16" t="str">
        <f>IF(Q91="","",Q91/MAX(Q$5:Q91)-1)</f>
        <v/>
      </c>
      <c r="T91" s="13" t="str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Z$26:$AA$26,'实盘净值数据(iFinD公式)'!$Z91:$AA91/'实盘净值数据(iFinD公式)'!$Z$69:$AA$69)+SUMPRODUCT(分期持仓明细!$AB$26:$AL$26,'实盘净值数据(iFinD公式)'!$AB91:$AL91/'实盘净值数据(iFinD公式)'!$AB$69:$AL$69))*(1-实盘持仓配置!$AM$10)^(('实盘净值数据(iFinD公式)'!$A91-'实盘净值数据(iFinD公式)'!$A$69)/365))</f>
        <v/>
      </c>
      <c r="U91" s="16" t="str">
        <f t="shared" si="12"/>
        <v/>
      </c>
      <c r="V91" s="16" t="str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 t="str">
        <f>IF(OR('实盘净值数据(iFinD公式)'!$A92="",'实盘净值数据(iFinD公式)'!$B92=""),"",分期持仓明细!$AO$17*SUMPRODUCT(分期持仓明细!$B$17:$Y$17,'实盘净值数据(iFinD公式)'!$B92:$Y92/'实盘净值数据(iFinD公式)'!$B$20:$Y$20)*(1-实盘持仓配置!$AM$4)^(('实盘净值数据(iFinD公式)'!$A92-'实盘净值数据(iFinD公式)'!$A$6)/365))</f>
        <v/>
      </c>
      <c r="C92" s="16" t="str">
        <f t="shared" si="13"/>
        <v/>
      </c>
      <c r="D92" s="16" t="str">
        <f>IF(B92="","",B92/MAX(B$5:B92)-1)</f>
        <v/>
      </c>
      <c r="E92" s="13" t="str">
        <f>IF(OR('实盘净值数据(iFinD公式)'!$A92="",'实盘净值数据(iFinD公式)'!$B92=""),"",分期持仓明细!$AO$18*SUMPRODUCT(分期持仓明细!$B$18:$Y$18,'实盘净值数据(iFinD公式)'!$B92:$Y92/'实盘净值数据(iFinD公式)'!$B$20:$Y$20)*(1-实盘持仓配置!$AM$5)^(('实盘净值数据(iFinD公式)'!$A92-'实盘净值数据(iFinD公式)'!$A$5)/365))</f>
        <v/>
      </c>
      <c r="F92" s="16" t="str">
        <f t="shared" si="14"/>
        <v/>
      </c>
      <c r="G92" s="16" t="str">
        <f>IF(E92="","",E92/MAX(E$5:E92)-1)</f>
        <v/>
      </c>
      <c r="H92" s="13" t="str">
        <f>IF(OR('实盘净值数据(iFinD公式)'!$A92="",'实盘净值数据(iFinD公式)'!$B92=""),"",分期持仓明细!$AO$19*SUMPRODUCT(分期持仓明细!$B$19:$Y$19,'实盘净值数据(iFinD公式)'!$B92:$Y92/'实盘净值数据(iFinD公式)'!$B$20:$Y$20)*(1-实盘持仓配置!$AM$6)^(('实盘净值数据(iFinD公式)'!$A92-'实盘净值数据(iFinD公式)'!$A$7)/365))</f>
        <v/>
      </c>
      <c r="I92" s="16" t="str">
        <f t="shared" si="15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O$23*(SUMPRODUCT(分期持仓明细!$B$23:$Y$23,'实盘净值数据(iFinD公式)'!$B92:$Y92/'实盘净值数据(iFinD公式)'!$B$65:$Y$65)+SUMPRODUCT(分期持仓明细!$Z$23:$AA$23,'实盘净值数据(iFinD公式)'!$Z92:$AA92/'实盘净值数据(iFinD公式)'!$Z$65:$AA$65))*(1-实盘持仓配置!$AM$7)^(('实盘净值数据(iFinD公式)'!$A92-'实盘净值数据(iFinD公式)'!$A$8)/365))</f>
        <v/>
      </c>
      <c r="L92" s="16" t="str">
        <f t="shared" si="16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O$24*(SUMPRODUCT(分期持仓明细!$B$24:$Y$24,'实盘净值数据(iFinD公式)'!$B92:$Y92/'实盘净值数据(iFinD公式)'!$B$65:$Y$65)+SUMPRODUCT(分期持仓明细!$Z$24:$AA$24,'实盘净值数据(iFinD公式)'!$Z92:$AA92/'实盘净值数据(iFinD公式)'!$Z$65:$AA$65))*(1-实盘持仓配置!$AM$8)^(('实盘净值数据(iFinD公式)'!$A92-'实盘净值数据(iFinD公式)'!$A$5)/365))</f>
        <v/>
      </c>
      <c r="O92" s="16" t="str">
        <f t="shared" si="17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O$25*(SUMPRODUCT(分期持仓明细!$B$25:$Y$25,'实盘净值数据(iFinD公式)'!$B92:$Y92/'实盘净值数据(iFinD公式)'!$B$65:$Y$65)+SUMPRODUCT(分期持仓明细!$Z$25:$AA$25,'实盘净值数据(iFinD公式)'!$Z92:$AA92/'实盘净值数据(iFinD公式)'!$Z$65:$AA$65))*(1-实盘持仓配置!$AM$9)^(('实盘净值数据(iFinD公式)'!$A92-'实盘净值数据(iFinD公式)'!$A$8)/365))</f>
        <v/>
      </c>
      <c r="R92" s="16" t="str">
        <f t="shared" si="18"/>
        <v/>
      </c>
      <c r="S92" s="16" t="str">
        <f>IF(Q92="","",Q92/MAX(Q$5:Q92)-1)</f>
        <v/>
      </c>
      <c r="T92" s="13" t="str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Z$26:$AA$26,'实盘净值数据(iFinD公式)'!$Z92:$AA92/'实盘净值数据(iFinD公式)'!$Z$69:$AA$69)+SUMPRODUCT(分期持仓明细!$AB$26:$AL$26,'实盘净值数据(iFinD公式)'!$AB92:$AL92/'实盘净值数据(iFinD公式)'!$AB$69:$AL$69))*(1-实盘持仓配置!$AM$10)^(('实盘净值数据(iFinD公式)'!$A92-'实盘净值数据(iFinD公式)'!$A$69)/365))</f>
        <v/>
      </c>
      <c r="U92" s="16" t="str">
        <f t="shared" si="12"/>
        <v/>
      </c>
      <c r="V92" s="16" t="str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 t="str">
        <f>IF(OR('实盘净值数据(iFinD公式)'!$A93="",'实盘净值数据(iFinD公式)'!$B93=""),"",分期持仓明细!$AO$17*SUMPRODUCT(分期持仓明细!$B$17:$Y$17,'实盘净值数据(iFinD公式)'!$B93:$Y93/'实盘净值数据(iFinD公式)'!$B$20:$Y$20)*(1-实盘持仓配置!$AM$4)^(('实盘净值数据(iFinD公式)'!$A93-'实盘净值数据(iFinD公式)'!$A$6)/365))</f>
        <v/>
      </c>
      <c r="C93" s="16" t="str">
        <f t="shared" si="13"/>
        <v/>
      </c>
      <c r="D93" s="16" t="str">
        <f>IF(B93="","",B93/MAX(B$5:B93)-1)</f>
        <v/>
      </c>
      <c r="E93" s="13" t="str">
        <f>IF(OR('实盘净值数据(iFinD公式)'!$A93="",'实盘净值数据(iFinD公式)'!$B93=""),"",分期持仓明细!$AO$18*SUMPRODUCT(分期持仓明细!$B$18:$Y$18,'实盘净值数据(iFinD公式)'!$B93:$Y93/'实盘净值数据(iFinD公式)'!$B$20:$Y$20)*(1-实盘持仓配置!$AM$5)^(('实盘净值数据(iFinD公式)'!$A93-'实盘净值数据(iFinD公式)'!$A$5)/365))</f>
        <v/>
      </c>
      <c r="F93" s="16" t="str">
        <f t="shared" si="14"/>
        <v/>
      </c>
      <c r="G93" s="16" t="str">
        <f>IF(E93="","",E93/MAX(E$5:E93)-1)</f>
        <v/>
      </c>
      <c r="H93" s="13" t="str">
        <f>IF(OR('实盘净值数据(iFinD公式)'!$A93="",'实盘净值数据(iFinD公式)'!$B93=""),"",分期持仓明细!$AO$19*SUMPRODUCT(分期持仓明细!$B$19:$Y$19,'实盘净值数据(iFinD公式)'!$B93:$Y93/'实盘净值数据(iFinD公式)'!$B$20:$Y$20)*(1-实盘持仓配置!$AM$6)^(('实盘净值数据(iFinD公式)'!$A93-'实盘净值数据(iFinD公式)'!$A$7)/365))</f>
        <v/>
      </c>
      <c r="I93" s="16" t="str">
        <f t="shared" si="15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O$23*(SUMPRODUCT(分期持仓明细!$B$23:$Y$23,'实盘净值数据(iFinD公式)'!$B93:$Y93/'实盘净值数据(iFinD公式)'!$B$65:$Y$65)+SUMPRODUCT(分期持仓明细!$Z$23:$AA$23,'实盘净值数据(iFinD公式)'!$Z93:$AA93/'实盘净值数据(iFinD公式)'!$Z$65:$AA$65))*(1-实盘持仓配置!$AM$7)^(('实盘净值数据(iFinD公式)'!$A93-'实盘净值数据(iFinD公式)'!$A$8)/365))</f>
        <v/>
      </c>
      <c r="L93" s="16" t="str">
        <f t="shared" si="16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O$24*(SUMPRODUCT(分期持仓明细!$B$24:$Y$24,'实盘净值数据(iFinD公式)'!$B93:$Y93/'实盘净值数据(iFinD公式)'!$B$65:$Y$65)+SUMPRODUCT(分期持仓明细!$Z$24:$AA$24,'实盘净值数据(iFinD公式)'!$Z93:$AA93/'实盘净值数据(iFinD公式)'!$Z$65:$AA$65))*(1-实盘持仓配置!$AM$8)^(('实盘净值数据(iFinD公式)'!$A93-'实盘净值数据(iFinD公式)'!$A$5)/365))</f>
        <v/>
      </c>
      <c r="O93" s="16" t="str">
        <f t="shared" si="17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O$25*(SUMPRODUCT(分期持仓明细!$B$25:$Y$25,'实盘净值数据(iFinD公式)'!$B93:$Y93/'实盘净值数据(iFinD公式)'!$B$65:$Y$65)+SUMPRODUCT(分期持仓明细!$Z$25:$AA$25,'实盘净值数据(iFinD公式)'!$Z93:$AA93/'实盘净值数据(iFinD公式)'!$Z$65:$AA$65))*(1-实盘持仓配置!$AM$9)^(('实盘净值数据(iFinD公式)'!$A93-'实盘净值数据(iFinD公式)'!$A$8)/365))</f>
        <v/>
      </c>
      <c r="R93" s="16" t="str">
        <f t="shared" si="18"/>
        <v/>
      </c>
      <c r="S93" s="16" t="str">
        <f>IF(Q93="","",Q93/MAX(Q$5:Q93)-1)</f>
        <v/>
      </c>
      <c r="T93" s="13" t="str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Z$26:$AA$26,'实盘净值数据(iFinD公式)'!$Z93:$AA93/'实盘净值数据(iFinD公式)'!$Z$69:$AA$69)+SUMPRODUCT(分期持仓明细!$AB$26:$AL$26,'实盘净值数据(iFinD公式)'!$AB93:$AL93/'实盘净值数据(iFinD公式)'!$AB$69:$AL$69))*(1-实盘持仓配置!$AM$10)^(('实盘净值数据(iFinD公式)'!$A93-'实盘净值数据(iFinD公式)'!$A$69)/365))</f>
        <v/>
      </c>
      <c r="U93" s="16" t="str">
        <f t="shared" si="12"/>
        <v/>
      </c>
      <c r="V93" s="16" t="str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 t="str">
        <f>IF(OR('实盘净值数据(iFinD公式)'!$A94="",'实盘净值数据(iFinD公式)'!$B94=""),"",分期持仓明细!$AO$17*SUMPRODUCT(分期持仓明细!$B$17:$Y$17,'实盘净值数据(iFinD公式)'!$B94:$Y94/'实盘净值数据(iFinD公式)'!$B$20:$Y$20)*(1-实盘持仓配置!$AM$4)^(('实盘净值数据(iFinD公式)'!$A94-'实盘净值数据(iFinD公式)'!$A$6)/365))</f>
        <v/>
      </c>
      <c r="C94" s="16" t="str">
        <f t="shared" si="13"/>
        <v/>
      </c>
      <c r="D94" s="16" t="str">
        <f>IF(B94="","",B94/MAX(B$5:B94)-1)</f>
        <v/>
      </c>
      <c r="E94" s="13" t="str">
        <f>IF(OR('实盘净值数据(iFinD公式)'!$A94="",'实盘净值数据(iFinD公式)'!$B94=""),"",分期持仓明细!$AO$18*SUMPRODUCT(分期持仓明细!$B$18:$Y$18,'实盘净值数据(iFinD公式)'!$B94:$Y94/'实盘净值数据(iFinD公式)'!$B$20:$Y$20)*(1-实盘持仓配置!$AM$5)^(('实盘净值数据(iFinD公式)'!$A94-'实盘净值数据(iFinD公式)'!$A$5)/365))</f>
        <v/>
      </c>
      <c r="F94" s="16" t="str">
        <f t="shared" si="14"/>
        <v/>
      </c>
      <c r="G94" s="16" t="str">
        <f>IF(E94="","",E94/MAX(E$5:E94)-1)</f>
        <v/>
      </c>
      <c r="H94" s="13" t="str">
        <f>IF(OR('实盘净值数据(iFinD公式)'!$A94="",'实盘净值数据(iFinD公式)'!$B94=""),"",分期持仓明细!$AO$19*SUMPRODUCT(分期持仓明细!$B$19:$Y$19,'实盘净值数据(iFinD公式)'!$B94:$Y94/'实盘净值数据(iFinD公式)'!$B$20:$Y$20)*(1-实盘持仓配置!$AM$6)^(('实盘净值数据(iFinD公式)'!$A94-'实盘净值数据(iFinD公式)'!$A$7)/365))</f>
        <v/>
      </c>
      <c r="I94" s="16" t="str">
        <f t="shared" si="15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O$23*(SUMPRODUCT(分期持仓明细!$B$23:$Y$23,'实盘净值数据(iFinD公式)'!$B94:$Y94/'实盘净值数据(iFinD公式)'!$B$65:$Y$65)+SUMPRODUCT(分期持仓明细!$Z$23:$AA$23,'实盘净值数据(iFinD公式)'!$Z94:$AA94/'实盘净值数据(iFinD公式)'!$Z$65:$AA$65))*(1-实盘持仓配置!$AM$7)^(('实盘净值数据(iFinD公式)'!$A94-'实盘净值数据(iFinD公式)'!$A$8)/365))</f>
        <v/>
      </c>
      <c r="L94" s="16" t="str">
        <f t="shared" si="16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O$24*(SUMPRODUCT(分期持仓明细!$B$24:$Y$24,'实盘净值数据(iFinD公式)'!$B94:$Y94/'实盘净值数据(iFinD公式)'!$B$65:$Y$65)+SUMPRODUCT(分期持仓明细!$Z$24:$AA$24,'实盘净值数据(iFinD公式)'!$Z94:$AA94/'实盘净值数据(iFinD公式)'!$Z$65:$AA$65))*(1-实盘持仓配置!$AM$8)^(('实盘净值数据(iFinD公式)'!$A94-'实盘净值数据(iFinD公式)'!$A$5)/365))</f>
        <v/>
      </c>
      <c r="O94" s="16" t="str">
        <f t="shared" si="17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O$25*(SUMPRODUCT(分期持仓明细!$B$25:$Y$25,'实盘净值数据(iFinD公式)'!$B94:$Y94/'实盘净值数据(iFinD公式)'!$B$65:$Y$65)+SUMPRODUCT(分期持仓明细!$Z$25:$AA$25,'实盘净值数据(iFinD公式)'!$Z94:$AA94/'实盘净值数据(iFinD公式)'!$Z$65:$AA$65))*(1-实盘持仓配置!$AM$9)^(('实盘净值数据(iFinD公式)'!$A94-'实盘净值数据(iFinD公式)'!$A$8)/365))</f>
        <v/>
      </c>
      <c r="R94" s="16" t="str">
        <f t="shared" si="18"/>
        <v/>
      </c>
      <c r="S94" s="16" t="str">
        <f>IF(Q94="","",Q94/MAX(Q$5:Q94)-1)</f>
        <v/>
      </c>
      <c r="T94" s="13" t="str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Z$26:$AA$26,'实盘净值数据(iFinD公式)'!$Z94:$AA94/'实盘净值数据(iFinD公式)'!$Z$69:$AA$69)+SUMPRODUCT(分期持仓明细!$AB$26:$AL$26,'实盘净值数据(iFinD公式)'!$AB94:$AL94/'实盘净值数据(iFinD公式)'!$AB$69:$AL$69))*(1-实盘持仓配置!$AM$10)^(('实盘净值数据(iFinD公式)'!$A94-'实盘净值数据(iFinD公式)'!$A$69)/365))</f>
        <v/>
      </c>
      <c r="U94" s="16" t="str">
        <f t="shared" si="12"/>
        <v/>
      </c>
      <c r="V94" s="16" t="str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 t="str">
        <f>IF(OR('实盘净值数据(iFinD公式)'!$A95="",'实盘净值数据(iFinD公式)'!$B95=""),"",分期持仓明细!$AO$17*SUMPRODUCT(分期持仓明细!$B$17:$Y$17,'实盘净值数据(iFinD公式)'!$B95:$Y95/'实盘净值数据(iFinD公式)'!$B$20:$Y$20)*(1-实盘持仓配置!$AM$4)^(('实盘净值数据(iFinD公式)'!$A95-'实盘净值数据(iFinD公式)'!$A$6)/365))</f>
        <v/>
      </c>
      <c r="C95" s="16" t="str">
        <f t="shared" si="13"/>
        <v/>
      </c>
      <c r="D95" s="16" t="str">
        <f>IF(B95="","",B95/MAX(B$5:B95)-1)</f>
        <v/>
      </c>
      <c r="E95" s="13" t="str">
        <f>IF(OR('实盘净值数据(iFinD公式)'!$A95="",'实盘净值数据(iFinD公式)'!$B95=""),"",分期持仓明细!$AO$18*SUMPRODUCT(分期持仓明细!$B$18:$Y$18,'实盘净值数据(iFinD公式)'!$B95:$Y95/'实盘净值数据(iFinD公式)'!$B$20:$Y$20)*(1-实盘持仓配置!$AM$5)^(('实盘净值数据(iFinD公式)'!$A95-'实盘净值数据(iFinD公式)'!$A$5)/365))</f>
        <v/>
      </c>
      <c r="F95" s="16" t="str">
        <f t="shared" si="14"/>
        <v/>
      </c>
      <c r="G95" s="16" t="str">
        <f>IF(E95="","",E95/MAX(E$5:E95)-1)</f>
        <v/>
      </c>
      <c r="H95" s="13" t="str">
        <f>IF(OR('实盘净值数据(iFinD公式)'!$A95="",'实盘净值数据(iFinD公式)'!$B95=""),"",分期持仓明细!$AO$19*SUMPRODUCT(分期持仓明细!$B$19:$Y$19,'实盘净值数据(iFinD公式)'!$B95:$Y95/'实盘净值数据(iFinD公式)'!$B$20:$Y$20)*(1-实盘持仓配置!$AM$6)^(('实盘净值数据(iFinD公式)'!$A95-'实盘净值数据(iFinD公式)'!$A$7)/365))</f>
        <v/>
      </c>
      <c r="I95" s="16" t="str">
        <f t="shared" si="15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O$23*(SUMPRODUCT(分期持仓明细!$B$23:$Y$23,'实盘净值数据(iFinD公式)'!$B95:$Y95/'实盘净值数据(iFinD公式)'!$B$65:$Y$65)+SUMPRODUCT(分期持仓明细!$Z$23:$AA$23,'实盘净值数据(iFinD公式)'!$Z95:$AA95/'实盘净值数据(iFinD公式)'!$Z$65:$AA$65))*(1-实盘持仓配置!$AM$7)^(('实盘净值数据(iFinD公式)'!$A95-'实盘净值数据(iFinD公式)'!$A$8)/365))</f>
        <v/>
      </c>
      <c r="L95" s="16" t="str">
        <f t="shared" si="16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O$24*(SUMPRODUCT(分期持仓明细!$B$24:$Y$24,'实盘净值数据(iFinD公式)'!$B95:$Y95/'实盘净值数据(iFinD公式)'!$B$65:$Y$65)+SUMPRODUCT(分期持仓明细!$Z$24:$AA$24,'实盘净值数据(iFinD公式)'!$Z95:$AA95/'实盘净值数据(iFinD公式)'!$Z$65:$AA$65))*(1-实盘持仓配置!$AM$8)^(('实盘净值数据(iFinD公式)'!$A95-'实盘净值数据(iFinD公式)'!$A$5)/365))</f>
        <v/>
      </c>
      <c r="O95" s="16" t="str">
        <f t="shared" si="17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O$25*(SUMPRODUCT(分期持仓明细!$B$25:$Y$25,'实盘净值数据(iFinD公式)'!$B95:$Y95/'实盘净值数据(iFinD公式)'!$B$65:$Y$65)+SUMPRODUCT(分期持仓明细!$Z$25:$AA$25,'实盘净值数据(iFinD公式)'!$Z95:$AA95/'实盘净值数据(iFinD公式)'!$Z$65:$AA$65))*(1-实盘持仓配置!$AM$9)^(('实盘净值数据(iFinD公式)'!$A95-'实盘净值数据(iFinD公式)'!$A$8)/365))</f>
        <v/>
      </c>
      <c r="R95" s="16" t="str">
        <f t="shared" si="18"/>
        <v/>
      </c>
      <c r="S95" s="16" t="str">
        <f>IF(Q95="","",Q95/MAX(Q$5:Q95)-1)</f>
        <v/>
      </c>
      <c r="T95" s="13" t="str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Z$26:$AA$26,'实盘净值数据(iFinD公式)'!$Z95:$AA95/'实盘净值数据(iFinD公式)'!$Z$69:$AA$69)+SUMPRODUCT(分期持仓明细!$AB$26:$AL$26,'实盘净值数据(iFinD公式)'!$AB95:$AL95/'实盘净值数据(iFinD公式)'!$AB$69:$AL$69))*(1-实盘持仓配置!$AM$10)^(('实盘净值数据(iFinD公式)'!$A95-'实盘净值数据(iFinD公式)'!$A$69)/365))</f>
        <v/>
      </c>
      <c r="U95" s="16" t="str">
        <f t="shared" si="12"/>
        <v/>
      </c>
      <c r="V95" s="16" t="str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 t="str">
        <f>IF(OR('实盘净值数据(iFinD公式)'!$A96="",'实盘净值数据(iFinD公式)'!$B96=""),"",分期持仓明细!$AO$17*SUMPRODUCT(分期持仓明细!$B$17:$Y$17,'实盘净值数据(iFinD公式)'!$B96:$Y96/'实盘净值数据(iFinD公式)'!$B$20:$Y$20)*(1-实盘持仓配置!$AM$4)^(('实盘净值数据(iFinD公式)'!$A96-'实盘净值数据(iFinD公式)'!$A$6)/365))</f>
        <v/>
      </c>
      <c r="C96" s="16" t="str">
        <f t="shared" si="13"/>
        <v/>
      </c>
      <c r="D96" s="16" t="str">
        <f>IF(B96="","",B96/MAX(B$5:B96)-1)</f>
        <v/>
      </c>
      <c r="E96" s="13" t="str">
        <f>IF(OR('实盘净值数据(iFinD公式)'!$A96="",'实盘净值数据(iFinD公式)'!$B96=""),"",分期持仓明细!$AO$18*SUMPRODUCT(分期持仓明细!$B$18:$Y$18,'实盘净值数据(iFinD公式)'!$B96:$Y96/'实盘净值数据(iFinD公式)'!$B$20:$Y$20)*(1-实盘持仓配置!$AM$5)^(('实盘净值数据(iFinD公式)'!$A96-'实盘净值数据(iFinD公式)'!$A$5)/365))</f>
        <v/>
      </c>
      <c r="F96" s="16" t="str">
        <f t="shared" si="14"/>
        <v/>
      </c>
      <c r="G96" s="16" t="str">
        <f>IF(E96="","",E96/MAX(E$5:E96)-1)</f>
        <v/>
      </c>
      <c r="H96" s="13" t="str">
        <f>IF(OR('实盘净值数据(iFinD公式)'!$A96="",'实盘净值数据(iFinD公式)'!$B96=""),"",分期持仓明细!$AO$19*SUMPRODUCT(分期持仓明细!$B$19:$Y$19,'实盘净值数据(iFinD公式)'!$B96:$Y96/'实盘净值数据(iFinD公式)'!$B$20:$Y$20)*(1-实盘持仓配置!$AM$6)^(('实盘净值数据(iFinD公式)'!$A96-'实盘净值数据(iFinD公式)'!$A$7)/365))</f>
        <v/>
      </c>
      <c r="I96" s="16" t="str">
        <f t="shared" si="15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O$23*(SUMPRODUCT(分期持仓明细!$B$23:$Y$23,'实盘净值数据(iFinD公式)'!$B96:$Y96/'实盘净值数据(iFinD公式)'!$B$65:$Y$65)+SUMPRODUCT(分期持仓明细!$Z$23:$AA$23,'实盘净值数据(iFinD公式)'!$Z96:$AA96/'实盘净值数据(iFinD公式)'!$Z$65:$AA$65))*(1-实盘持仓配置!$AM$7)^(('实盘净值数据(iFinD公式)'!$A96-'实盘净值数据(iFinD公式)'!$A$8)/365))</f>
        <v/>
      </c>
      <c r="L96" s="16" t="str">
        <f t="shared" si="16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O$24*(SUMPRODUCT(分期持仓明细!$B$24:$Y$24,'实盘净值数据(iFinD公式)'!$B96:$Y96/'实盘净值数据(iFinD公式)'!$B$65:$Y$65)+SUMPRODUCT(分期持仓明细!$Z$24:$AA$24,'实盘净值数据(iFinD公式)'!$Z96:$AA96/'实盘净值数据(iFinD公式)'!$Z$65:$AA$65))*(1-实盘持仓配置!$AM$8)^(('实盘净值数据(iFinD公式)'!$A96-'实盘净值数据(iFinD公式)'!$A$5)/365))</f>
        <v/>
      </c>
      <c r="O96" s="16" t="str">
        <f t="shared" si="17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O$25*(SUMPRODUCT(分期持仓明细!$B$25:$Y$25,'实盘净值数据(iFinD公式)'!$B96:$Y96/'实盘净值数据(iFinD公式)'!$B$65:$Y$65)+SUMPRODUCT(分期持仓明细!$Z$25:$AA$25,'实盘净值数据(iFinD公式)'!$Z96:$AA96/'实盘净值数据(iFinD公式)'!$Z$65:$AA$65))*(1-实盘持仓配置!$AM$9)^(('实盘净值数据(iFinD公式)'!$A96-'实盘净值数据(iFinD公式)'!$A$8)/365))</f>
        <v/>
      </c>
      <c r="R96" s="16" t="str">
        <f t="shared" si="18"/>
        <v/>
      </c>
      <c r="S96" s="16" t="str">
        <f>IF(Q96="","",Q96/MAX(Q$5:Q96)-1)</f>
        <v/>
      </c>
      <c r="T96" s="13" t="str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Z$26:$AA$26,'实盘净值数据(iFinD公式)'!$Z96:$AA96/'实盘净值数据(iFinD公式)'!$Z$69:$AA$69)+SUMPRODUCT(分期持仓明细!$AB$26:$AL$26,'实盘净值数据(iFinD公式)'!$AB96:$AL96/'实盘净值数据(iFinD公式)'!$AB$69:$AL$69))*(1-实盘持仓配置!$AM$10)^(('实盘净值数据(iFinD公式)'!$A96-'实盘净值数据(iFinD公式)'!$A$69)/365))</f>
        <v/>
      </c>
      <c r="U96" s="16" t="str">
        <f t="shared" si="12"/>
        <v/>
      </c>
      <c r="V96" s="16" t="str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 t="str">
        <f>IF(OR('实盘净值数据(iFinD公式)'!$A97="",'实盘净值数据(iFinD公式)'!$B97=""),"",分期持仓明细!$AO$17*SUMPRODUCT(分期持仓明细!$B$17:$Y$17,'实盘净值数据(iFinD公式)'!$B97:$Y97/'实盘净值数据(iFinD公式)'!$B$20:$Y$20)*(1-实盘持仓配置!$AM$4)^(('实盘净值数据(iFinD公式)'!$A97-'实盘净值数据(iFinD公式)'!$A$6)/365))</f>
        <v/>
      </c>
      <c r="C97" s="16" t="str">
        <f t="shared" si="13"/>
        <v/>
      </c>
      <c r="D97" s="16" t="str">
        <f>IF(B97="","",B97/MAX(B$5:B97)-1)</f>
        <v/>
      </c>
      <c r="E97" s="13" t="str">
        <f>IF(OR('实盘净值数据(iFinD公式)'!$A97="",'实盘净值数据(iFinD公式)'!$B97=""),"",分期持仓明细!$AO$18*SUMPRODUCT(分期持仓明细!$B$18:$Y$18,'实盘净值数据(iFinD公式)'!$B97:$Y97/'实盘净值数据(iFinD公式)'!$B$20:$Y$20)*(1-实盘持仓配置!$AM$5)^(('实盘净值数据(iFinD公式)'!$A97-'实盘净值数据(iFinD公式)'!$A$5)/365))</f>
        <v/>
      </c>
      <c r="F97" s="16" t="str">
        <f t="shared" si="14"/>
        <v/>
      </c>
      <c r="G97" s="16" t="str">
        <f>IF(E97="","",E97/MAX(E$5:E97)-1)</f>
        <v/>
      </c>
      <c r="H97" s="13" t="str">
        <f>IF(OR('实盘净值数据(iFinD公式)'!$A97="",'实盘净值数据(iFinD公式)'!$B97=""),"",分期持仓明细!$AO$19*SUMPRODUCT(分期持仓明细!$B$19:$Y$19,'实盘净值数据(iFinD公式)'!$B97:$Y97/'实盘净值数据(iFinD公式)'!$B$20:$Y$20)*(1-实盘持仓配置!$AM$6)^(('实盘净值数据(iFinD公式)'!$A97-'实盘净值数据(iFinD公式)'!$A$7)/365))</f>
        <v/>
      </c>
      <c r="I97" s="16" t="str">
        <f t="shared" si="15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O$23*(SUMPRODUCT(分期持仓明细!$B$23:$Y$23,'实盘净值数据(iFinD公式)'!$B97:$Y97/'实盘净值数据(iFinD公式)'!$B$65:$Y$65)+SUMPRODUCT(分期持仓明细!$Z$23:$AA$23,'实盘净值数据(iFinD公式)'!$Z97:$AA97/'实盘净值数据(iFinD公式)'!$Z$65:$AA$65))*(1-实盘持仓配置!$AM$7)^(('实盘净值数据(iFinD公式)'!$A97-'实盘净值数据(iFinD公式)'!$A$8)/365))</f>
        <v/>
      </c>
      <c r="L97" s="16" t="str">
        <f t="shared" si="16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O$24*(SUMPRODUCT(分期持仓明细!$B$24:$Y$24,'实盘净值数据(iFinD公式)'!$B97:$Y97/'实盘净值数据(iFinD公式)'!$B$65:$Y$65)+SUMPRODUCT(分期持仓明细!$Z$24:$AA$24,'实盘净值数据(iFinD公式)'!$Z97:$AA97/'实盘净值数据(iFinD公式)'!$Z$65:$AA$65))*(1-实盘持仓配置!$AM$8)^(('实盘净值数据(iFinD公式)'!$A97-'实盘净值数据(iFinD公式)'!$A$5)/365))</f>
        <v/>
      </c>
      <c r="O97" s="16" t="str">
        <f t="shared" si="17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O$25*(SUMPRODUCT(分期持仓明细!$B$25:$Y$25,'实盘净值数据(iFinD公式)'!$B97:$Y97/'实盘净值数据(iFinD公式)'!$B$65:$Y$65)+SUMPRODUCT(分期持仓明细!$Z$25:$AA$25,'实盘净值数据(iFinD公式)'!$Z97:$AA97/'实盘净值数据(iFinD公式)'!$Z$65:$AA$65))*(1-实盘持仓配置!$AM$9)^(('实盘净值数据(iFinD公式)'!$A97-'实盘净值数据(iFinD公式)'!$A$8)/365))</f>
        <v/>
      </c>
      <c r="R97" s="16" t="str">
        <f t="shared" si="18"/>
        <v/>
      </c>
      <c r="S97" s="16" t="str">
        <f>IF(Q97="","",Q97/MAX(Q$5:Q97)-1)</f>
        <v/>
      </c>
      <c r="T97" s="13" t="str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Z$26:$AA$26,'实盘净值数据(iFinD公式)'!$Z97:$AA97/'实盘净值数据(iFinD公式)'!$Z$69:$AA$69)+SUMPRODUCT(分期持仓明细!$AB$26:$AL$26,'实盘净值数据(iFinD公式)'!$AB97:$AL97/'实盘净值数据(iFinD公式)'!$AB$69:$AL$69))*(1-实盘持仓配置!$AM$10)^(('实盘净值数据(iFinD公式)'!$A97-'实盘净值数据(iFinD公式)'!$A$69)/365))</f>
        <v/>
      </c>
      <c r="U97" s="16" t="str">
        <f t="shared" si="12"/>
        <v/>
      </c>
      <c r="V97" s="16" t="str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 t="str">
        <f>IF(OR('实盘净值数据(iFinD公式)'!$A98="",'实盘净值数据(iFinD公式)'!$B98=""),"",分期持仓明细!$AO$17*SUMPRODUCT(分期持仓明细!$B$17:$Y$17,'实盘净值数据(iFinD公式)'!$B98:$Y98/'实盘净值数据(iFinD公式)'!$B$20:$Y$20)*(1-实盘持仓配置!$AM$4)^(('实盘净值数据(iFinD公式)'!$A98-'实盘净值数据(iFinD公式)'!$A$6)/365))</f>
        <v/>
      </c>
      <c r="C98" s="16" t="str">
        <f t="shared" si="13"/>
        <v/>
      </c>
      <c r="D98" s="16" t="str">
        <f>IF(B98="","",B98/MAX(B$5:B98)-1)</f>
        <v/>
      </c>
      <c r="E98" s="13" t="str">
        <f>IF(OR('实盘净值数据(iFinD公式)'!$A98="",'实盘净值数据(iFinD公式)'!$B98=""),"",分期持仓明细!$AO$18*SUMPRODUCT(分期持仓明细!$B$18:$Y$18,'实盘净值数据(iFinD公式)'!$B98:$Y98/'实盘净值数据(iFinD公式)'!$B$20:$Y$20)*(1-实盘持仓配置!$AM$5)^(('实盘净值数据(iFinD公式)'!$A98-'实盘净值数据(iFinD公式)'!$A$5)/365))</f>
        <v/>
      </c>
      <c r="F98" s="16" t="str">
        <f t="shared" si="14"/>
        <v/>
      </c>
      <c r="G98" s="16" t="str">
        <f>IF(E98="","",E98/MAX(E$5:E98)-1)</f>
        <v/>
      </c>
      <c r="H98" s="13" t="str">
        <f>IF(OR('实盘净值数据(iFinD公式)'!$A98="",'实盘净值数据(iFinD公式)'!$B98=""),"",分期持仓明细!$AO$19*SUMPRODUCT(分期持仓明细!$B$19:$Y$19,'实盘净值数据(iFinD公式)'!$B98:$Y98/'实盘净值数据(iFinD公式)'!$B$20:$Y$20)*(1-实盘持仓配置!$AM$6)^(('实盘净值数据(iFinD公式)'!$A98-'实盘净值数据(iFinD公式)'!$A$7)/365))</f>
        <v/>
      </c>
      <c r="I98" s="16" t="str">
        <f t="shared" si="15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O$23*(SUMPRODUCT(分期持仓明细!$B$23:$Y$23,'实盘净值数据(iFinD公式)'!$B98:$Y98/'实盘净值数据(iFinD公式)'!$B$65:$Y$65)+SUMPRODUCT(分期持仓明细!$Z$23:$AA$23,'实盘净值数据(iFinD公式)'!$Z98:$AA98/'实盘净值数据(iFinD公式)'!$Z$65:$AA$65))*(1-实盘持仓配置!$AM$7)^(('实盘净值数据(iFinD公式)'!$A98-'实盘净值数据(iFinD公式)'!$A$8)/365))</f>
        <v/>
      </c>
      <c r="L98" s="16" t="str">
        <f t="shared" si="16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O$24*(SUMPRODUCT(分期持仓明细!$B$24:$Y$24,'实盘净值数据(iFinD公式)'!$B98:$Y98/'实盘净值数据(iFinD公式)'!$B$65:$Y$65)+SUMPRODUCT(分期持仓明细!$Z$24:$AA$24,'实盘净值数据(iFinD公式)'!$Z98:$AA98/'实盘净值数据(iFinD公式)'!$Z$65:$AA$65))*(1-实盘持仓配置!$AM$8)^(('实盘净值数据(iFinD公式)'!$A98-'实盘净值数据(iFinD公式)'!$A$5)/365))</f>
        <v/>
      </c>
      <c r="O98" s="16" t="str">
        <f t="shared" si="17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O$25*(SUMPRODUCT(分期持仓明细!$B$25:$Y$25,'实盘净值数据(iFinD公式)'!$B98:$Y98/'实盘净值数据(iFinD公式)'!$B$65:$Y$65)+SUMPRODUCT(分期持仓明细!$Z$25:$AA$25,'实盘净值数据(iFinD公式)'!$Z98:$AA98/'实盘净值数据(iFinD公式)'!$Z$65:$AA$65))*(1-实盘持仓配置!$AM$9)^(('实盘净值数据(iFinD公式)'!$A98-'实盘净值数据(iFinD公式)'!$A$8)/365))</f>
        <v/>
      </c>
      <c r="R98" s="16" t="str">
        <f t="shared" si="18"/>
        <v/>
      </c>
      <c r="S98" s="16" t="str">
        <f>IF(Q98="","",Q98/MAX(Q$5:Q98)-1)</f>
        <v/>
      </c>
      <c r="T98" s="13" t="str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Z$26:$AA$26,'实盘净值数据(iFinD公式)'!$Z98:$AA98/'实盘净值数据(iFinD公式)'!$Z$69:$AA$69)+SUMPRODUCT(分期持仓明细!$AB$26:$AL$26,'实盘净值数据(iFinD公式)'!$AB98:$AL98/'实盘净值数据(iFinD公式)'!$AB$69:$AL$69))*(1-实盘持仓配置!$AM$10)^(('实盘净值数据(iFinD公式)'!$A98-'实盘净值数据(iFinD公式)'!$A$69)/365))</f>
        <v/>
      </c>
      <c r="U98" s="16" t="str">
        <f t="shared" si="12"/>
        <v/>
      </c>
      <c r="V98" s="16" t="str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 t="str">
        <f>IF(OR('实盘净值数据(iFinD公式)'!$A99="",'实盘净值数据(iFinD公式)'!$B99=""),"",分期持仓明细!$AO$17*SUMPRODUCT(分期持仓明细!$B$17:$Y$17,'实盘净值数据(iFinD公式)'!$B99:$Y99/'实盘净值数据(iFinD公式)'!$B$20:$Y$20)*(1-实盘持仓配置!$AM$4)^(('实盘净值数据(iFinD公式)'!$A99-'实盘净值数据(iFinD公式)'!$A$6)/365))</f>
        <v/>
      </c>
      <c r="C99" s="16" t="str">
        <f t="shared" si="13"/>
        <v/>
      </c>
      <c r="D99" s="16" t="str">
        <f>IF(B99="","",B99/MAX(B$5:B99)-1)</f>
        <v/>
      </c>
      <c r="E99" s="13" t="str">
        <f>IF(OR('实盘净值数据(iFinD公式)'!$A99="",'实盘净值数据(iFinD公式)'!$B99=""),"",分期持仓明细!$AO$18*SUMPRODUCT(分期持仓明细!$B$18:$Y$18,'实盘净值数据(iFinD公式)'!$B99:$Y99/'实盘净值数据(iFinD公式)'!$B$20:$Y$20)*(1-实盘持仓配置!$AM$5)^(('实盘净值数据(iFinD公式)'!$A99-'实盘净值数据(iFinD公式)'!$A$5)/365))</f>
        <v/>
      </c>
      <c r="F99" s="16" t="str">
        <f t="shared" si="14"/>
        <v/>
      </c>
      <c r="G99" s="16" t="str">
        <f>IF(E99="","",E99/MAX(E$5:E99)-1)</f>
        <v/>
      </c>
      <c r="H99" s="13" t="str">
        <f>IF(OR('实盘净值数据(iFinD公式)'!$A99="",'实盘净值数据(iFinD公式)'!$B99=""),"",分期持仓明细!$AO$19*SUMPRODUCT(分期持仓明细!$B$19:$Y$19,'实盘净值数据(iFinD公式)'!$B99:$Y99/'实盘净值数据(iFinD公式)'!$B$20:$Y$20)*(1-实盘持仓配置!$AM$6)^(('实盘净值数据(iFinD公式)'!$A99-'实盘净值数据(iFinD公式)'!$A$7)/365))</f>
        <v/>
      </c>
      <c r="I99" s="16" t="str">
        <f t="shared" si="15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O$23*(SUMPRODUCT(分期持仓明细!$B$23:$Y$23,'实盘净值数据(iFinD公式)'!$B99:$Y99/'实盘净值数据(iFinD公式)'!$B$65:$Y$65)+SUMPRODUCT(分期持仓明细!$Z$23:$AA$23,'实盘净值数据(iFinD公式)'!$Z99:$AA99/'实盘净值数据(iFinD公式)'!$Z$65:$AA$65))*(1-实盘持仓配置!$AM$7)^(('实盘净值数据(iFinD公式)'!$A99-'实盘净值数据(iFinD公式)'!$A$8)/365))</f>
        <v/>
      </c>
      <c r="L99" s="16" t="str">
        <f t="shared" si="16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O$24*(SUMPRODUCT(分期持仓明细!$B$24:$Y$24,'实盘净值数据(iFinD公式)'!$B99:$Y99/'实盘净值数据(iFinD公式)'!$B$65:$Y$65)+SUMPRODUCT(分期持仓明细!$Z$24:$AA$24,'实盘净值数据(iFinD公式)'!$Z99:$AA99/'实盘净值数据(iFinD公式)'!$Z$65:$AA$65))*(1-实盘持仓配置!$AM$8)^(('实盘净值数据(iFinD公式)'!$A99-'实盘净值数据(iFinD公式)'!$A$5)/365))</f>
        <v/>
      </c>
      <c r="O99" s="16" t="str">
        <f t="shared" si="17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O$25*(SUMPRODUCT(分期持仓明细!$B$25:$Y$25,'实盘净值数据(iFinD公式)'!$B99:$Y99/'实盘净值数据(iFinD公式)'!$B$65:$Y$65)+SUMPRODUCT(分期持仓明细!$Z$25:$AA$25,'实盘净值数据(iFinD公式)'!$Z99:$AA99/'实盘净值数据(iFinD公式)'!$Z$65:$AA$65))*(1-实盘持仓配置!$AM$9)^(('实盘净值数据(iFinD公式)'!$A99-'实盘净值数据(iFinD公式)'!$A$8)/365))</f>
        <v/>
      </c>
      <c r="R99" s="16" t="str">
        <f t="shared" si="18"/>
        <v/>
      </c>
      <c r="S99" s="16" t="str">
        <f>IF(Q99="","",Q99/MAX(Q$5:Q99)-1)</f>
        <v/>
      </c>
      <c r="T99" s="13" t="str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Z$26:$AA$26,'实盘净值数据(iFinD公式)'!$Z99:$AA99/'实盘净值数据(iFinD公式)'!$Z$69:$AA$69)+SUMPRODUCT(分期持仓明细!$AB$26:$AL$26,'实盘净值数据(iFinD公式)'!$AB99:$AL99/'实盘净值数据(iFinD公式)'!$AB$69:$AL$69))*(1-实盘持仓配置!$AM$10)^(('实盘净值数据(iFinD公式)'!$A99-'实盘净值数据(iFinD公式)'!$A$69)/365))</f>
        <v/>
      </c>
      <c r="U99" s="16" t="str">
        <f t="shared" si="12"/>
        <v/>
      </c>
      <c r="V99" s="16" t="str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 t="str">
        <f>IF(OR('实盘净值数据(iFinD公式)'!$A100="",'实盘净值数据(iFinD公式)'!$B100=""),"",分期持仓明细!$AO$17*SUMPRODUCT(分期持仓明细!$B$17:$Y$17,'实盘净值数据(iFinD公式)'!$B100:$Y100/'实盘净值数据(iFinD公式)'!$B$20:$Y$20)*(1-实盘持仓配置!$AM$4)^(('实盘净值数据(iFinD公式)'!$A100-'实盘净值数据(iFinD公式)'!$A$6)/365))</f>
        <v/>
      </c>
      <c r="C100" s="16" t="str">
        <f t="shared" si="13"/>
        <v/>
      </c>
      <c r="D100" s="16" t="str">
        <f>IF(B100="","",B100/MAX(B$5:B100)-1)</f>
        <v/>
      </c>
      <c r="E100" s="13" t="str">
        <f>IF(OR('实盘净值数据(iFinD公式)'!$A100="",'实盘净值数据(iFinD公式)'!$B100=""),"",分期持仓明细!$AO$18*SUMPRODUCT(分期持仓明细!$B$18:$Y$18,'实盘净值数据(iFinD公式)'!$B100:$Y100/'实盘净值数据(iFinD公式)'!$B$20:$Y$20)*(1-实盘持仓配置!$AM$5)^(('实盘净值数据(iFinD公式)'!$A100-'实盘净值数据(iFinD公式)'!$A$5)/365))</f>
        <v/>
      </c>
      <c r="F100" s="16" t="str">
        <f t="shared" si="14"/>
        <v/>
      </c>
      <c r="G100" s="16" t="str">
        <f>IF(E100="","",E100/MAX(E$5:E100)-1)</f>
        <v/>
      </c>
      <c r="H100" s="13" t="str">
        <f>IF(OR('实盘净值数据(iFinD公式)'!$A100="",'实盘净值数据(iFinD公式)'!$B100=""),"",分期持仓明细!$AO$19*SUMPRODUCT(分期持仓明细!$B$19:$Y$19,'实盘净值数据(iFinD公式)'!$B100:$Y100/'实盘净值数据(iFinD公式)'!$B$20:$Y$20)*(1-实盘持仓配置!$AM$6)^(('实盘净值数据(iFinD公式)'!$A100-'实盘净值数据(iFinD公式)'!$A$7)/365))</f>
        <v/>
      </c>
      <c r="I100" s="16" t="str">
        <f t="shared" si="15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O$23*(SUMPRODUCT(分期持仓明细!$B$23:$Y$23,'实盘净值数据(iFinD公式)'!$B100:$Y100/'实盘净值数据(iFinD公式)'!$B$65:$Y$65)+SUMPRODUCT(分期持仓明细!$Z$23:$AA$23,'实盘净值数据(iFinD公式)'!$Z100:$AA100/'实盘净值数据(iFinD公式)'!$Z$65:$AA$65))*(1-实盘持仓配置!$AM$7)^(('实盘净值数据(iFinD公式)'!$A100-'实盘净值数据(iFinD公式)'!$A$8)/365))</f>
        <v/>
      </c>
      <c r="L100" s="16" t="str">
        <f t="shared" si="16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O$24*(SUMPRODUCT(分期持仓明细!$B$24:$Y$24,'实盘净值数据(iFinD公式)'!$B100:$Y100/'实盘净值数据(iFinD公式)'!$B$65:$Y$65)+SUMPRODUCT(分期持仓明细!$Z$24:$AA$24,'实盘净值数据(iFinD公式)'!$Z100:$AA100/'实盘净值数据(iFinD公式)'!$Z$65:$AA$65))*(1-实盘持仓配置!$AM$8)^(('实盘净值数据(iFinD公式)'!$A100-'实盘净值数据(iFinD公式)'!$A$5)/365))</f>
        <v/>
      </c>
      <c r="O100" s="16" t="str">
        <f t="shared" si="17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O$25*(SUMPRODUCT(分期持仓明细!$B$25:$Y$25,'实盘净值数据(iFinD公式)'!$B100:$Y100/'实盘净值数据(iFinD公式)'!$B$65:$Y$65)+SUMPRODUCT(分期持仓明细!$Z$25:$AA$25,'实盘净值数据(iFinD公式)'!$Z100:$AA100/'实盘净值数据(iFinD公式)'!$Z$65:$AA$65))*(1-实盘持仓配置!$AM$9)^(('实盘净值数据(iFinD公式)'!$A100-'实盘净值数据(iFinD公式)'!$A$8)/365))</f>
        <v/>
      </c>
      <c r="R100" s="16" t="str">
        <f t="shared" si="18"/>
        <v/>
      </c>
      <c r="S100" s="16" t="str">
        <f>IF(Q100="","",Q100/MAX(Q$5:Q100)-1)</f>
        <v/>
      </c>
      <c r="T100" s="13" t="str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Z$26:$AA$26,'实盘净值数据(iFinD公式)'!$Z100:$AA100/'实盘净值数据(iFinD公式)'!$Z$69:$AA$69)+SUMPRODUCT(分期持仓明细!$AB$26:$AL$26,'实盘净值数据(iFinD公式)'!$AB100:$AL100/'实盘净值数据(iFinD公式)'!$AB$69:$AL$69))*(1-实盘持仓配置!$AM$10)^(('实盘净值数据(iFinD公式)'!$A100-'实盘净值数据(iFinD公式)'!$A$69)/365))</f>
        <v/>
      </c>
      <c r="U100" s="16" t="str">
        <f t="shared" si="12"/>
        <v/>
      </c>
      <c r="V100" s="16" t="str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 t="str">
        <f>IF(OR('实盘净值数据(iFinD公式)'!$A101="",'实盘净值数据(iFinD公式)'!$B101=""),"",分期持仓明细!$AO$17*SUMPRODUCT(分期持仓明细!$B$17:$Y$17,'实盘净值数据(iFinD公式)'!$B101:$Y101/'实盘净值数据(iFinD公式)'!$B$20:$Y$20)*(1-实盘持仓配置!$AM$4)^(('实盘净值数据(iFinD公式)'!$A101-'实盘净值数据(iFinD公式)'!$A$6)/365))</f>
        <v/>
      </c>
      <c r="C101" s="16" t="str">
        <f t="shared" si="13"/>
        <v/>
      </c>
      <c r="D101" s="16" t="str">
        <f>IF(B101="","",B101/MAX(B$5:B101)-1)</f>
        <v/>
      </c>
      <c r="E101" s="13" t="str">
        <f>IF(OR('实盘净值数据(iFinD公式)'!$A101="",'实盘净值数据(iFinD公式)'!$B101=""),"",分期持仓明细!$AO$18*SUMPRODUCT(分期持仓明细!$B$18:$Y$18,'实盘净值数据(iFinD公式)'!$B101:$Y101/'实盘净值数据(iFinD公式)'!$B$20:$Y$20)*(1-实盘持仓配置!$AM$5)^(('实盘净值数据(iFinD公式)'!$A101-'实盘净值数据(iFinD公式)'!$A$5)/365))</f>
        <v/>
      </c>
      <c r="F101" s="16" t="str">
        <f t="shared" si="14"/>
        <v/>
      </c>
      <c r="G101" s="16" t="str">
        <f>IF(E101="","",E101/MAX(E$5:E101)-1)</f>
        <v/>
      </c>
      <c r="H101" s="13" t="str">
        <f>IF(OR('实盘净值数据(iFinD公式)'!$A101="",'实盘净值数据(iFinD公式)'!$B101=""),"",分期持仓明细!$AO$19*SUMPRODUCT(分期持仓明细!$B$19:$Y$19,'实盘净值数据(iFinD公式)'!$B101:$Y101/'实盘净值数据(iFinD公式)'!$B$20:$Y$20)*(1-实盘持仓配置!$AM$6)^(('实盘净值数据(iFinD公式)'!$A101-'实盘净值数据(iFinD公式)'!$A$7)/365))</f>
        <v/>
      </c>
      <c r="I101" s="16" t="str">
        <f t="shared" si="15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O$23*(SUMPRODUCT(分期持仓明细!$B$23:$Y$23,'实盘净值数据(iFinD公式)'!$B101:$Y101/'实盘净值数据(iFinD公式)'!$B$65:$Y$65)+SUMPRODUCT(分期持仓明细!$Z$23:$AA$23,'实盘净值数据(iFinD公式)'!$Z101:$AA101/'实盘净值数据(iFinD公式)'!$Z$65:$AA$65))*(1-实盘持仓配置!$AM$7)^(('实盘净值数据(iFinD公式)'!$A101-'实盘净值数据(iFinD公式)'!$A$8)/365))</f>
        <v/>
      </c>
      <c r="L101" s="16" t="str">
        <f t="shared" si="16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O$24*(SUMPRODUCT(分期持仓明细!$B$24:$Y$24,'实盘净值数据(iFinD公式)'!$B101:$Y101/'实盘净值数据(iFinD公式)'!$B$65:$Y$65)+SUMPRODUCT(分期持仓明细!$Z$24:$AA$24,'实盘净值数据(iFinD公式)'!$Z101:$AA101/'实盘净值数据(iFinD公式)'!$Z$65:$AA$65))*(1-实盘持仓配置!$AM$8)^(('实盘净值数据(iFinD公式)'!$A101-'实盘净值数据(iFinD公式)'!$A$5)/365))</f>
        <v/>
      </c>
      <c r="O101" s="16" t="str">
        <f t="shared" si="17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O$25*(SUMPRODUCT(分期持仓明细!$B$25:$Y$25,'实盘净值数据(iFinD公式)'!$B101:$Y101/'实盘净值数据(iFinD公式)'!$B$65:$Y$65)+SUMPRODUCT(分期持仓明细!$Z$25:$AA$25,'实盘净值数据(iFinD公式)'!$Z101:$AA101/'实盘净值数据(iFinD公式)'!$Z$65:$AA$65))*(1-实盘持仓配置!$AM$9)^(('实盘净值数据(iFinD公式)'!$A101-'实盘净值数据(iFinD公式)'!$A$8)/365))</f>
        <v/>
      </c>
      <c r="R101" s="16" t="str">
        <f t="shared" si="18"/>
        <v/>
      </c>
      <c r="S101" s="16" t="str">
        <f>IF(Q101="","",Q101/MAX(Q$5:Q101)-1)</f>
        <v/>
      </c>
      <c r="T101" s="13" t="str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Z$26:$AA$26,'实盘净值数据(iFinD公式)'!$Z101:$AA101/'实盘净值数据(iFinD公式)'!$Z$69:$AA$69)+SUMPRODUCT(分期持仓明细!$AB$26:$AL$26,'实盘净值数据(iFinD公式)'!$AB101:$AL101/'实盘净值数据(iFinD公式)'!$AB$69:$AL$69))*(1-实盘持仓配置!$AM$10)^(('实盘净值数据(iFinD公式)'!$A101-'实盘净值数据(iFinD公式)'!$A$69)/365))</f>
        <v/>
      </c>
      <c r="U101" s="16" t="str">
        <f t="shared" ref="U101:U132" si="19">IF(OR(T100="",T101=""),"",T101/T100-1)</f>
        <v/>
      </c>
      <c r="V101" s="16" t="str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 t="str">
        <f>IF(OR('实盘净值数据(iFinD公式)'!$A102="",'实盘净值数据(iFinD公式)'!$B102=""),"",分期持仓明细!$AO$17*SUMPRODUCT(分期持仓明细!$B$17:$Y$17,'实盘净值数据(iFinD公式)'!$B102:$Y102/'实盘净值数据(iFinD公式)'!$B$20:$Y$20)*(1-实盘持仓配置!$AM$4)^(('实盘净值数据(iFinD公式)'!$A102-'实盘净值数据(iFinD公式)'!$A$6)/365))</f>
        <v/>
      </c>
      <c r="C102" s="16" t="str">
        <f t="shared" si="13"/>
        <v/>
      </c>
      <c r="D102" s="16" t="str">
        <f>IF(B102="","",B102/MAX(B$5:B102)-1)</f>
        <v/>
      </c>
      <c r="E102" s="13" t="str">
        <f>IF(OR('实盘净值数据(iFinD公式)'!$A102="",'实盘净值数据(iFinD公式)'!$B102=""),"",分期持仓明细!$AO$18*SUMPRODUCT(分期持仓明细!$B$18:$Y$18,'实盘净值数据(iFinD公式)'!$B102:$Y102/'实盘净值数据(iFinD公式)'!$B$20:$Y$20)*(1-实盘持仓配置!$AM$5)^(('实盘净值数据(iFinD公式)'!$A102-'实盘净值数据(iFinD公式)'!$A$5)/365))</f>
        <v/>
      </c>
      <c r="F102" s="16" t="str">
        <f t="shared" si="14"/>
        <v/>
      </c>
      <c r="G102" s="16" t="str">
        <f>IF(E102="","",E102/MAX(E$5:E102)-1)</f>
        <v/>
      </c>
      <c r="H102" s="13" t="str">
        <f>IF(OR('实盘净值数据(iFinD公式)'!$A102="",'实盘净值数据(iFinD公式)'!$B102=""),"",分期持仓明细!$AO$19*SUMPRODUCT(分期持仓明细!$B$19:$Y$19,'实盘净值数据(iFinD公式)'!$B102:$Y102/'实盘净值数据(iFinD公式)'!$B$20:$Y$20)*(1-实盘持仓配置!$AM$6)^(('实盘净值数据(iFinD公式)'!$A102-'实盘净值数据(iFinD公式)'!$A$7)/365))</f>
        <v/>
      </c>
      <c r="I102" s="16" t="str">
        <f t="shared" si="15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O$23*(SUMPRODUCT(分期持仓明细!$B$23:$Y$23,'实盘净值数据(iFinD公式)'!$B102:$Y102/'实盘净值数据(iFinD公式)'!$B$65:$Y$65)+SUMPRODUCT(分期持仓明细!$Z$23:$AA$23,'实盘净值数据(iFinD公式)'!$Z102:$AA102/'实盘净值数据(iFinD公式)'!$Z$65:$AA$65))*(1-实盘持仓配置!$AM$7)^(('实盘净值数据(iFinD公式)'!$A102-'实盘净值数据(iFinD公式)'!$A$8)/365))</f>
        <v/>
      </c>
      <c r="L102" s="16" t="str">
        <f t="shared" si="16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O$24*(SUMPRODUCT(分期持仓明细!$B$24:$Y$24,'实盘净值数据(iFinD公式)'!$B102:$Y102/'实盘净值数据(iFinD公式)'!$B$65:$Y$65)+SUMPRODUCT(分期持仓明细!$Z$24:$AA$24,'实盘净值数据(iFinD公式)'!$Z102:$AA102/'实盘净值数据(iFinD公式)'!$Z$65:$AA$65))*(1-实盘持仓配置!$AM$8)^(('实盘净值数据(iFinD公式)'!$A102-'实盘净值数据(iFinD公式)'!$A$5)/365))</f>
        <v/>
      </c>
      <c r="O102" s="16" t="str">
        <f t="shared" si="17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O$25*(SUMPRODUCT(分期持仓明细!$B$25:$Y$25,'实盘净值数据(iFinD公式)'!$B102:$Y102/'实盘净值数据(iFinD公式)'!$B$65:$Y$65)+SUMPRODUCT(分期持仓明细!$Z$25:$AA$25,'实盘净值数据(iFinD公式)'!$Z102:$AA102/'实盘净值数据(iFinD公式)'!$Z$65:$AA$65))*(1-实盘持仓配置!$AM$9)^(('实盘净值数据(iFinD公式)'!$A102-'实盘净值数据(iFinD公式)'!$A$8)/365))</f>
        <v/>
      </c>
      <c r="R102" s="16" t="str">
        <f t="shared" si="18"/>
        <v/>
      </c>
      <c r="S102" s="16" t="str">
        <f>IF(Q102="","",Q102/MAX(Q$5:Q102)-1)</f>
        <v/>
      </c>
      <c r="T102" s="13" t="str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Z$26:$AA$26,'实盘净值数据(iFinD公式)'!$Z102:$AA102/'实盘净值数据(iFinD公式)'!$Z$69:$AA$69)+SUMPRODUCT(分期持仓明细!$AB$26:$AL$26,'实盘净值数据(iFinD公式)'!$AB102:$AL102/'实盘净值数据(iFinD公式)'!$AB$69:$AL$69))*(1-实盘持仓配置!$AM$10)^(('实盘净值数据(iFinD公式)'!$A102-'实盘净值数据(iFinD公式)'!$A$69)/365))</f>
        <v/>
      </c>
      <c r="U102" s="16" t="str">
        <f t="shared" si="19"/>
        <v/>
      </c>
      <c r="V102" s="16" t="str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 t="str">
        <f>IF(OR('实盘净值数据(iFinD公式)'!$A103="",'实盘净值数据(iFinD公式)'!$B103=""),"",分期持仓明细!$AO$17*SUMPRODUCT(分期持仓明细!$B$17:$Y$17,'实盘净值数据(iFinD公式)'!$B103:$Y103/'实盘净值数据(iFinD公式)'!$B$20:$Y$20)*(1-实盘持仓配置!$AM$4)^(('实盘净值数据(iFinD公式)'!$A103-'实盘净值数据(iFinD公式)'!$A$6)/365))</f>
        <v/>
      </c>
      <c r="C103" s="16" t="str">
        <f t="shared" si="13"/>
        <v/>
      </c>
      <c r="D103" s="16" t="str">
        <f>IF(B103="","",B103/MAX(B$5:B103)-1)</f>
        <v/>
      </c>
      <c r="E103" s="13" t="str">
        <f>IF(OR('实盘净值数据(iFinD公式)'!$A103="",'实盘净值数据(iFinD公式)'!$B103=""),"",分期持仓明细!$AO$18*SUMPRODUCT(分期持仓明细!$B$18:$Y$18,'实盘净值数据(iFinD公式)'!$B103:$Y103/'实盘净值数据(iFinD公式)'!$B$20:$Y$20)*(1-实盘持仓配置!$AM$5)^(('实盘净值数据(iFinD公式)'!$A103-'实盘净值数据(iFinD公式)'!$A$5)/365))</f>
        <v/>
      </c>
      <c r="F103" s="16" t="str">
        <f t="shared" si="14"/>
        <v/>
      </c>
      <c r="G103" s="16" t="str">
        <f>IF(E103="","",E103/MAX(E$5:E103)-1)</f>
        <v/>
      </c>
      <c r="H103" s="13" t="str">
        <f>IF(OR('实盘净值数据(iFinD公式)'!$A103="",'实盘净值数据(iFinD公式)'!$B103=""),"",分期持仓明细!$AO$19*SUMPRODUCT(分期持仓明细!$B$19:$Y$19,'实盘净值数据(iFinD公式)'!$B103:$Y103/'实盘净值数据(iFinD公式)'!$B$20:$Y$20)*(1-实盘持仓配置!$AM$6)^(('实盘净值数据(iFinD公式)'!$A103-'实盘净值数据(iFinD公式)'!$A$7)/365))</f>
        <v/>
      </c>
      <c r="I103" s="16" t="str">
        <f t="shared" si="15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O$23*(SUMPRODUCT(分期持仓明细!$B$23:$Y$23,'实盘净值数据(iFinD公式)'!$B103:$Y103/'实盘净值数据(iFinD公式)'!$B$65:$Y$65)+SUMPRODUCT(分期持仓明细!$Z$23:$AA$23,'实盘净值数据(iFinD公式)'!$Z103:$AA103/'实盘净值数据(iFinD公式)'!$Z$65:$AA$65))*(1-实盘持仓配置!$AM$7)^(('实盘净值数据(iFinD公式)'!$A103-'实盘净值数据(iFinD公式)'!$A$8)/365))</f>
        <v/>
      </c>
      <c r="L103" s="16" t="str">
        <f t="shared" si="16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O$24*(SUMPRODUCT(分期持仓明细!$B$24:$Y$24,'实盘净值数据(iFinD公式)'!$B103:$Y103/'实盘净值数据(iFinD公式)'!$B$65:$Y$65)+SUMPRODUCT(分期持仓明细!$Z$24:$AA$24,'实盘净值数据(iFinD公式)'!$Z103:$AA103/'实盘净值数据(iFinD公式)'!$Z$65:$AA$65))*(1-实盘持仓配置!$AM$8)^(('实盘净值数据(iFinD公式)'!$A103-'实盘净值数据(iFinD公式)'!$A$5)/365))</f>
        <v/>
      </c>
      <c r="O103" s="16" t="str">
        <f t="shared" si="17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O$25*(SUMPRODUCT(分期持仓明细!$B$25:$Y$25,'实盘净值数据(iFinD公式)'!$B103:$Y103/'实盘净值数据(iFinD公式)'!$B$65:$Y$65)+SUMPRODUCT(分期持仓明细!$Z$25:$AA$25,'实盘净值数据(iFinD公式)'!$Z103:$AA103/'实盘净值数据(iFinD公式)'!$Z$65:$AA$65))*(1-实盘持仓配置!$AM$9)^(('实盘净值数据(iFinD公式)'!$A103-'实盘净值数据(iFinD公式)'!$A$8)/365))</f>
        <v/>
      </c>
      <c r="R103" s="16" t="str">
        <f t="shared" si="18"/>
        <v/>
      </c>
      <c r="S103" s="16" t="str">
        <f>IF(Q103="","",Q103/MAX(Q$5:Q103)-1)</f>
        <v/>
      </c>
      <c r="T103" s="13" t="str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Z$26:$AA$26,'实盘净值数据(iFinD公式)'!$Z103:$AA103/'实盘净值数据(iFinD公式)'!$Z$69:$AA$69)+SUMPRODUCT(分期持仓明细!$AB$26:$AL$26,'实盘净值数据(iFinD公式)'!$AB103:$AL103/'实盘净值数据(iFinD公式)'!$AB$69:$AL$69))*(1-实盘持仓配置!$AM$10)^(('实盘净值数据(iFinD公式)'!$A103-'实盘净值数据(iFinD公式)'!$A$69)/365))</f>
        <v/>
      </c>
      <c r="U103" s="16" t="str">
        <f t="shared" si="19"/>
        <v/>
      </c>
      <c r="V103" s="16" t="str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 t="str">
        <f>IF(OR('实盘净值数据(iFinD公式)'!$A104="",'实盘净值数据(iFinD公式)'!$B104=""),"",分期持仓明细!$AO$17*SUMPRODUCT(分期持仓明细!$B$17:$Y$17,'实盘净值数据(iFinD公式)'!$B104:$Y104/'实盘净值数据(iFinD公式)'!$B$20:$Y$20)*(1-实盘持仓配置!$AM$4)^(('实盘净值数据(iFinD公式)'!$A104-'实盘净值数据(iFinD公式)'!$A$6)/365))</f>
        <v/>
      </c>
      <c r="C104" s="16" t="str">
        <f t="shared" si="13"/>
        <v/>
      </c>
      <c r="D104" s="16" t="str">
        <f>IF(B104="","",B104/MAX(B$5:B104)-1)</f>
        <v/>
      </c>
      <c r="E104" s="13" t="str">
        <f>IF(OR('实盘净值数据(iFinD公式)'!$A104="",'实盘净值数据(iFinD公式)'!$B104=""),"",分期持仓明细!$AO$18*SUMPRODUCT(分期持仓明细!$B$18:$Y$18,'实盘净值数据(iFinD公式)'!$B104:$Y104/'实盘净值数据(iFinD公式)'!$B$20:$Y$20)*(1-实盘持仓配置!$AM$5)^(('实盘净值数据(iFinD公式)'!$A104-'实盘净值数据(iFinD公式)'!$A$5)/365))</f>
        <v/>
      </c>
      <c r="F104" s="16" t="str">
        <f t="shared" si="14"/>
        <v/>
      </c>
      <c r="G104" s="16" t="str">
        <f>IF(E104="","",E104/MAX(E$5:E104)-1)</f>
        <v/>
      </c>
      <c r="H104" s="13" t="str">
        <f>IF(OR('实盘净值数据(iFinD公式)'!$A104="",'实盘净值数据(iFinD公式)'!$B104=""),"",分期持仓明细!$AO$19*SUMPRODUCT(分期持仓明细!$B$19:$Y$19,'实盘净值数据(iFinD公式)'!$B104:$Y104/'实盘净值数据(iFinD公式)'!$B$20:$Y$20)*(1-实盘持仓配置!$AM$6)^(('实盘净值数据(iFinD公式)'!$A104-'实盘净值数据(iFinD公式)'!$A$7)/365))</f>
        <v/>
      </c>
      <c r="I104" s="16" t="str">
        <f t="shared" si="15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O$23*(SUMPRODUCT(分期持仓明细!$B$23:$Y$23,'实盘净值数据(iFinD公式)'!$B104:$Y104/'实盘净值数据(iFinD公式)'!$B$65:$Y$65)+SUMPRODUCT(分期持仓明细!$Z$23:$AA$23,'实盘净值数据(iFinD公式)'!$Z104:$AA104/'实盘净值数据(iFinD公式)'!$Z$65:$AA$65))*(1-实盘持仓配置!$AM$7)^(('实盘净值数据(iFinD公式)'!$A104-'实盘净值数据(iFinD公式)'!$A$8)/365))</f>
        <v/>
      </c>
      <c r="L104" s="16" t="str">
        <f t="shared" si="16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O$24*(SUMPRODUCT(分期持仓明细!$B$24:$Y$24,'实盘净值数据(iFinD公式)'!$B104:$Y104/'实盘净值数据(iFinD公式)'!$B$65:$Y$65)+SUMPRODUCT(分期持仓明细!$Z$24:$AA$24,'实盘净值数据(iFinD公式)'!$Z104:$AA104/'实盘净值数据(iFinD公式)'!$Z$65:$AA$65))*(1-实盘持仓配置!$AM$8)^(('实盘净值数据(iFinD公式)'!$A104-'实盘净值数据(iFinD公式)'!$A$5)/365))</f>
        <v/>
      </c>
      <c r="O104" s="16" t="str">
        <f t="shared" si="17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O$25*(SUMPRODUCT(分期持仓明细!$B$25:$Y$25,'实盘净值数据(iFinD公式)'!$B104:$Y104/'实盘净值数据(iFinD公式)'!$B$65:$Y$65)+SUMPRODUCT(分期持仓明细!$Z$25:$AA$25,'实盘净值数据(iFinD公式)'!$Z104:$AA104/'实盘净值数据(iFinD公式)'!$Z$65:$AA$65))*(1-实盘持仓配置!$AM$9)^(('实盘净值数据(iFinD公式)'!$A104-'实盘净值数据(iFinD公式)'!$A$8)/365))</f>
        <v/>
      </c>
      <c r="R104" s="16" t="str">
        <f t="shared" si="18"/>
        <v/>
      </c>
      <c r="S104" s="16" t="str">
        <f>IF(Q104="","",Q104/MAX(Q$5:Q104)-1)</f>
        <v/>
      </c>
      <c r="T104" s="13" t="str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Z$26:$AA$26,'实盘净值数据(iFinD公式)'!$Z104:$AA104/'实盘净值数据(iFinD公式)'!$Z$69:$AA$69)+SUMPRODUCT(分期持仓明细!$AB$26:$AL$26,'实盘净值数据(iFinD公式)'!$AB104:$AL104/'实盘净值数据(iFinD公式)'!$AB$69:$AL$69))*(1-实盘持仓配置!$AM$10)^(('实盘净值数据(iFinD公式)'!$A104-'实盘净值数据(iFinD公式)'!$A$69)/365))</f>
        <v/>
      </c>
      <c r="U104" s="16" t="str">
        <f t="shared" si="19"/>
        <v/>
      </c>
      <c r="V104" s="16" t="str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 t="str">
        <f>IF(OR('实盘净值数据(iFinD公式)'!$A105="",'实盘净值数据(iFinD公式)'!$B105=""),"",分期持仓明细!$AO$17*SUMPRODUCT(分期持仓明细!$B$17:$Y$17,'实盘净值数据(iFinD公式)'!$B105:$Y105/'实盘净值数据(iFinD公式)'!$B$20:$Y$20)*(1-实盘持仓配置!$AM$4)^(('实盘净值数据(iFinD公式)'!$A105-'实盘净值数据(iFinD公式)'!$A$6)/365))</f>
        <v/>
      </c>
      <c r="C105" s="16" t="str">
        <f t="shared" si="13"/>
        <v/>
      </c>
      <c r="D105" s="16" t="str">
        <f>IF(B105="","",B105/MAX(B$5:B105)-1)</f>
        <v/>
      </c>
      <c r="E105" s="13" t="str">
        <f>IF(OR('实盘净值数据(iFinD公式)'!$A105="",'实盘净值数据(iFinD公式)'!$B105=""),"",分期持仓明细!$AO$18*SUMPRODUCT(分期持仓明细!$B$18:$Y$18,'实盘净值数据(iFinD公式)'!$B105:$Y105/'实盘净值数据(iFinD公式)'!$B$20:$Y$20)*(1-实盘持仓配置!$AM$5)^(('实盘净值数据(iFinD公式)'!$A105-'实盘净值数据(iFinD公式)'!$A$5)/365))</f>
        <v/>
      </c>
      <c r="F105" s="16" t="str">
        <f t="shared" si="14"/>
        <v/>
      </c>
      <c r="G105" s="16" t="str">
        <f>IF(E105="","",E105/MAX(E$5:E105)-1)</f>
        <v/>
      </c>
      <c r="H105" s="13" t="str">
        <f>IF(OR('实盘净值数据(iFinD公式)'!$A105="",'实盘净值数据(iFinD公式)'!$B105=""),"",分期持仓明细!$AO$19*SUMPRODUCT(分期持仓明细!$B$19:$Y$19,'实盘净值数据(iFinD公式)'!$B105:$Y105/'实盘净值数据(iFinD公式)'!$B$20:$Y$20)*(1-实盘持仓配置!$AM$6)^(('实盘净值数据(iFinD公式)'!$A105-'实盘净值数据(iFinD公式)'!$A$7)/365))</f>
        <v/>
      </c>
      <c r="I105" s="16" t="str">
        <f t="shared" si="15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O$23*(SUMPRODUCT(分期持仓明细!$B$23:$Y$23,'实盘净值数据(iFinD公式)'!$B105:$Y105/'实盘净值数据(iFinD公式)'!$B$65:$Y$65)+SUMPRODUCT(分期持仓明细!$Z$23:$AA$23,'实盘净值数据(iFinD公式)'!$Z105:$AA105/'实盘净值数据(iFinD公式)'!$Z$65:$AA$65))*(1-实盘持仓配置!$AM$7)^(('实盘净值数据(iFinD公式)'!$A105-'实盘净值数据(iFinD公式)'!$A$8)/365))</f>
        <v/>
      </c>
      <c r="L105" s="16" t="str">
        <f t="shared" si="16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O$24*(SUMPRODUCT(分期持仓明细!$B$24:$Y$24,'实盘净值数据(iFinD公式)'!$B105:$Y105/'实盘净值数据(iFinD公式)'!$B$65:$Y$65)+SUMPRODUCT(分期持仓明细!$Z$24:$AA$24,'实盘净值数据(iFinD公式)'!$Z105:$AA105/'实盘净值数据(iFinD公式)'!$Z$65:$AA$65))*(1-实盘持仓配置!$AM$8)^(('实盘净值数据(iFinD公式)'!$A105-'实盘净值数据(iFinD公式)'!$A$5)/365))</f>
        <v/>
      </c>
      <c r="O105" s="16" t="str">
        <f t="shared" si="17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O$25*(SUMPRODUCT(分期持仓明细!$B$25:$Y$25,'实盘净值数据(iFinD公式)'!$B105:$Y105/'实盘净值数据(iFinD公式)'!$B$65:$Y$65)+SUMPRODUCT(分期持仓明细!$Z$25:$AA$25,'实盘净值数据(iFinD公式)'!$Z105:$AA105/'实盘净值数据(iFinD公式)'!$Z$65:$AA$65))*(1-实盘持仓配置!$AM$9)^(('实盘净值数据(iFinD公式)'!$A105-'实盘净值数据(iFinD公式)'!$A$8)/365))</f>
        <v/>
      </c>
      <c r="R105" s="16" t="str">
        <f t="shared" si="18"/>
        <v/>
      </c>
      <c r="S105" s="16" t="str">
        <f>IF(Q105="","",Q105/MAX(Q$5:Q105)-1)</f>
        <v/>
      </c>
      <c r="T105" s="13" t="str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Z$26:$AA$26,'实盘净值数据(iFinD公式)'!$Z105:$AA105/'实盘净值数据(iFinD公式)'!$Z$69:$AA$69)+SUMPRODUCT(分期持仓明细!$AB$26:$AL$26,'实盘净值数据(iFinD公式)'!$AB105:$AL105/'实盘净值数据(iFinD公式)'!$AB$69:$AL$69))*(1-实盘持仓配置!$AM$10)^(('实盘净值数据(iFinD公式)'!$A105-'实盘净值数据(iFinD公式)'!$A$69)/365))</f>
        <v/>
      </c>
      <c r="U105" s="16" t="str">
        <f t="shared" si="19"/>
        <v/>
      </c>
      <c r="V105" s="16" t="str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 t="str">
        <f>IF(OR('实盘净值数据(iFinD公式)'!$A106="",'实盘净值数据(iFinD公式)'!$B106=""),"",分期持仓明细!$AO$17*SUMPRODUCT(分期持仓明细!$B$17:$Y$17,'实盘净值数据(iFinD公式)'!$B106:$Y106/'实盘净值数据(iFinD公式)'!$B$20:$Y$20)*(1-实盘持仓配置!$AM$4)^(('实盘净值数据(iFinD公式)'!$A106-'实盘净值数据(iFinD公式)'!$A$6)/365))</f>
        <v/>
      </c>
      <c r="C106" s="16" t="str">
        <f t="shared" si="13"/>
        <v/>
      </c>
      <c r="D106" s="16" t="str">
        <f>IF(B106="","",B106/MAX(B$5:B106)-1)</f>
        <v/>
      </c>
      <c r="E106" s="13" t="str">
        <f>IF(OR('实盘净值数据(iFinD公式)'!$A106="",'实盘净值数据(iFinD公式)'!$B106=""),"",分期持仓明细!$AO$18*SUMPRODUCT(分期持仓明细!$B$18:$Y$18,'实盘净值数据(iFinD公式)'!$B106:$Y106/'实盘净值数据(iFinD公式)'!$B$20:$Y$20)*(1-实盘持仓配置!$AM$5)^(('实盘净值数据(iFinD公式)'!$A106-'实盘净值数据(iFinD公式)'!$A$5)/365))</f>
        <v/>
      </c>
      <c r="F106" s="16" t="str">
        <f t="shared" si="14"/>
        <v/>
      </c>
      <c r="G106" s="16" t="str">
        <f>IF(E106="","",E106/MAX(E$5:E106)-1)</f>
        <v/>
      </c>
      <c r="H106" s="13" t="str">
        <f>IF(OR('实盘净值数据(iFinD公式)'!$A106="",'实盘净值数据(iFinD公式)'!$B106=""),"",分期持仓明细!$AO$19*SUMPRODUCT(分期持仓明细!$B$19:$Y$19,'实盘净值数据(iFinD公式)'!$B106:$Y106/'实盘净值数据(iFinD公式)'!$B$20:$Y$20)*(1-实盘持仓配置!$AM$6)^(('实盘净值数据(iFinD公式)'!$A106-'实盘净值数据(iFinD公式)'!$A$7)/365))</f>
        <v/>
      </c>
      <c r="I106" s="16" t="str">
        <f t="shared" si="15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O$23*(SUMPRODUCT(分期持仓明细!$B$23:$Y$23,'实盘净值数据(iFinD公式)'!$B106:$Y106/'实盘净值数据(iFinD公式)'!$B$65:$Y$65)+SUMPRODUCT(分期持仓明细!$Z$23:$AA$23,'实盘净值数据(iFinD公式)'!$Z106:$AA106/'实盘净值数据(iFinD公式)'!$Z$65:$AA$65))*(1-实盘持仓配置!$AM$7)^(('实盘净值数据(iFinD公式)'!$A106-'实盘净值数据(iFinD公式)'!$A$8)/365))</f>
        <v/>
      </c>
      <c r="L106" s="16" t="str">
        <f t="shared" si="16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O$24*(SUMPRODUCT(分期持仓明细!$B$24:$Y$24,'实盘净值数据(iFinD公式)'!$B106:$Y106/'实盘净值数据(iFinD公式)'!$B$65:$Y$65)+SUMPRODUCT(分期持仓明细!$Z$24:$AA$24,'实盘净值数据(iFinD公式)'!$Z106:$AA106/'实盘净值数据(iFinD公式)'!$Z$65:$AA$65))*(1-实盘持仓配置!$AM$8)^(('实盘净值数据(iFinD公式)'!$A106-'实盘净值数据(iFinD公式)'!$A$5)/365))</f>
        <v/>
      </c>
      <c r="O106" s="16" t="str">
        <f t="shared" si="17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O$25*(SUMPRODUCT(分期持仓明细!$B$25:$Y$25,'实盘净值数据(iFinD公式)'!$B106:$Y106/'实盘净值数据(iFinD公式)'!$B$65:$Y$65)+SUMPRODUCT(分期持仓明细!$Z$25:$AA$25,'实盘净值数据(iFinD公式)'!$Z106:$AA106/'实盘净值数据(iFinD公式)'!$Z$65:$AA$65))*(1-实盘持仓配置!$AM$9)^(('实盘净值数据(iFinD公式)'!$A106-'实盘净值数据(iFinD公式)'!$A$8)/365))</f>
        <v/>
      </c>
      <c r="R106" s="16" t="str">
        <f t="shared" si="18"/>
        <v/>
      </c>
      <c r="S106" s="16" t="str">
        <f>IF(Q106="","",Q106/MAX(Q$5:Q106)-1)</f>
        <v/>
      </c>
      <c r="T106" s="13" t="str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Z$26:$AA$26,'实盘净值数据(iFinD公式)'!$Z106:$AA106/'实盘净值数据(iFinD公式)'!$Z$69:$AA$69)+SUMPRODUCT(分期持仓明细!$AB$26:$AL$26,'实盘净值数据(iFinD公式)'!$AB106:$AL106/'实盘净值数据(iFinD公式)'!$AB$69:$AL$69))*(1-实盘持仓配置!$AM$10)^(('实盘净值数据(iFinD公式)'!$A106-'实盘净值数据(iFinD公式)'!$A$69)/365))</f>
        <v/>
      </c>
      <c r="U106" s="16" t="str">
        <f t="shared" si="19"/>
        <v/>
      </c>
      <c r="V106" s="16" t="str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 t="str">
        <f>IF(OR('实盘净值数据(iFinD公式)'!$A107="",'实盘净值数据(iFinD公式)'!$B107=""),"",分期持仓明细!$AO$17*SUMPRODUCT(分期持仓明细!$B$17:$Y$17,'实盘净值数据(iFinD公式)'!$B107:$Y107/'实盘净值数据(iFinD公式)'!$B$20:$Y$20)*(1-实盘持仓配置!$AM$4)^(('实盘净值数据(iFinD公式)'!$A107-'实盘净值数据(iFinD公式)'!$A$6)/365))</f>
        <v/>
      </c>
      <c r="C107" s="16" t="str">
        <f t="shared" si="13"/>
        <v/>
      </c>
      <c r="D107" s="16" t="str">
        <f>IF(B107="","",B107/MAX(B$5:B107)-1)</f>
        <v/>
      </c>
      <c r="E107" s="13" t="str">
        <f>IF(OR('实盘净值数据(iFinD公式)'!$A107="",'实盘净值数据(iFinD公式)'!$B107=""),"",分期持仓明细!$AO$18*SUMPRODUCT(分期持仓明细!$B$18:$Y$18,'实盘净值数据(iFinD公式)'!$B107:$Y107/'实盘净值数据(iFinD公式)'!$B$20:$Y$20)*(1-实盘持仓配置!$AM$5)^(('实盘净值数据(iFinD公式)'!$A107-'实盘净值数据(iFinD公式)'!$A$5)/365))</f>
        <v/>
      </c>
      <c r="F107" s="16" t="str">
        <f t="shared" si="14"/>
        <v/>
      </c>
      <c r="G107" s="16" t="str">
        <f>IF(E107="","",E107/MAX(E$5:E107)-1)</f>
        <v/>
      </c>
      <c r="H107" s="13" t="str">
        <f>IF(OR('实盘净值数据(iFinD公式)'!$A107="",'实盘净值数据(iFinD公式)'!$B107=""),"",分期持仓明细!$AO$19*SUMPRODUCT(分期持仓明细!$B$19:$Y$19,'实盘净值数据(iFinD公式)'!$B107:$Y107/'实盘净值数据(iFinD公式)'!$B$20:$Y$20)*(1-实盘持仓配置!$AM$6)^(('实盘净值数据(iFinD公式)'!$A107-'实盘净值数据(iFinD公式)'!$A$7)/365))</f>
        <v/>
      </c>
      <c r="I107" s="16" t="str">
        <f t="shared" si="15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O$23*(SUMPRODUCT(分期持仓明细!$B$23:$Y$23,'实盘净值数据(iFinD公式)'!$B107:$Y107/'实盘净值数据(iFinD公式)'!$B$65:$Y$65)+SUMPRODUCT(分期持仓明细!$Z$23:$AA$23,'实盘净值数据(iFinD公式)'!$Z107:$AA107/'实盘净值数据(iFinD公式)'!$Z$65:$AA$65))*(1-实盘持仓配置!$AM$7)^(('实盘净值数据(iFinD公式)'!$A107-'实盘净值数据(iFinD公式)'!$A$8)/365))</f>
        <v/>
      </c>
      <c r="L107" s="16" t="str">
        <f t="shared" si="16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O$24*(SUMPRODUCT(分期持仓明细!$B$24:$Y$24,'实盘净值数据(iFinD公式)'!$B107:$Y107/'实盘净值数据(iFinD公式)'!$B$65:$Y$65)+SUMPRODUCT(分期持仓明细!$Z$24:$AA$24,'实盘净值数据(iFinD公式)'!$Z107:$AA107/'实盘净值数据(iFinD公式)'!$Z$65:$AA$65))*(1-实盘持仓配置!$AM$8)^(('实盘净值数据(iFinD公式)'!$A107-'实盘净值数据(iFinD公式)'!$A$5)/365))</f>
        <v/>
      </c>
      <c r="O107" s="16" t="str">
        <f t="shared" si="17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O$25*(SUMPRODUCT(分期持仓明细!$B$25:$Y$25,'实盘净值数据(iFinD公式)'!$B107:$Y107/'实盘净值数据(iFinD公式)'!$B$65:$Y$65)+SUMPRODUCT(分期持仓明细!$Z$25:$AA$25,'实盘净值数据(iFinD公式)'!$Z107:$AA107/'实盘净值数据(iFinD公式)'!$Z$65:$AA$65))*(1-实盘持仓配置!$AM$9)^(('实盘净值数据(iFinD公式)'!$A107-'实盘净值数据(iFinD公式)'!$A$8)/365))</f>
        <v/>
      </c>
      <c r="R107" s="16" t="str">
        <f t="shared" si="18"/>
        <v/>
      </c>
      <c r="S107" s="16" t="str">
        <f>IF(Q107="","",Q107/MAX(Q$5:Q107)-1)</f>
        <v/>
      </c>
      <c r="T107" s="13" t="str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Z$26:$AA$26,'实盘净值数据(iFinD公式)'!$Z107:$AA107/'实盘净值数据(iFinD公式)'!$Z$69:$AA$69)+SUMPRODUCT(分期持仓明细!$AB$26:$AL$26,'实盘净值数据(iFinD公式)'!$AB107:$AL107/'实盘净值数据(iFinD公式)'!$AB$69:$AL$69))*(1-实盘持仓配置!$AM$10)^(('实盘净值数据(iFinD公式)'!$A107-'实盘净值数据(iFinD公式)'!$A$69)/365))</f>
        <v/>
      </c>
      <c r="U107" s="16" t="str">
        <f t="shared" si="19"/>
        <v/>
      </c>
      <c r="V107" s="16" t="str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 t="str">
        <f>IF(OR('实盘净值数据(iFinD公式)'!$A108="",'实盘净值数据(iFinD公式)'!$B108=""),"",分期持仓明细!$AO$17*SUMPRODUCT(分期持仓明细!$B$17:$Y$17,'实盘净值数据(iFinD公式)'!$B108:$Y108/'实盘净值数据(iFinD公式)'!$B$20:$Y$20)*(1-实盘持仓配置!$AM$4)^(('实盘净值数据(iFinD公式)'!$A108-'实盘净值数据(iFinD公式)'!$A$6)/365))</f>
        <v/>
      </c>
      <c r="C108" s="16" t="str">
        <f t="shared" si="13"/>
        <v/>
      </c>
      <c r="D108" s="16" t="str">
        <f>IF(B108="","",B108/MAX(B$5:B108)-1)</f>
        <v/>
      </c>
      <c r="E108" s="13" t="str">
        <f>IF(OR('实盘净值数据(iFinD公式)'!$A108="",'实盘净值数据(iFinD公式)'!$B108=""),"",分期持仓明细!$AO$18*SUMPRODUCT(分期持仓明细!$B$18:$Y$18,'实盘净值数据(iFinD公式)'!$B108:$Y108/'实盘净值数据(iFinD公式)'!$B$20:$Y$20)*(1-实盘持仓配置!$AM$5)^(('实盘净值数据(iFinD公式)'!$A108-'实盘净值数据(iFinD公式)'!$A$5)/365))</f>
        <v/>
      </c>
      <c r="F108" s="16" t="str">
        <f t="shared" si="14"/>
        <v/>
      </c>
      <c r="G108" s="16" t="str">
        <f>IF(E108="","",E108/MAX(E$5:E108)-1)</f>
        <v/>
      </c>
      <c r="H108" s="13" t="str">
        <f>IF(OR('实盘净值数据(iFinD公式)'!$A108="",'实盘净值数据(iFinD公式)'!$B108=""),"",分期持仓明细!$AO$19*SUMPRODUCT(分期持仓明细!$B$19:$Y$19,'实盘净值数据(iFinD公式)'!$B108:$Y108/'实盘净值数据(iFinD公式)'!$B$20:$Y$20)*(1-实盘持仓配置!$AM$6)^(('实盘净值数据(iFinD公式)'!$A108-'实盘净值数据(iFinD公式)'!$A$7)/365))</f>
        <v/>
      </c>
      <c r="I108" s="16" t="str">
        <f t="shared" si="15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O$23*(SUMPRODUCT(分期持仓明细!$B$23:$Y$23,'实盘净值数据(iFinD公式)'!$B108:$Y108/'实盘净值数据(iFinD公式)'!$B$65:$Y$65)+SUMPRODUCT(分期持仓明细!$Z$23:$AA$23,'实盘净值数据(iFinD公式)'!$Z108:$AA108/'实盘净值数据(iFinD公式)'!$Z$65:$AA$65))*(1-实盘持仓配置!$AM$7)^(('实盘净值数据(iFinD公式)'!$A108-'实盘净值数据(iFinD公式)'!$A$8)/365))</f>
        <v/>
      </c>
      <c r="L108" s="16" t="str">
        <f t="shared" si="16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O$24*(SUMPRODUCT(分期持仓明细!$B$24:$Y$24,'实盘净值数据(iFinD公式)'!$B108:$Y108/'实盘净值数据(iFinD公式)'!$B$65:$Y$65)+SUMPRODUCT(分期持仓明细!$Z$24:$AA$24,'实盘净值数据(iFinD公式)'!$Z108:$AA108/'实盘净值数据(iFinD公式)'!$Z$65:$AA$65))*(1-实盘持仓配置!$AM$8)^(('实盘净值数据(iFinD公式)'!$A108-'实盘净值数据(iFinD公式)'!$A$5)/365))</f>
        <v/>
      </c>
      <c r="O108" s="16" t="str">
        <f t="shared" si="17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O$25*(SUMPRODUCT(分期持仓明细!$B$25:$Y$25,'实盘净值数据(iFinD公式)'!$B108:$Y108/'实盘净值数据(iFinD公式)'!$B$65:$Y$65)+SUMPRODUCT(分期持仓明细!$Z$25:$AA$25,'实盘净值数据(iFinD公式)'!$Z108:$AA108/'实盘净值数据(iFinD公式)'!$Z$65:$AA$65))*(1-实盘持仓配置!$AM$9)^(('实盘净值数据(iFinD公式)'!$A108-'实盘净值数据(iFinD公式)'!$A$8)/365))</f>
        <v/>
      </c>
      <c r="R108" s="16" t="str">
        <f t="shared" si="18"/>
        <v/>
      </c>
      <c r="S108" s="16" t="str">
        <f>IF(Q108="","",Q108/MAX(Q$5:Q108)-1)</f>
        <v/>
      </c>
      <c r="T108" s="13" t="str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Z$26:$AA$26,'实盘净值数据(iFinD公式)'!$Z108:$AA108/'实盘净值数据(iFinD公式)'!$Z$69:$AA$69)+SUMPRODUCT(分期持仓明细!$AB$26:$AL$26,'实盘净值数据(iFinD公式)'!$AB108:$AL108/'实盘净值数据(iFinD公式)'!$AB$69:$AL$69))*(1-实盘持仓配置!$AM$10)^(('实盘净值数据(iFinD公式)'!$A108-'实盘净值数据(iFinD公式)'!$A$69)/365))</f>
        <v/>
      </c>
      <c r="U108" s="16" t="str">
        <f t="shared" si="19"/>
        <v/>
      </c>
      <c r="V108" s="16" t="str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 t="str">
        <f>IF(OR('实盘净值数据(iFinD公式)'!$A109="",'实盘净值数据(iFinD公式)'!$B109=""),"",分期持仓明细!$AO$17*SUMPRODUCT(分期持仓明细!$B$17:$Y$17,'实盘净值数据(iFinD公式)'!$B109:$Y109/'实盘净值数据(iFinD公式)'!$B$20:$Y$20)*(1-实盘持仓配置!$AM$4)^(('实盘净值数据(iFinD公式)'!$A109-'实盘净值数据(iFinD公式)'!$A$6)/365))</f>
        <v/>
      </c>
      <c r="C109" s="16" t="str">
        <f t="shared" si="13"/>
        <v/>
      </c>
      <c r="D109" s="16" t="str">
        <f>IF(B109="","",B109/MAX(B$5:B109)-1)</f>
        <v/>
      </c>
      <c r="E109" s="13" t="str">
        <f>IF(OR('实盘净值数据(iFinD公式)'!$A109="",'实盘净值数据(iFinD公式)'!$B109=""),"",分期持仓明细!$AO$18*SUMPRODUCT(分期持仓明细!$B$18:$Y$18,'实盘净值数据(iFinD公式)'!$B109:$Y109/'实盘净值数据(iFinD公式)'!$B$20:$Y$20)*(1-实盘持仓配置!$AM$5)^(('实盘净值数据(iFinD公式)'!$A109-'实盘净值数据(iFinD公式)'!$A$5)/365))</f>
        <v/>
      </c>
      <c r="F109" s="16" t="str">
        <f t="shared" si="14"/>
        <v/>
      </c>
      <c r="G109" s="16" t="str">
        <f>IF(E109="","",E109/MAX(E$5:E109)-1)</f>
        <v/>
      </c>
      <c r="H109" s="13" t="str">
        <f>IF(OR('实盘净值数据(iFinD公式)'!$A109="",'实盘净值数据(iFinD公式)'!$B109=""),"",分期持仓明细!$AO$19*SUMPRODUCT(分期持仓明细!$B$19:$Y$19,'实盘净值数据(iFinD公式)'!$B109:$Y109/'实盘净值数据(iFinD公式)'!$B$20:$Y$20)*(1-实盘持仓配置!$AM$6)^(('实盘净值数据(iFinD公式)'!$A109-'实盘净值数据(iFinD公式)'!$A$7)/365))</f>
        <v/>
      </c>
      <c r="I109" s="16" t="str">
        <f t="shared" si="15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O$23*(SUMPRODUCT(分期持仓明细!$B$23:$Y$23,'实盘净值数据(iFinD公式)'!$B109:$Y109/'实盘净值数据(iFinD公式)'!$B$65:$Y$65)+SUMPRODUCT(分期持仓明细!$Z$23:$AA$23,'实盘净值数据(iFinD公式)'!$Z109:$AA109/'实盘净值数据(iFinD公式)'!$Z$65:$AA$65))*(1-实盘持仓配置!$AM$7)^(('实盘净值数据(iFinD公式)'!$A109-'实盘净值数据(iFinD公式)'!$A$8)/365))</f>
        <v/>
      </c>
      <c r="L109" s="16" t="str">
        <f t="shared" si="16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O$24*(SUMPRODUCT(分期持仓明细!$B$24:$Y$24,'实盘净值数据(iFinD公式)'!$B109:$Y109/'实盘净值数据(iFinD公式)'!$B$65:$Y$65)+SUMPRODUCT(分期持仓明细!$Z$24:$AA$24,'实盘净值数据(iFinD公式)'!$Z109:$AA109/'实盘净值数据(iFinD公式)'!$Z$65:$AA$65))*(1-实盘持仓配置!$AM$8)^(('实盘净值数据(iFinD公式)'!$A109-'实盘净值数据(iFinD公式)'!$A$5)/365))</f>
        <v/>
      </c>
      <c r="O109" s="16" t="str">
        <f t="shared" si="17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O$25*(SUMPRODUCT(分期持仓明细!$B$25:$Y$25,'实盘净值数据(iFinD公式)'!$B109:$Y109/'实盘净值数据(iFinD公式)'!$B$65:$Y$65)+SUMPRODUCT(分期持仓明细!$Z$25:$AA$25,'实盘净值数据(iFinD公式)'!$Z109:$AA109/'实盘净值数据(iFinD公式)'!$Z$65:$AA$65))*(1-实盘持仓配置!$AM$9)^(('实盘净值数据(iFinD公式)'!$A109-'实盘净值数据(iFinD公式)'!$A$8)/365))</f>
        <v/>
      </c>
      <c r="R109" s="16" t="str">
        <f t="shared" si="18"/>
        <v/>
      </c>
      <c r="S109" s="16" t="str">
        <f>IF(Q109="","",Q109/MAX(Q$5:Q109)-1)</f>
        <v/>
      </c>
      <c r="T109" s="13" t="str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Z$26:$AA$26,'实盘净值数据(iFinD公式)'!$Z109:$AA109/'实盘净值数据(iFinD公式)'!$Z$69:$AA$69)+SUMPRODUCT(分期持仓明细!$AB$26:$AL$26,'实盘净值数据(iFinD公式)'!$AB109:$AL109/'实盘净值数据(iFinD公式)'!$AB$69:$AL$69))*(1-实盘持仓配置!$AM$10)^(('实盘净值数据(iFinD公式)'!$A109-'实盘净值数据(iFinD公式)'!$A$69)/365))</f>
        <v/>
      </c>
      <c r="U109" s="16" t="str">
        <f t="shared" si="19"/>
        <v/>
      </c>
      <c r="V109" s="16" t="str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 t="str">
        <f>IF(OR('实盘净值数据(iFinD公式)'!$A110="",'实盘净值数据(iFinD公式)'!$B110=""),"",分期持仓明细!$AO$17*SUMPRODUCT(分期持仓明细!$B$17:$Y$17,'实盘净值数据(iFinD公式)'!$B110:$Y110/'实盘净值数据(iFinD公式)'!$B$20:$Y$20)*(1-实盘持仓配置!$AM$4)^(('实盘净值数据(iFinD公式)'!$A110-'实盘净值数据(iFinD公式)'!$A$6)/365))</f>
        <v/>
      </c>
      <c r="C110" s="16" t="str">
        <f t="shared" si="13"/>
        <v/>
      </c>
      <c r="D110" s="16" t="str">
        <f>IF(B110="","",B110/MAX(B$5:B110)-1)</f>
        <v/>
      </c>
      <c r="E110" s="13" t="str">
        <f>IF(OR('实盘净值数据(iFinD公式)'!$A110="",'实盘净值数据(iFinD公式)'!$B110=""),"",分期持仓明细!$AO$18*SUMPRODUCT(分期持仓明细!$B$18:$Y$18,'实盘净值数据(iFinD公式)'!$B110:$Y110/'实盘净值数据(iFinD公式)'!$B$20:$Y$20)*(1-实盘持仓配置!$AM$5)^(('实盘净值数据(iFinD公式)'!$A110-'实盘净值数据(iFinD公式)'!$A$5)/365))</f>
        <v/>
      </c>
      <c r="F110" s="16" t="str">
        <f t="shared" si="14"/>
        <v/>
      </c>
      <c r="G110" s="16" t="str">
        <f>IF(E110="","",E110/MAX(E$5:E110)-1)</f>
        <v/>
      </c>
      <c r="H110" s="13" t="str">
        <f>IF(OR('实盘净值数据(iFinD公式)'!$A110="",'实盘净值数据(iFinD公式)'!$B110=""),"",分期持仓明细!$AO$19*SUMPRODUCT(分期持仓明细!$B$19:$Y$19,'实盘净值数据(iFinD公式)'!$B110:$Y110/'实盘净值数据(iFinD公式)'!$B$20:$Y$20)*(1-实盘持仓配置!$AM$6)^(('实盘净值数据(iFinD公式)'!$A110-'实盘净值数据(iFinD公式)'!$A$7)/365))</f>
        <v/>
      </c>
      <c r="I110" s="16" t="str">
        <f t="shared" si="15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O$23*(SUMPRODUCT(分期持仓明细!$B$23:$Y$23,'实盘净值数据(iFinD公式)'!$B110:$Y110/'实盘净值数据(iFinD公式)'!$B$65:$Y$65)+SUMPRODUCT(分期持仓明细!$Z$23:$AA$23,'实盘净值数据(iFinD公式)'!$Z110:$AA110/'实盘净值数据(iFinD公式)'!$Z$65:$AA$65))*(1-实盘持仓配置!$AM$7)^(('实盘净值数据(iFinD公式)'!$A110-'实盘净值数据(iFinD公式)'!$A$8)/365))</f>
        <v/>
      </c>
      <c r="L110" s="16" t="str">
        <f t="shared" si="16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O$24*(SUMPRODUCT(分期持仓明细!$B$24:$Y$24,'实盘净值数据(iFinD公式)'!$B110:$Y110/'实盘净值数据(iFinD公式)'!$B$65:$Y$65)+SUMPRODUCT(分期持仓明细!$Z$24:$AA$24,'实盘净值数据(iFinD公式)'!$Z110:$AA110/'实盘净值数据(iFinD公式)'!$Z$65:$AA$65))*(1-实盘持仓配置!$AM$8)^(('实盘净值数据(iFinD公式)'!$A110-'实盘净值数据(iFinD公式)'!$A$5)/365))</f>
        <v/>
      </c>
      <c r="O110" s="16" t="str">
        <f t="shared" si="17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O$25*(SUMPRODUCT(分期持仓明细!$B$25:$Y$25,'实盘净值数据(iFinD公式)'!$B110:$Y110/'实盘净值数据(iFinD公式)'!$B$65:$Y$65)+SUMPRODUCT(分期持仓明细!$Z$25:$AA$25,'实盘净值数据(iFinD公式)'!$Z110:$AA110/'实盘净值数据(iFinD公式)'!$Z$65:$AA$65))*(1-实盘持仓配置!$AM$9)^(('实盘净值数据(iFinD公式)'!$A110-'实盘净值数据(iFinD公式)'!$A$8)/365))</f>
        <v/>
      </c>
      <c r="R110" s="16" t="str">
        <f t="shared" si="18"/>
        <v/>
      </c>
      <c r="S110" s="16" t="str">
        <f>IF(Q110="","",Q110/MAX(Q$5:Q110)-1)</f>
        <v/>
      </c>
      <c r="T110" s="13" t="str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Z$26:$AA$26,'实盘净值数据(iFinD公式)'!$Z110:$AA110/'实盘净值数据(iFinD公式)'!$Z$69:$AA$69)+SUMPRODUCT(分期持仓明细!$AB$26:$AL$26,'实盘净值数据(iFinD公式)'!$AB110:$AL110/'实盘净值数据(iFinD公式)'!$AB$69:$AL$69))*(1-实盘持仓配置!$AM$10)^(('实盘净值数据(iFinD公式)'!$A110-'实盘净值数据(iFinD公式)'!$A$69)/365))</f>
        <v/>
      </c>
      <c r="U110" s="16" t="str">
        <f t="shared" si="19"/>
        <v/>
      </c>
      <c r="V110" s="16" t="str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 t="str">
        <f>IF(OR('实盘净值数据(iFinD公式)'!$A111="",'实盘净值数据(iFinD公式)'!$B111=""),"",分期持仓明细!$AO$17*SUMPRODUCT(分期持仓明细!$B$17:$Y$17,'实盘净值数据(iFinD公式)'!$B111:$Y111/'实盘净值数据(iFinD公式)'!$B$20:$Y$20)*(1-实盘持仓配置!$AM$4)^(('实盘净值数据(iFinD公式)'!$A111-'实盘净值数据(iFinD公式)'!$A$6)/365))</f>
        <v/>
      </c>
      <c r="C111" s="16" t="str">
        <f t="shared" si="13"/>
        <v/>
      </c>
      <c r="D111" s="16" t="str">
        <f>IF(B111="","",B111/MAX(B$5:B111)-1)</f>
        <v/>
      </c>
      <c r="E111" s="13" t="str">
        <f>IF(OR('实盘净值数据(iFinD公式)'!$A111="",'实盘净值数据(iFinD公式)'!$B111=""),"",分期持仓明细!$AO$18*SUMPRODUCT(分期持仓明细!$B$18:$Y$18,'实盘净值数据(iFinD公式)'!$B111:$Y111/'实盘净值数据(iFinD公式)'!$B$20:$Y$20)*(1-实盘持仓配置!$AM$5)^(('实盘净值数据(iFinD公式)'!$A111-'实盘净值数据(iFinD公式)'!$A$5)/365))</f>
        <v/>
      </c>
      <c r="F111" s="16" t="str">
        <f t="shared" si="14"/>
        <v/>
      </c>
      <c r="G111" s="16" t="str">
        <f>IF(E111="","",E111/MAX(E$5:E111)-1)</f>
        <v/>
      </c>
      <c r="H111" s="13" t="str">
        <f>IF(OR('实盘净值数据(iFinD公式)'!$A111="",'实盘净值数据(iFinD公式)'!$B111=""),"",分期持仓明细!$AO$19*SUMPRODUCT(分期持仓明细!$B$19:$Y$19,'实盘净值数据(iFinD公式)'!$B111:$Y111/'实盘净值数据(iFinD公式)'!$B$20:$Y$20)*(1-实盘持仓配置!$AM$6)^(('实盘净值数据(iFinD公式)'!$A111-'实盘净值数据(iFinD公式)'!$A$7)/365))</f>
        <v/>
      </c>
      <c r="I111" s="16" t="str">
        <f t="shared" si="15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O$23*(SUMPRODUCT(分期持仓明细!$B$23:$Y$23,'实盘净值数据(iFinD公式)'!$B111:$Y111/'实盘净值数据(iFinD公式)'!$B$65:$Y$65)+SUMPRODUCT(分期持仓明细!$Z$23:$AA$23,'实盘净值数据(iFinD公式)'!$Z111:$AA111/'实盘净值数据(iFinD公式)'!$Z$65:$AA$65))*(1-实盘持仓配置!$AM$7)^(('实盘净值数据(iFinD公式)'!$A111-'实盘净值数据(iFinD公式)'!$A$8)/365))</f>
        <v/>
      </c>
      <c r="L111" s="16" t="str">
        <f t="shared" si="16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O$24*(SUMPRODUCT(分期持仓明细!$B$24:$Y$24,'实盘净值数据(iFinD公式)'!$B111:$Y111/'实盘净值数据(iFinD公式)'!$B$65:$Y$65)+SUMPRODUCT(分期持仓明细!$Z$24:$AA$24,'实盘净值数据(iFinD公式)'!$Z111:$AA111/'实盘净值数据(iFinD公式)'!$Z$65:$AA$65))*(1-实盘持仓配置!$AM$8)^(('实盘净值数据(iFinD公式)'!$A111-'实盘净值数据(iFinD公式)'!$A$5)/365))</f>
        <v/>
      </c>
      <c r="O111" s="16" t="str">
        <f t="shared" si="17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O$25*(SUMPRODUCT(分期持仓明细!$B$25:$Y$25,'实盘净值数据(iFinD公式)'!$B111:$Y111/'实盘净值数据(iFinD公式)'!$B$65:$Y$65)+SUMPRODUCT(分期持仓明细!$Z$25:$AA$25,'实盘净值数据(iFinD公式)'!$Z111:$AA111/'实盘净值数据(iFinD公式)'!$Z$65:$AA$65))*(1-实盘持仓配置!$AM$9)^(('实盘净值数据(iFinD公式)'!$A111-'实盘净值数据(iFinD公式)'!$A$8)/365))</f>
        <v/>
      </c>
      <c r="R111" s="16" t="str">
        <f t="shared" si="18"/>
        <v/>
      </c>
      <c r="S111" s="16" t="str">
        <f>IF(Q111="","",Q111/MAX(Q$5:Q111)-1)</f>
        <v/>
      </c>
      <c r="T111" s="13" t="str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Z$26:$AA$26,'实盘净值数据(iFinD公式)'!$Z111:$AA111/'实盘净值数据(iFinD公式)'!$Z$69:$AA$69)+SUMPRODUCT(分期持仓明细!$AB$26:$AL$26,'实盘净值数据(iFinD公式)'!$AB111:$AL111/'实盘净值数据(iFinD公式)'!$AB$69:$AL$69))*(1-实盘持仓配置!$AM$10)^(('实盘净值数据(iFinD公式)'!$A111-'实盘净值数据(iFinD公式)'!$A$69)/365))</f>
        <v/>
      </c>
      <c r="U111" s="16" t="str">
        <f t="shared" si="19"/>
        <v/>
      </c>
      <c r="V111" s="16" t="str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 t="str">
        <f>IF(OR('实盘净值数据(iFinD公式)'!$A112="",'实盘净值数据(iFinD公式)'!$B112=""),"",分期持仓明细!$AO$17*SUMPRODUCT(分期持仓明细!$B$17:$Y$17,'实盘净值数据(iFinD公式)'!$B112:$Y112/'实盘净值数据(iFinD公式)'!$B$20:$Y$20)*(1-实盘持仓配置!$AM$4)^(('实盘净值数据(iFinD公式)'!$A112-'实盘净值数据(iFinD公式)'!$A$6)/365))</f>
        <v/>
      </c>
      <c r="C112" s="16" t="str">
        <f t="shared" si="13"/>
        <v/>
      </c>
      <c r="D112" s="16" t="str">
        <f>IF(B112="","",B112/MAX(B$5:B112)-1)</f>
        <v/>
      </c>
      <c r="E112" s="13" t="str">
        <f>IF(OR('实盘净值数据(iFinD公式)'!$A112="",'实盘净值数据(iFinD公式)'!$B112=""),"",分期持仓明细!$AO$18*SUMPRODUCT(分期持仓明细!$B$18:$Y$18,'实盘净值数据(iFinD公式)'!$B112:$Y112/'实盘净值数据(iFinD公式)'!$B$20:$Y$20)*(1-实盘持仓配置!$AM$5)^(('实盘净值数据(iFinD公式)'!$A112-'实盘净值数据(iFinD公式)'!$A$5)/365))</f>
        <v/>
      </c>
      <c r="F112" s="16" t="str">
        <f t="shared" si="14"/>
        <v/>
      </c>
      <c r="G112" s="16" t="str">
        <f>IF(E112="","",E112/MAX(E$5:E112)-1)</f>
        <v/>
      </c>
      <c r="H112" s="13" t="str">
        <f>IF(OR('实盘净值数据(iFinD公式)'!$A112="",'实盘净值数据(iFinD公式)'!$B112=""),"",分期持仓明细!$AO$19*SUMPRODUCT(分期持仓明细!$B$19:$Y$19,'实盘净值数据(iFinD公式)'!$B112:$Y112/'实盘净值数据(iFinD公式)'!$B$20:$Y$20)*(1-实盘持仓配置!$AM$6)^(('实盘净值数据(iFinD公式)'!$A112-'实盘净值数据(iFinD公式)'!$A$7)/365))</f>
        <v/>
      </c>
      <c r="I112" s="16" t="str">
        <f t="shared" si="15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O$23*(SUMPRODUCT(分期持仓明细!$B$23:$Y$23,'实盘净值数据(iFinD公式)'!$B112:$Y112/'实盘净值数据(iFinD公式)'!$B$65:$Y$65)+SUMPRODUCT(分期持仓明细!$Z$23:$AA$23,'实盘净值数据(iFinD公式)'!$Z112:$AA112/'实盘净值数据(iFinD公式)'!$Z$65:$AA$65))*(1-实盘持仓配置!$AM$7)^(('实盘净值数据(iFinD公式)'!$A112-'实盘净值数据(iFinD公式)'!$A$8)/365))</f>
        <v/>
      </c>
      <c r="L112" s="16" t="str">
        <f t="shared" si="16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O$24*(SUMPRODUCT(分期持仓明细!$B$24:$Y$24,'实盘净值数据(iFinD公式)'!$B112:$Y112/'实盘净值数据(iFinD公式)'!$B$65:$Y$65)+SUMPRODUCT(分期持仓明细!$Z$24:$AA$24,'实盘净值数据(iFinD公式)'!$Z112:$AA112/'实盘净值数据(iFinD公式)'!$Z$65:$AA$65))*(1-实盘持仓配置!$AM$8)^(('实盘净值数据(iFinD公式)'!$A112-'实盘净值数据(iFinD公式)'!$A$5)/365))</f>
        <v/>
      </c>
      <c r="O112" s="16" t="str">
        <f t="shared" si="17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O$25*(SUMPRODUCT(分期持仓明细!$B$25:$Y$25,'实盘净值数据(iFinD公式)'!$B112:$Y112/'实盘净值数据(iFinD公式)'!$B$65:$Y$65)+SUMPRODUCT(分期持仓明细!$Z$25:$AA$25,'实盘净值数据(iFinD公式)'!$Z112:$AA112/'实盘净值数据(iFinD公式)'!$Z$65:$AA$65))*(1-实盘持仓配置!$AM$9)^(('实盘净值数据(iFinD公式)'!$A112-'实盘净值数据(iFinD公式)'!$A$8)/365))</f>
        <v/>
      </c>
      <c r="R112" s="16" t="str">
        <f t="shared" si="18"/>
        <v/>
      </c>
      <c r="S112" s="16" t="str">
        <f>IF(Q112="","",Q112/MAX(Q$5:Q112)-1)</f>
        <v/>
      </c>
      <c r="T112" s="13" t="str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Z$26:$AA$26,'实盘净值数据(iFinD公式)'!$Z112:$AA112/'实盘净值数据(iFinD公式)'!$Z$69:$AA$69)+SUMPRODUCT(分期持仓明细!$AB$26:$AL$26,'实盘净值数据(iFinD公式)'!$AB112:$AL112/'实盘净值数据(iFinD公式)'!$AB$69:$AL$69))*(1-实盘持仓配置!$AM$10)^(('实盘净值数据(iFinD公式)'!$A112-'实盘净值数据(iFinD公式)'!$A$69)/365))</f>
        <v/>
      </c>
      <c r="U112" s="16" t="str">
        <f t="shared" si="19"/>
        <v/>
      </c>
      <c r="V112" s="16" t="str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 t="str">
        <f>IF(OR('实盘净值数据(iFinD公式)'!$A113="",'实盘净值数据(iFinD公式)'!$B113=""),"",分期持仓明细!$AO$17*SUMPRODUCT(分期持仓明细!$B$17:$Y$17,'实盘净值数据(iFinD公式)'!$B113:$Y113/'实盘净值数据(iFinD公式)'!$B$20:$Y$20)*(1-实盘持仓配置!$AM$4)^(('实盘净值数据(iFinD公式)'!$A113-'实盘净值数据(iFinD公式)'!$A$6)/365))</f>
        <v/>
      </c>
      <c r="C113" s="16" t="str">
        <f t="shared" si="13"/>
        <v/>
      </c>
      <c r="D113" s="16" t="str">
        <f>IF(B113="","",B113/MAX(B$5:B113)-1)</f>
        <v/>
      </c>
      <c r="E113" s="13" t="str">
        <f>IF(OR('实盘净值数据(iFinD公式)'!$A113="",'实盘净值数据(iFinD公式)'!$B113=""),"",分期持仓明细!$AO$18*SUMPRODUCT(分期持仓明细!$B$18:$Y$18,'实盘净值数据(iFinD公式)'!$B113:$Y113/'实盘净值数据(iFinD公式)'!$B$20:$Y$20)*(1-实盘持仓配置!$AM$5)^(('实盘净值数据(iFinD公式)'!$A113-'实盘净值数据(iFinD公式)'!$A$5)/365))</f>
        <v/>
      </c>
      <c r="F113" s="16" t="str">
        <f t="shared" si="14"/>
        <v/>
      </c>
      <c r="G113" s="16" t="str">
        <f>IF(E113="","",E113/MAX(E$5:E113)-1)</f>
        <v/>
      </c>
      <c r="H113" s="13" t="str">
        <f>IF(OR('实盘净值数据(iFinD公式)'!$A113="",'实盘净值数据(iFinD公式)'!$B113=""),"",分期持仓明细!$AO$19*SUMPRODUCT(分期持仓明细!$B$19:$Y$19,'实盘净值数据(iFinD公式)'!$B113:$Y113/'实盘净值数据(iFinD公式)'!$B$20:$Y$20)*(1-实盘持仓配置!$AM$6)^(('实盘净值数据(iFinD公式)'!$A113-'实盘净值数据(iFinD公式)'!$A$7)/365))</f>
        <v/>
      </c>
      <c r="I113" s="16" t="str">
        <f t="shared" si="15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O$23*(SUMPRODUCT(分期持仓明细!$B$23:$Y$23,'实盘净值数据(iFinD公式)'!$B113:$Y113/'实盘净值数据(iFinD公式)'!$B$65:$Y$65)+SUMPRODUCT(分期持仓明细!$Z$23:$AA$23,'实盘净值数据(iFinD公式)'!$Z113:$AA113/'实盘净值数据(iFinD公式)'!$Z$65:$AA$65))*(1-实盘持仓配置!$AM$7)^(('实盘净值数据(iFinD公式)'!$A113-'实盘净值数据(iFinD公式)'!$A$8)/365))</f>
        <v/>
      </c>
      <c r="L113" s="16" t="str">
        <f t="shared" si="16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O$24*(SUMPRODUCT(分期持仓明细!$B$24:$Y$24,'实盘净值数据(iFinD公式)'!$B113:$Y113/'实盘净值数据(iFinD公式)'!$B$65:$Y$65)+SUMPRODUCT(分期持仓明细!$Z$24:$AA$24,'实盘净值数据(iFinD公式)'!$Z113:$AA113/'实盘净值数据(iFinD公式)'!$Z$65:$AA$65))*(1-实盘持仓配置!$AM$8)^(('实盘净值数据(iFinD公式)'!$A113-'实盘净值数据(iFinD公式)'!$A$5)/365))</f>
        <v/>
      </c>
      <c r="O113" s="16" t="str">
        <f t="shared" si="17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O$25*(SUMPRODUCT(分期持仓明细!$B$25:$Y$25,'实盘净值数据(iFinD公式)'!$B113:$Y113/'实盘净值数据(iFinD公式)'!$B$65:$Y$65)+SUMPRODUCT(分期持仓明细!$Z$25:$AA$25,'实盘净值数据(iFinD公式)'!$Z113:$AA113/'实盘净值数据(iFinD公式)'!$Z$65:$AA$65))*(1-实盘持仓配置!$AM$9)^(('实盘净值数据(iFinD公式)'!$A113-'实盘净值数据(iFinD公式)'!$A$8)/365))</f>
        <v/>
      </c>
      <c r="R113" s="16" t="str">
        <f t="shared" si="18"/>
        <v/>
      </c>
      <c r="S113" s="16" t="str">
        <f>IF(Q113="","",Q113/MAX(Q$5:Q113)-1)</f>
        <v/>
      </c>
      <c r="T113" s="13" t="str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Z$26:$AA$26,'实盘净值数据(iFinD公式)'!$Z113:$AA113/'实盘净值数据(iFinD公式)'!$Z$69:$AA$69)+SUMPRODUCT(分期持仓明细!$AB$26:$AL$26,'实盘净值数据(iFinD公式)'!$AB113:$AL113/'实盘净值数据(iFinD公式)'!$AB$69:$AL$69))*(1-实盘持仓配置!$AM$10)^(('实盘净值数据(iFinD公式)'!$A113-'实盘净值数据(iFinD公式)'!$A$69)/365))</f>
        <v/>
      </c>
      <c r="U113" s="16" t="str">
        <f t="shared" si="19"/>
        <v/>
      </c>
      <c r="V113" s="16" t="str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 t="str">
        <f>IF(OR('实盘净值数据(iFinD公式)'!$A114="",'实盘净值数据(iFinD公式)'!$B114=""),"",分期持仓明细!$AO$17*SUMPRODUCT(分期持仓明细!$B$17:$Y$17,'实盘净值数据(iFinD公式)'!$B114:$Y114/'实盘净值数据(iFinD公式)'!$B$20:$Y$20)*(1-实盘持仓配置!$AM$4)^(('实盘净值数据(iFinD公式)'!$A114-'实盘净值数据(iFinD公式)'!$A$6)/365))</f>
        <v/>
      </c>
      <c r="C114" s="16" t="str">
        <f t="shared" si="13"/>
        <v/>
      </c>
      <c r="D114" s="16" t="str">
        <f>IF(B114="","",B114/MAX(B$5:B114)-1)</f>
        <v/>
      </c>
      <c r="E114" s="13" t="str">
        <f>IF(OR('实盘净值数据(iFinD公式)'!$A114="",'实盘净值数据(iFinD公式)'!$B114=""),"",分期持仓明细!$AO$18*SUMPRODUCT(分期持仓明细!$B$18:$Y$18,'实盘净值数据(iFinD公式)'!$B114:$Y114/'实盘净值数据(iFinD公式)'!$B$20:$Y$20)*(1-实盘持仓配置!$AM$5)^(('实盘净值数据(iFinD公式)'!$A114-'实盘净值数据(iFinD公式)'!$A$5)/365))</f>
        <v/>
      </c>
      <c r="F114" s="16" t="str">
        <f t="shared" si="14"/>
        <v/>
      </c>
      <c r="G114" s="16" t="str">
        <f>IF(E114="","",E114/MAX(E$5:E114)-1)</f>
        <v/>
      </c>
      <c r="H114" s="13" t="str">
        <f>IF(OR('实盘净值数据(iFinD公式)'!$A114="",'实盘净值数据(iFinD公式)'!$B114=""),"",分期持仓明细!$AO$19*SUMPRODUCT(分期持仓明细!$B$19:$Y$19,'实盘净值数据(iFinD公式)'!$B114:$Y114/'实盘净值数据(iFinD公式)'!$B$20:$Y$20)*(1-实盘持仓配置!$AM$6)^(('实盘净值数据(iFinD公式)'!$A114-'实盘净值数据(iFinD公式)'!$A$7)/365))</f>
        <v/>
      </c>
      <c r="I114" s="16" t="str">
        <f t="shared" si="15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O$23*(SUMPRODUCT(分期持仓明细!$B$23:$Y$23,'实盘净值数据(iFinD公式)'!$B114:$Y114/'实盘净值数据(iFinD公式)'!$B$65:$Y$65)+SUMPRODUCT(分期持仓明细!$Z$23:$AA$23,'实盘净值数据(iFinD公式)'!$Z114:$AA114/'实盘净值数据(iFinD公式)'!$Z$65:$AA$65))*(1-实盘持仓配置!$AM$7)^(('实盘净值数据(iFinD公式)'!$A114-'实盘净值数据(iFinD公式)'!$A$8)/365))</f>
        <v/>
      </c>
      <c r="L114" s="16" t="str">
        <f t="shared" si="16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O$24*(SUMPRODUCT(分期持仓明细!$B$24:$Y$24,'实盘净值数据(iFinD公式)'!$B114:$Y114/'实盘净值数据(iFinD公式)'!$B$65:$Y$65)+SUMPRODUCT(分期持仓明细!$Z$24:$AA$24,'实盘净值数据(iFinD公式)'!$Z114:$AA114/'实盘净值数据(iFinD公式)'!$Z$65:$AA$65))*(1-实盘持仓配置!$AM$8)^(('实盘净值数据(iFinD公式)'!$A114-'实盘净值数据(iFinD公式)'!$A$5)/365))</f>
        <v/>
      </c>
      <c r="O114" s="16" t="str">
        <f t="shared" si="17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O$25*(SUMPRODUCT(分期持仓明细!$B$25:$Y$25,'实盘净值数据(iFinD公式)'!$B114:$Y114/'实盘净值数据(iFinD公式)'!$B$65:$Y$65)+SUMPRODUCT(分期持仓明细!$Z$25:$AA$25,'实盘净值数据(iFinD公式)'!$Z114:$AA114/'实盘净值数据(iFinD公式)'!$Z$65:$AA$65))*(1-实盘持仓配置!$AM$9)^(('实盘净值数据(iFinD公式)'!$A114-'实盘净值数据(iFinD公式)'!$A$8)/365))</f>
        <v/>
      </c>
      <c r="R114" s="16" t="str">
        <f t="shared" si="18"/>
        <v/>
      </c>
      <c r="S114" s="16" t="str">
        <f>IF(Q114="","",Q114/MAX(Q$5:Q114)-1)</f>
        <v/>
      </c>
      <c r="T114" s="13" t="str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Z$26:$AA$26,'实盘净值数据(iFinD公式)'!$Z114:$AA114/'实盘净值数据(iFinD公式)'!$Z$69:$AA$69)+SUMPRODUCT(分期持仓明细!$AB$26:$AL$26,'实盘净值数据(iFinD公式)'!$AB114:$AL114/'实盘净值数据(iFinD公式)'!$AB$69:$AL$69))*(1-实盘持仓配置!$AM$10)^(('实盘净值数据(iFinD公式)'!$A114-'实盘净值数据(iFinD公式)'!$A$69)/365))</f>
        <v/>
      </c>
      <c r="U114" s="16" t="str">
        <f t="shared" si="19"/>
        <v/>
      </c>
      <c r="V114" s="16" t="str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 t="str">
        <f>IF(OR('实盘净值数据(iFinD公式)'!$A115="",'实盘净值数据(iFinD公式)'!$B115=""),"",分期持仓明细!$AO$17*SUMPRODUCT(分期持仓明细!$B$17:$Y$17,'实盘净值数据(iFinD公式)'!$B115:$Y115/'实盘净值数据(iFinD公式)'!$B$20:$Y$20)*(1-实盘持仓配置!$AM$4)^(('实盘净值数据(iFinD公式)'!$A115-'实盘净值数据(iFinD公式)'!$A$6)/365))</f>
        <v/>
      </c>
      <c r="C115" s="16" t="str">
        <f t="shared" si="13"/>
        <v/>
      </c>
      <c r="D115" s="16" t="str">
        <f>IF(B115="","",B115/MAX(B$5:B115)-1)</f>
        <v/>
      </c>
      <c r="E115" s="13" t="str">
        <f>IF(OR('实盘净值数据(iFinD公式)'!$A115="",'实盘净值数据(iFinD公式)'!$B115=""),"",分期持仓明细!$AO$18*SUMPRODUCT(分期持仓明细!$B$18:$Y$18,'实盘净值数据(iFinD公式)'!$B115:$Y115/'实盘净值数据(iFinD公式)'!$B$20:$Y$20)*(1-实盘持仓配置!$AM$5)^(('实盘净值数据(iFinD公式)'!$A115-'实盘净值数据(iFinD公式)'!$A$5)/365))</f>
        <v/>
      </c>
      <c r="F115" s="16" t="str">
        <f t="shared" si="14"/>
        <v/>
      </c>
      <c r="G115" s="16" t="str">
        <f>IF(E115="","",E115/MAX(E$5:E115)-1)</f>
        <v/>
      </c>
      <c r="H115" s="13" t="str">
        <f>IF(OR('实盘净值数据(iFinD公式)'!$A115="",'实盘净值数据(iFinD公式)'!$B115=""),"",分期持仓明细!$AO$19*SUMPRODUCT(分期持仓明细!$B$19:$Y$19,'实盘净值数据(iFinD公式)'!$B115:$Y115/'实盘净值数据(iFinD公式)'!$B$20:$Y$20)*(1-实盘持仓配置!$AM$6)^(('实盘净值数据(iFinD公式)'!$A115-'实盘净值数据(iFinD公式)'!$A$7)/365))</f>
        <v/>
      </c>
      <c r="I115" s="16" t="str">
        <f t="shared" si="15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O$23*(SUMPRODUCT(分期持仓明细!$B$23:$Y$23,'实盘净值数据(iFinD公式)'!$B115:$Y115/'实盘净值数据(iFinD公式)'!$B$65:$Y$65)+SUMPRODUCT(分期持仓明细!$Z$23:$AA$23,'实盘净值数据(iFinD公式)'!$Z115:$AA115/'实盘净值数据(iFinD公式)'!$Z$65:$AA$65))*(1-实盘持仓配置!$AM$7)^(('实盘净值数据(iFinD公式)'!$A115-'实盘净值数据(iFinD公式)'!$A$8)/365))</f>
        <v/>
      </c>
      <c r="L115" s="16" t="str">
        <f t="shared" si="16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O$24*(SUMPRODUCT(分期持仓明细!$B$24:$Y$24,'实盘净值数据(iFinD公式)'!$B115:$Y115/'实盘净值数据(iFinD公式)'!$B$65:$Y$65)+SUMPRODUCT(分期持仓明细!$Z$24:$AA$24,'实盘净值数据(iFinD公式)'!$Z115:$AA115/'实盘净值数据(iFinD公式)'!$Z$65:$AA$65))*(1-实盘持仓配置!$AM$8)^(('实盘净值数据(iFinD公式)'!$A115-'实盘净值数据(iFinD公式)'!$A$5)/365))</f>
        <v/>
      </c>
      <c r="O115" s="16" t="str">
        <f t="shared" si="17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O$25*(SUMPRODUCT(分期持仓明细!$B$25:$Y$25,'实盘净值数据(iFinD公式)'!$B115:$Y115/'实盘净值数据(iFinD公式)'!$B$65:$Y$65)+SUMPRODUCT(分期持仓明细!$Z$25:$AA$25,'实盘净值数据(iFinD公式)'!$Z115:$AA115/'实盘净值数据(iFinD公式)'!$Z$65:$AA$65))*(1-实盘持仓配置!$AM$9)^(('实盘净值数据(iFinD公式)'!$A115-'实盘净值数据(iFinD公式)'!$A$8)/365))</f>
        <v/>
      </c>
      <c r="R115" s="16" t="str">
        <f t="shared" si="18"/>
        <v/>
      </c>
      <c r="S115" s="16" t="str">
        <f>IF(Q115="","",Q115/MAX(Q$5:Q115)-1)</f>
        <v/>
      </c>
      <c r="T115" s="13" t="str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Z$26:$AA$26,'实盘净值数据(iFinD公式)'!$Z115:$AA115/'实盘净值数据(iFinD公式)'!$Z$69:$AA$69)+SUMPRODUCT(分期持仓明细!$AB$26:$AL$26,'实盘净值数据(iFinD公式)'!$AB115:$AL115/'实盘净值数据(iFinD公式)'!$AB$69:$AL$69))*(1-实盘持仓配置!$AM$10)^(('实盘净值数据(iFinD公式)'!$A115-'实盘净值数据(iFinD公式)'!$A$69)/365))</f>
        <v/>
      </c>
      <c r="U115" s="16" t="str">
        <f t="shared" si="19"/>
        <v/>
      </c>
      <c r="V115" s="16" t="str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 t="str">
        <f>IF(OR('实盘净值数据(iFinD公式)'!$A116="",'实盘净值数据(iFinD公式)'!$B116=""),"",分期持仓明细!$AO$17*SUMPRODUCT(分期持仓明细!$B$17:$Y$17,'实盘净值数据(iFinD公式)'!$B116:$Y116/'实盘净值数据(iFinD公式)'!$B$20:$Y$20)*(1-实盘持仓配置!$AM$4)^(('实盘净值数据(iFinD公式)'!$A116-'实盘净值数据(iFinD公式)'!$A$6)/365))</f>
        <v/>
      </c>
      <c r="C116" s="16" t="str">
        <f t="shared" si="13"/>
        <v/>
      </c>
      <c r="D116" s="16" t="str">
        <f>IF(B116="","",B116/MAX(B$5:B116)-1)</f>
        <v/>
      </c>
      <c r="E116" s="13" t="str">
        <f>IF(OR('实盘净值数据(iFinD公式)'!$A116="",'实盘净值数据(iFinD公式)'!$B116=""),"",分期持仓明细!$AO$18*SUMPRODUCT(分期持仓明细!$B$18:$Y$18,'实盘净值数据(iFinD公式)'!$B116:$Y116/'实盘净值数据(iFinD公式)'!$B$20:$Y$20)*(1-实盘持仓配置!$AM$5)^(('实盘净值数据(iFinD公式)'!$A116-'实盘净值数据(iFinD公式)'!$A$5)/365))</f>
        <v/>
      </c>
      <c r="F116" s="16" t="str">
        <f t="shared" si="14"/>
        <v/>
      </c>
      <c r="G116" s="16" t="str">
        <f>IF(E116="","",E116/MAX(E$5:E116)-1)</f>
        <v/>
      </c>
      <c r="H116" s="13" t="str">
        <f>IF(OR('实盘净值数据(iFinD公式)'!$A116="",'实盘净值数据(iFinD公式)'!$B116=""),"",分期持仓明细!$AO$19*SUMPRODUCT(分期持仓明细!$B$19:$Y$19,'实盘净值数据(iFinD公式)'!$B116:$Y116/'实盘净值数据(iFinD公式)'!$B$20:$Y$20)*(1-实盘持仓配置!$AM$6)^(('实盘净值数据(iFinD公式)'!$A116-'实盘净值数据(iFinD公式)'!$A$7)/365))</f>
        <v/>
      </c>
      <c r="I116" s="16" t="str">
        <f t="shared" si="15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O$23*(SUMPRODUCT(分期持仓明细!$B$23:$Y$23,'实盘净值数据(iFinD公式)'!$B116:$Y116/'实盘净值数据(iFinD公式)'!$B$65:$Y$65)+SUMPRODUCT(分期持仓明细!$Z$23:$AA$23,'实盘净值数据(iFinD公式)'!$Z116:$AA116/'实盘净值数据(iFinD公式)'!$Z$65:$AA$65))*(1-实盘持仓配置!$AM$7)^(('实盘净值数据(iFinD公式)'!$A116-'实盘净值数据(iFinD公式)'!$A$8)/365))</f>
        <v/>
      </c>
      <c r="L116" s="16" t="str">
        <f t="shared" si="16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O$24*(SUMPRODUCT(分期持仓明细!$B$24:$Y$24,'实盘净值数据(iFinD公式)'!$B116:$Y116/'实盘净值数据(iFinD公式)'!$B$65:$Y$65)+SUMPRODUCT(分期持仓明细!$Z$24:$AA$24,'实盘净值数据(iFinD公式)'!$Z116:$AA116/'实盘净值数据(iFinD公式)'!$Z$65:$AA$65))*(1-实盘持仓配置!$AM$8)^(('实盘净值数据(iFinD公式)'!$A116-'实盘净值数据(iFinD公式)'!$A$5)/365))</f>
        <v/>
      </c>
      <c r="O116" s="16" t="str">
        <f t="shared" si="17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O$25*(SUMPRODUCT(分期持仓明细!$B$25:$Y$25,'实盘净值数据(iFinD公式)'!$B116:$Y116/'实盘净值数据(iFinD公式)'!$B$65:$Y$65)+SUMPRODUCT(分期持仓明细!$Z$25:$AA$25,'实盘净值数据(iFinD公式)'!$Z116:$AA116/'实盘净值数据(iFinD公式)'!$Z$65:$AA$65))*(1-实盘持仓配置!$AM$9)^(('实盘净值数据(iFinD公式)'!$A116-'实盘净值数据(iFinD公式)'!$A$8)/365))</f>
        <v/>
      </c>
      <c r="R116" s="16" t="str">
        <f t="shared" si="18"/>
        <v/>
      </c>
      <c r="S116" s="16" t="str">
        <f>IF(Q116="","",Q116/MAX(Q$5:Q116)-1)</f>
        <v/>
      </c>
      <c r="T116" s="13" t="str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Z$26:$AA$26,'实盘净值数据(iFinD公式)'!$Z116:$AA116/'实盘净值数据(iFinD公式)'!$Z$69:$AA$69)+SUMPRODUCT(分期持仓明细!$AB$26:$AL$26,'实盘净值数据(iFinD公式)'!$AB116:$AL116/'实盘净值数据(iFinD公式)'!$AB$69:$AL$69))*(1-实盘持仓配置!$AM$10)^(('实盘净值数据(iFinD公式)'!$A116-'实盘净值数据(iFinD公式)'!$A$69)/365))</f>
        <v/>
      </c>
      <c r="U116" s="16" t="str">
        <f t="shared" si="19"/>
        <v/>
      </c>
      <c r="V116" s="16" t="str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 t="str">
        <f>IF(OR('实盘净值数据(iFinD公式)'!$A117="",'实盘净值数据(iFinD公式)'!$B117=""),"",分期持仓明细!$AO$17*SUMPRODUCT(分期持仓明细!$B$17:$Y$17,'实盘净值数据(iFinD公式)'!$B117:$Y117/'实盘净值数据(iFinD公式)'!$B$20:$Y$20)*(1-实盘持仓配置!$AM$4)^(('实盘净值数据(iFinD公式)'!$A117-'实盘净值数据(iFinD公式)'!$A$6)/365))</f>
        <v/>
      </c>
      <c r="C117" s="16" t="str">
        <f t="shared" si="13"/>
        <v/>
      </c>
      <c r="D117" s="16" t="str">
        <f>IF(B117="","",B117/MAX(B$5:B117)-1)</f>
        <v/>
      </c>
      <c r="E117" s="13" t="str">
        <f>IF(OR('实盘净值数据(iFinD公式)'!$A117="",'实盘净值数据(iFinD公式)'!$B117=""),"",分期持仓明细!$AO$18*SUMPRODUCT(分期持仓明细!$B$18:$Y$18,'实盘净值数据(iFinD公式)'!$B117:$Y117/'实盘净值数据(iFinD公式)'!$B$20:$Y$20)*(1-实盘持仓配置!$AM$5)^(('实盘净值数据(iFinD公式)'!$A117-'实盘净值数据(iFinD公式)'!$A$5)/365))</f>
        <v/>
      </c>
      <c r="F117" s="16" t="str">
        <f t="shared" si="14"/>
        <v/>
      </c>
      <c r="G117" s="16" t="str">
        <f>IF(E117="","",E117/MAX(E$5:E117)-1)</f>
        <v/>
      </c>
      <c r="H117" s="13" t="str">
        <f>IF(OR('实盘净值数据(iFinD公式)'!$A117="",'实盘净值数据(iFinD公式)'!$B117=""),"",分期持仓明细!$AO$19*SUMPRODUCT(分期持仓明细!$B$19:$Y$19,'实盘净值数据(iFinD公式)'!$B117:$Y117/'实盘净值数据(iFinD公式)'!$B$20:$Y$20)*(1-实盘持仓配置!$AM$6)^(('实盘净值数据(iFinD公式)'!$A117-'实盘净值数据(iFinD公式)'!$A$7)/365))</f>
        <v/>
      </c>
      <c r="I117" s="16" t="str">
        <f t="shared" si="15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O$23*(SUMPRODUCT(分期持仓明细!$B$23:$Y$23,'实盘净值数据(iFinD公式)'!$B117:$Y117/'实盘净值数据(iFinD公式)'!$B$65:$Y$65)+SUMPRODUCT(分期持仓明细!$Z$23:$AA$23,'实盘净值数据(iFinD公式)'!$Z117:$AA117/'实盘净值数据(iFinD公式)'!$Z$65:$AA$65))*(1-实盘持仓配置!$AM$7)^(('实盘净值数据(iFinD公式)'!$A117-'实盘净值数据(iFinD公式)'!$A$8)/365))</f>
        <v/>
      </c>
      <c r="L117" s="16" t="str">
        <f t="shared" si="16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O$24*(SUMPRODUCT(分期持仓明细!$B$24:$Y$24,'实盘净值数据(iFinD公式)'!$B117:$Y117/'实盘净值数据(iFinD公式)'!$B$65:$Y$65)+SUMPRODUCT(分期持仓明细!$Z$24:$AA$24,'实盘净值数据(iFinD公式)'!$Z117:$AA117/'实盘净值数据(iFinD公式)'!$Z$65:$AA$65))*(1-实盘持仓配置!$AM$8)^(('实盘净值数据(iFinD公式)'!$A117-'实盘净值数据(iFinD公式)'!$A$5)/365))</f>
        <v/>
      </c>
      <c r="O117" s="16" t="str">
        <f t="shared" si="17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O$25*(SUMPRODUCT(分期持仓明细!$B$25:$Y$25,'实盘净值数据(iFinD公式)'!$B117:$Y117/'实盘净值数据(iFinD公式)'!$B$65:$Y$65)+SUMPRODUCT(分期持仓明细!$Z$25:$AA$25,'实盘净值数据(iFinD公式)'!$Z117:$AA117/'实盘净值数据(iFinD公式)'!$Z$65:$AA$65))*(1-实盘持仓配置!$AM$9)^(('实盘净值数据(iFinD公式)'!$A117-'实盘净值数据(iFinD公式)'!$A$8)/365))</f>
        <v/>
      </c>
      <c r="R117" s="16" t="str">
        <f t="shared" si="18"/>
        <v/>
      </c>
      <c r="S117" s="16" t="str">
        <f>IF(Q117="","",Q117/MAX(Q$5:Q117)-1)</f>
        <v/>
      </c>
      <c r="T117" s="13" t="str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Z$26:$AA$26,'实盘净值数据(iFinD公式)'!$Z117:$AA117/'实盘净值数据(iFinD公式)'!$Z$69:$AA$69)+SUMPRODUCT(分期持仓明细!$AB$26:$AL$26,'实盘净值数据(iFinD公式)'!$AB117:$AL117/'实盘净值数据(iFinD公式)'!$AB$69:$AL$69))*(1-实盘持仓配置!$AM$10)^(('实盘净值数据(iFinD公式)'!$A117-'实盘净值数据(iFinD公式)'!$A$69)/365))</f>
        <v/>
      </c>
      <c r="U117" s="16" t="str">
        <f t="shared" si="19"/>
        <v/>
      </c>
      <c r="V117" s="16" t="str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 t="str">
        <f>IF(OR('实盘净值数据(iFinD公式)'!$A118="",'实盘净值数据(iFinD公式)'!$B118=""),"",分期持仓明细!$AO$17*SUMPRODUCT(分期持仓明细!$B$17:$Y$17,'实盘净值数据(iFinD公式)'!$B118:$Y118/'实盘净值数据(iFinD公式)'!$B$20:$Y$20)*(1-实盘持仓配置!$AM$4)^(('实盘净值数据(iFinD公式)'!$A118-'实盘净值数据(iFinD公式)'!$A$6)/365))</f>
        <v/>
      </c>
      <c r="C118" s="16" t="str">
        <f t="shared" si="13"/>
        <v/>
      </c>
      <c r="D118" s="16" t="str">
        <f>IF(B118="","",B118/MAX(B$5:B118)-1)</f>
        <v/>
      </c>
      <c r="E118" s="13" t="str">
        <f>IF(OR('实盘净值数据(iFinD公式)'!$A118="",'实盘净值数据(iFinD公式)'!$B118=""),"",分期持仓明细!$AO$18*SUMPRODUCT(分期持仓明细!$B$18:$Y$18,'实盘净值数据(iFinD公式)'!$B118:$Y118/'实盘净值数据(iFinD公式)'!$B$20:$Y$20)*(1-实盘持仓配置!$AM$5)^(('实盘净值数据(iFinD公式)'!$A118-'实盘净值数据(iFinD公式)'!$A$5)/365))</f>
        <v/>
      </c>
      <c r="F118" s="16" t="str">
        <f t="shared" si="14"/>
        <v/>
      </c>
      <c r="G118" s="16" t="str">
        <f>IF(E118="","",E118/MAX(E$5:E118)-1)</f>
        <v/>
      </c>
      <c r="H118" s="13" t="str">
        <f>IF(OR('实盘净值数据(iFinD公式)'!$A118="",'实盘净值数据(iFinD公式)'!$B118=""),"",分期持仓明细!$AO$19*SUMPRODUCT(分期持仓明细!$B$19:$Y$19,'实盘净值数据(iFinD公式)'!$B118:$Y118/'实盘净值数据(iFinD公式)'!$B$20:$Y$20)*(1-实盘持仓配置!$AM$6)^(('实盘净值数据(iFinD公式)'!$A118-'实盘净值数据(iFinD公式)'!$A$7)/365))</f>
        <v/>
      </c>
      <c r="I118" s="16" t="str">
        <f t="shared" si="15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O$23*(SUMPRODUCT(分期持仓明细!$B$23:$Y$23,'实盘净值数据(iFinD公式)'!$B118:$Y118/'实盘净值数据(iFinD公式)'!$B$65:$Y$65)+SUMPRODUCT(分期持仓明细!$Z$23:$AA$23,'实盘净值数据(iFinD公式)'!$Z118:$AA118/'实盘净值数据(iFinD公式)'!$Z$65:$AA$65))*(1-实盘持仓配置!$AM$7)^(('实盘净值数据(iFinD公式)'!$A118-'实盘净值数据(iFinD公式)'!$A$8)/365))</f>
        <v/>
      </c>
      <c r="L118" s="16" t="str">
        <f t="shared" si="16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O$24*(SUMPRODUCT(分期持仓明细!$B$24:$Y$24,'实盘净值数据(iFinD公式)'!$B118:$Y118/'实盘净值数据(iFinD公式)'!$B$65:$Y$65)+SUMPRODUCT(分期持仓明细!$Z$24:$AA$24,'实盘净值数据(iFinD公式)'!$Z118:$AA118/'实盘净值数据(iFinD公式)'!$Z$65:$AA$65))*(1-实盘持仓配置!$AM$8)^(('实盘净值数据(iFinD公式)'!$A118-'实盘净值数据(iFinD公式)'!$A$5)/365))</f>
        <v/>
      </c>
      <c r="O118" s="16" t="str">
        <f t="shared" si="17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O$25*(SUMPRODUCT(分期持仓明细!$B$25:$Y$25,'实盘净值数据(iFinD公式)'!$B118:$Y118/'实盘净值数据(iFinD公式)'!$B$65:$Y$65)+SUMPRODUCT(分期持仓明细!$Z$25:$AA$25,'实盘净值数据(iFinD公式)'!$Z118:$AA118/'实盘净值数据(iFinD公式)'!$Z$65:$AA$65))*(1-实盘持仓配置!$AM$9)^(('实盘净值数据(iFinD公式)'!$A118-'实盘净值数据(iFinD公式)'!$A$8)/365))</f>
        <v/>
      </c>
      <c r="R118" s="16" t="str">
        <f t="shared" si="18"/>
        <v/>
      </c>
      <c r="S118" s="16" t="str">
        <f>IF(Q118="","",Q118/MAX(Q$5:Q118)-1)</f>
        <v/>
      </c>
      <c r="T118" s="13" t="str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Z$26:$AA$26,'实盘净值数据(iFinD公式)'!$Z118:$AA118/'实盘净值数据(iFinD公式)'!$Z$69:$AA$69)+SUMPRODUCT(分期持仓明细!$AB$26:$AL$26,'实盘净值数据(iFinD公式)'!$AB118:$AL118/'实盘净值数据(iFinD公式)'!$AB$69:$AL$69))*(1-实盘持仓配置!$AM$10)^(('实盘净值数据(iFinD公式)'!$A118-'实盘净值数据(iFinD公式)'!$A$69)/365))</f>
        <v/>
      </c>
      <c r="U118" s="16" t="str">
        <f t="shared" si="19"/>
        <v/>
      </c>
      <c r="V118" s="16" t="str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 t="str">
        <f>IF(OR('实盘净值数据(iFinD公式)'!$A119="",'实盘净值数据(iFinD公式)'!$B119=""),"",分期持仓明细!$AO$17*SUMPRODUCT(分期持仓明细!$B$17:$Y$17,'实盘净值数据(iFinD公式)'!$B119:$Y119/'实盘净值数据(iFinD公式)'!$B$20:$Y$20)*(1-实盘持仓配置!$AM$4)^(('实盘净值数据(iFinD公式)'!$A119-'实盘净值数据(iFinD公式)'!$A$6)/365))</f>
        <v/>
      </c>
      <c r="C119" s="16" t="str">
        <f t="shared" si="13"/>
        <v/>
      </c>
      <c r="D119" s="16" t="str">
        <f>IF(B119="","",B119/MAX(B$5:B119)-1)</f>
        <v/>
      </c>
      <c r="E119" s="13" t="str">
        <f>IF(OR('实盘净值数据(iFinD公式)'!$A119="",'实盘净值数据(iFinD公式)'!$B119=""),"",分期持仓明细!$AO$18*SUMPRODUCT(分期持仓明细!$B$18:$Y$18,'实盘净值数据(iFinD公式)'!$B119:$Y119/'实盘净值数据(iFinD公式)'!$B$20:$Y$20)*(1-实盘持仓配置!$AM$5)^(('实盘净值数据(iFinD公式)'!$A119-'实盘净值数据(iFinD公式)'!$A$5)/365))</f>
        <v/>
      </c>
      <c r="F119" s="16" t="str">
        <f t="shared" si="14"/>
        <v/>
      </c>
      <c r="G119" s="16" t="str">
        <f>IF(E119="","",E119/MAX(E$5:E119)-1)</f>
        <v/>
      </c>
      <c r="H119" s="13" t="str">
        <f>IF(OR('实盘净值数据(iFinD公式)'!$A119="",'实盘净值数据(iFinD公式)'!$B119=""),"",分期持仓明细!$AO$19*SUMPRODUCT(分期持仓明细!$B$19:$Y$19,'实盘净值数据(iFinD公式)'!$B119:$Y119/'实盘净值数据(iFinD公式)'!$B$20:$Y$20)*(1-实盘持仓配置!$AM$6)^(('实盘净值数据(iFinD公式)'!$A119-'实盘净值数据(iFinD公式)'!$A$7)/365))</f>
        <v/>
      </c>
      <c r="I119" s="16" t="str">
        <f t="shared" si="15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O$23*(SUMPRODUCT(分期持仓明细!$B$23:$Y$23,'实盘净值数据(iFinD公式)'!$B119:$Y119/'实盘净值数据(iFinD公式)'!$B$65:$Y$65)+SUMPRODUCT(分期持仓明细!$Z$23:$AA$23,'实盘净值数据(iFinD公式)'!$Z119:$AA119/'实盘净值数据(iFinD公式)'!$Z$65:$AA$65))*(1-实盘持仓配置!$AM$7)^(('实盘净值数据(iFinD公式)'!$A119-'实盘净值数据(iFinD公式)'!$A$8)/365))</f>
        <v/>
      </c>
      <c r="L119" s="16" t="str">
        <f t="shared" si="16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O$24*(SUMPRODUCT(分期持仓明细!$B$24:$Y$24,'实盘净值数据(iFinD公式)'!$B119:$Y119/'实盘净值数据(iFinD公式)'!$B$65:$Y$65)+SUMPRODUCT(分期持仓明细!$Z$24:$AA$24,'实盘净值数据(iFinD公式)'!$Z119:$AA119/'实盘净值数据(iFinD公式)'!$Z$65:$AA$65))*(1-实盘持仓配置!$AM$8)^(('实盘净值数据(iFinD公式)'!$A119-'实盘净值数据(iFinD公式)'!$A$5)/365))</f>
        <v/>
      </c>
      <c r="O119" s="16" t="str">
        <f t="shared" si="17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O$25*(SUMPRODUCT(分期持仓明细!$B$25:$Y$25,'实盘净值数据(iFinD公式)'!$B119:$Y119/'实盘净值数据(iFinD公式)'!$B$65:$Y$65)+SUMPRODUCT(分期持仓明细!$Z$25:$AA$25,'实盘净值数据(iFinD公式)'!$Z119:$AA119/'实盘净值数据(iFinD公式)'!$Z$65:$AA$65))*(1-实盘持仓配置!$AM$9)^(('实盘净值数据(iFinD公式)'!$A119-'实盘净值数据(iFinD公式)'!$A$8)/365))</f>
        <v/>
      </c>
      <c r="R119" s="16" t="str">
        <f t="shared" si="18"/>
        <v/>
      </c>
      <c r="S119" s="16" t="str">
        <f>IF(Q119="","",Q119/MAX(Q$5:Q119)-1)</f>
        <v/>
      </c>
      <c r="T119" s="13" t="str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Z$26:$AA$26,'实盘净值数据(iFinD公式)'!$Z119:$AA119/'实盘净值数据(iFinD公式)'!$Z$69:$AA$69)+SUMPRODUCT(分期持仓明细!$AB$26:$AL$26,'实盘净值数据(iFinD公式)'!$AB119:$AL119/'实盘净值数据(iFinD公式)'!$AB$69:$AL$69))*(1-实盘持仓配置!$AM$10)^(('实盘净值数据(iFinD公式)'!$A119-'实盘净值数据(iFinD公式)'!$A$69)/365))</f>
        <v/>
      </c>
      <c r="U119" s="16" t="str">
        <f t="shared" si="19"/>
        <v/>
      </c>
      <c r="V119" s="16" t="str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 t="str">
        <f>IF(OR('实盘净值数据(iFinD公式)'!$A120="",'实盘净值数据(iFinD公式)'!$B120=""),"",分期持仓明细!$AO$17*SUMPRODUCT(分期持仓明细!$B$17:$Y$17,'实盘净值数据(iFinD公式)'!$B120:$Y120/'实盘净值数据(iFinD公式)'!$B$20:$Y$20)*(1-实盘持仓配置!$AM$4)^(('实盘净值数据(iFinD公式)'!$A120-'实盘净值数据(iFinD公式)'!$A$6)/365))</f>
        <v/>
      </c>
      <c r="C120" s="16" t="str">
        <f t="shared" si="13"/>
        <v/>
      </c>
      <c r="D120" s="16" t="str">
        <f>IF(B120="","",B120/MAX(B$5:B120)-1)</f>
        <v/>
      </c>
      <c r="E120" s="13" t="str">
        <f>IF(OR('实盘净值数据(iFinD公式)'!$A120="",'实盘净值数据(iFinD公式)'!$B120=""),"",分期持仓明细!$AO$18*SUMPRODUCT(分期持仓明细!$B$18:$Y$18,'实盘净值数据(iFinD公式)'!$B120:$Y120/'实盘净值数据(iFinD公式)'!$B$20:$Y$20)*(1-实盘持仓配置!$AM$5)^(('实盘净值数据(iFinD公式)'!$A120-'实盘净值数据(iFinD公式)'!$A$5)/365))</f>
        <v/>
      </c>
      <c r="F120" s="16" t="str">
        <f t="shared" si="14"/>
        <v/>
      </c>
      <c r="G120" s="16" t="str">
        <f>IF(E120="","",E120/MAX(E$5:E120)-1)</f>
        <v/>
      </c>
      <c r="H120" s="13" t="str">
        <f>IF(OR('实盘净值数据(iFinD公式)'!$A120="",'实盘净值数据(iFinD公式)'!$B120=""),"",分期持仓明细!$AO$19*SUMPRODUCT(分期持仓明细!$B$19:$Y$19,'实盘净值数据(iFinD公式)'!$B120:$Y120/'实盘净值数据(iFinD公式)'!$B$20:$Y$20)*(1-实盘持仓配置!$AM$6)^(('实盘净值数据(iFinD公式)'!$A120-'实盘净值数据(iFinD公式)'!$A$7)/365))</f>
        <v/>
      </c>
      <c r="I120" s="16" t="str">
        <f t="shared" si="15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O$23*(SUMPRODUCT(分期持仓明细!$B$23:$Y$23,'实盘净值数据(iFinD公式)'!$B120:$Y120/'实盘净值数据(iFinD公式)'!$B$65:$Y$65)+SUMPRODUCT(分期持仓明细!$Z$23:$AA$23,'实盘净值数据(iFinD公式)'!$Z120:$AA120/'实盘净值数据(iFinD公式)'!$Z$65:$AA$65))*(1-实盘持仓配置!$AM$7)^(('实盘净值数据(iFinD公式)'!$A120-'实盘净值数据(iFinD公式)'!$A$8)/365))</f>
        <v/>
      </c>
      <c r="L120" s="16" t="str">
        <f t="shared" si="16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O$24*(SUMPRODUCT(分期持仓明细!$B$24:$Y$24,'实盘净值数据(iFinD公式)'!$B120:$Y120/'实盘净值数据(iFinD公式)'!$B$65:$Y$65)+SUMPRODUCT(分期持仓明细!$Z$24:$AA$24,'实盘净值数据(iFinD公式)'!$Z120:$AA120/'实盘净值数据(iFinD公式)'!$Z$65:$AA$65))*(1-实盘持仓配置!$AM$8)^(('实盘净值数据(iFinD公式)'!$A120-'实盘净值数据(iFinD公式)'!$A$5)/365))</f>
        <v/>
      </c>
      <c r="O120" s="16" t="str">
        <f t="shared" si="17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O$25*(SUMPRODUCT(分期持仓明细!$B$25:$Y$25,'实盘净值数据(iFinD公式)'!$B120:$Y120/'实盘净值数据(iFinD公式)'!$B$65:$Y$65)+SUMPRODUCT(分期持仓明细!$Z$25:$AA$25,'实盘净值数据(iFinD公式)'!$Z120:$AA120/'实盘净值数据(iFinD公式)'!$Z$65:$AA$65))*(1-实盘持仓配置!$AM$9)^(('实盘净值数据(iFinD公式)'!$A120-'实盘净值数据(iFinD公式)'!$A$8)/365))</f>
        <v/>
      </c>
      <c r="R120" s="16" t="str">
        <f t="shared" si="18"/>
        <v/>
      </c>
      <c r="S120" s="16" t="str">
        <f>IF(Q120="","",Q120/MAX(Q$5:Q120)-1)</f>
        <v/>
      </c>
      <c r="T120" s="13" t="str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Z$26:$AA$26,'实盘净值数据(iFinD公式)'!$Z120:$AA120/'实盘净值数据(iFinD公式)'!$Z$69:$AA$69)+SUMPRODUCT(分期持仓明细!$AB$26:$AL$26,'实盘净值数据(iFinD公式)'!$AB120:$AL120/'实盘净值数据(iFinD公式)'!$AB$69:$AL$69))*(1-实盘持仓配置!$AM$10)^(('实盘净值数据(iFinD公式)'!$A120-'实盘净值数据(iFinD公式)'!$A$69)/365))</f>
        <v/>
      </c>
      <c r="U120" s="16" t="str">
        <f t="shared" si="19"/>
        <v/>
      </c>
      <c r="V120" s="16" t="str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 t="str">
        <f>IF(OR('实盘净值数据(iFinD公式)'!$A121="",'实盘净值数据(iFinD公式)'!$B121=""),"",分期持仓明细!$AO$17*SUMPRODUCT(分期持仓明细!$B$17:$Y$17,'实盘净值数据(iFinD公式)'!$B121:$Y121/'实盘净值数据(iFinD公式)'!$B$20:$Y$20)*(1-实盘持仓配置!$AM$4)^(('实盘净值数据(iFinD公式)'!$A121-'实盘净值数据(iFinD公式)'!$A$6)/365))</f>
        <v/>
      </c>
      <c r="C121" s="16" t="str">
        <f t="shared" si="13"/>
        <v/>
      </c>
      <c r="D121" s="16" t="str">
        <f>IF(B121="","",B121/MAX(B$5:B121)-1)</f>
        <v/>
      </c>
      <c r="E121" s="13" t="str">
        <f>IF(OR('实盘净值数据(iFinD公式)'!$A121="",'实盘净值数据(iFinD公式)'!$B121=""),"",分期持仓明细!$AO$18*SUMPRODUCT(分期持仓明细!$B$18:$Y$18,'实盘净值数据(iFinD公式)'!$B121:$Y121/'实盘净值数据(iFinD公式)'!$B$20:$Y$20)*(1-实盘持仓配置!$AM$5)^(('实盘净值数据(iFinD公式)'!$A121-'实盘净值数据(iFinD公式)'!$A$5)/365))</f>
        <v/>
      </c>
      <c r="F121" s="16" t="str">
        <f t="shared" si="14"/>
        <v/>
      </c>
      <c r="G121" s="16" t="str">
        <f>IF(E121="","",E121/MAX(E$5:E121)-1)</f>
        <v/>
      </c>
      <c r="H121" s="13" t="str">
        <f>IF(OR('实盘净值数据(iFinD公式)'!$A121="",'实盘净值数据(iFinD公式)'!$B121=""),"",分期持仓明细!$AO$19*SUMPRODUCT(分期持仓明细!$B$19:$Y$19,'实盘净值数据(iFinD公式)'!$B121:$Y121/'实盘净值数据(iFinD公式)'!$B$20:$Y$20)*(1-实盘持仓配置!$AM$6)^(('实盘净值数据(iFinD公式)'!$A121-'实盘净值数据(iFinD公式)'!$A$7)/365))</f>
        <v/>
      </c>
      <c r="I121" s="16" t="str">
        <f t="shared" si="15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O$23*(SUMPRODUCT(分期持仓明细!$B$23:$Y$23,'实盘净值数据(iFinD公式)'!$B121:$Y121/'实盘净值数据(iFinD公式)'!$B$65:$Y$65)+SUMPRODUCT(分期持仓明细!$Z$23:$AA$23,'实盘净值数据(iFinD公式)'!$Z121:$AA121/'实盘净值数据(iFinD公式)'!$Z$65:$AA$65))*(1-实盘持仓配置!$AM$7)^(('实盘净值数据(iFinD公式)'!$A121-'实盘净值数据(iFinD公式)'!$A$8)/365))</f>
        <v/>
      </c>
      <c r="L121" s="16" t="str">
        <f t="shared" si="16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O$24*(SUMPRODUCT(分期持仓明细!$B$24:$Y$24,'实盘净值数据(iFinD公式)'!$B121:$Y121/'实盘净值数据(iFinD公式)'!$B$65:$Y$65)+SUMPRODUCT(分期持仓明细!$Z$24:$AA$24,'实盘净值数据(iFinD公式)'!$Z121:$AA121/'实盘净值数据(iFinD公式)'!$Z$65:$AA$65))*(1-实盘持仓配置!$AM$8)^(('实盘净值数据(iFinD公式)'!$A121-'实盘净值数据(iFinD公式)'!$A$5)/365))</f>
        <v/>
      </c>
      <c r="O121" s="16" t="str">
        <f t="shared" si="17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O$25*(SUMPRODUCT(分期持仓明细!$B$25:$Y$25,'实盘净值数据(iFinD公式)'!$B121:$Y121/'实盘净值数据(iFinD公式)'!$B$65:$Y$65)+SUMPRODUCT(分期持仓明细!$Z$25:$AA$25,'实盘净值数据(iFinD公式)'!$Z121:$AA121/'实盘净值数据(iFinD公式)'!$Z$65:$AA$65))*(1-实盘持仓配置!$AM$9)^(('实盘净值数据(iFinD公式)'!$A121-'实盘净值数据(iFinD公式)'!$A$8)/365))</f>
        <v/>
      </c>
      <c r="R121" s="16" t="str">
        <f t="shared" si="18"/>
        <v/>
      </c>
      <c r="S121" s="16" t="str">
        <f>IF(Q121="","",Q121/MAX(Q$5:Q121)-1)</f>
        <v/>
      </c>
      <c r="T121" s="13" t="str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Z$26:$AA$26,'实盘净值数据(iFinD公式)'!$Z121:$AA121/'实盘净值数据(iFinD公式)'!$Z$69:$AA$69)+SUMPRODUCT(分期持仓明细!$AB$26:$AL$26,'实盘净值数据(iFinD公式)'!$AB121:$AL121/'实盘净值数据(iFinD公式)'!$AB$69:$AL$69))*(1-实盘持仓配置!$AM$10)^(('实盘净值数据(iFinD公式)'!$A121-'实盘净值数据(iFinD公式)'!$A$69)/365))</f>
        <v/>
      </c>
      <c r="U121" s="16" t="str">
        <f t="shared" si="19"/>
        <v/>
      </c>
      <c r="V121" s="16" t="str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 t="str">
        <f>IF(OR('实盘净值数据(iFinD公式)'!$A122="",'实盘净值数据(iFinD公式)'!$B122=""),"",分期持仓明细!$AO$17*SUMPRODUCT(分期持仓明细!$B$17:$Y$17,'实盘净值数据(iFinD公式)'!$B122:$Y122/'实盘净值数据(iFinD公式)'!$B$20:$Y$20)*(1-实盘持仓配置!$AM$4)^(('实盘净值数据(iFinD公式)'!$A122-'实盘净值数据(iFinD公式)'!$A$6)/365))</f>
        <v/>
      </c>
      <c r="C122" s="16" t="str">
        <f t="shared" si="13"/>
        <v/>
      </c>
      <c r="D122" s="16" t="str">
        <f>IF(B122="","",B122/MAX(B$5:B122)-1)</f>
        <v/>
      </c>
      <c r="E122" s="13" t="str">
        <f>IF(OR('实盘净值数据(iFinD公式)'!$A122="",'实盘净值数据(iFinD公式)'!$B122=""),"",分期持仓明细!$AO$18*SUMPRODUCT(分期持仓明细!$B$18:$Y$18,'实盘净值数据(iFinD公式)'!$B122:$Y122/'实盘净值数据(iFinD公式)'!$B$20:$Y$20)*(1-实盘持仓配置!$AM$5)^(('实盘净值数据(iFinD公式)'!$A122-'实盘净值数据(iFinD公式)'!$A$5)/365))</f>
        <v/>
      </c>
      <c r="F122" s="16" t="str">
        <f t="shared" si="14"/>
        <v/>
      </c>
      <c r="G122" s="16" t="str">
        <f>IF(E122="","",E122/MAX(E$5:E122)-1)</f>
        <v/>
      </c>
      <c r="H122" s="13" t="str">
        <f>IF(OR('实盘净值数据(iFinD公式)'!$A122="",'实盘净值数据(iFinD公式)'!$B122=""),"",分期持仓明细!$AO$19*SUMPRODUCT(分期持仓明细!$B$19:$Y$19,'实盘净值数据(iFinD公式)'!$B122:$Y122/'实盘净值数据(iFinD公式)'!$B$20:$Y$20)*(1-实盘持仓配置!$AM$6)^(('实盘净值数据(iFinD公式)'!$A122-'实盘净值数据(iFinD公式)'!$A$7)/365))</f>
        <v/>
      </c>
      <c r="I122" s="16" t="str">
        <f t="shared" si="15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O$23*(SUMPRODUCT(分期持仓明细!$B$23:$Y$23,'实盘净值数据(iFinD公式)'!$B122:$Y122/'实盘净值数据(iFinD公式)'!$B$65:$Y$65)+SUMPRODUCT(分期持仓明细!$Z$23:$AA$23,'实盘净值数据(iFinD公式)'!$Z122:$AA122/'实盘净值数据(iFinD公式)'!$Z$65:$AA$65))*(1-实盘持仓配置!$AM$7)^(('实盘净值数据(iFinD公式)'!$A122-'实盘净值数据(iFinD公式)'!$A$8)/365))</f>
        <v/>
      </c>
      <c r="L122" s="16" t="str">
        <f t="shared" si="16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O$24*(SUMPRODUCT(分期持仓明细!$B$24:$Y$24,'实盘净值数据(iFinD公式)'!$B122:$Y122/'实盘净值数据(iFinD公式)'!$B$65:$Y$65)+SUMPRODUCT(分期持仓明细!$Z$24:$AA$24,'实盘净值数据(iFinD公式)'!$Z122:$AA122/'实盘净值数据(iFinD公式)'!$Z$65:$AA$65))*(1-实盘持仓配置!$AM$8)^(('实盘净值数据(iFinD公式)'!$A122-'实盘净值数据(iFinD公式)'!$A$5)/365))</f>
        <v/>
      </c>
      <c r="O122" s="16" t="str">
        <f t="shared" si="17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O$25*(SUMPRODUCT(分期持仓明细!$B$25:$Y$25,'实盘净值数据(iFinD公式)'!$B122:$Y122/'实盘净值数据(iFinD公式)'!$B$65:$Y$65)+SUMPRODUCT(分期持仓明细!$Z$25:$AA$25,'实盘净值数据(iFinD公式)'!$Z122:$AA122/'实盘净值数据(iFinD公式)'!$Z$65:$AA$65))*(1-实盘持仓配置!$AM$9)^(('实盘净值数据(iFinD公式)'!$A122-'实盘净值数据(iFinD公式)'!$A$8)/365))</f>
        <v/>
      </c>
      <c r="R122" s="16" t="str">
        <f t="shared" si="18"/>
        <v/>
      </c>
      <c r="S122" s="16" t="str">
        <f>IF(Q122="","",Q122/MAX(Q$5:Q122)-1)</f>
        <v/>
      </c>
      <c r="T122" s="13" t="str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Z$26:$AA$26,'实盘净值数据(iFinD公式)'!$Z122:$AA122/'实盘净值数据(iFinD公式)'!$Z$69:$AA$69)+SUMPRODUCT(分期持仓明细!$AB$26:$AL$26,'实盘净值数据(iFinD公式)'!$AB122:$AL122/'实盘净值数据(iFinD公式)'!$AB$69:$AL$69))*(1-实盘持仓配置!$AM$10)^(('实盘净值数据(iFinD公式)'!$A122-'实盘净值数据(iFinD公式)'!$A$69)/365))</f>
        <v/>
      </c>
      <c r="U122" s="16" t="str">
        <f t="shared" si="19"/>
        <v/>
      </c>
      <c r="V122" s="16" t="str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 t="str">
        <f>IF(OR('实盘净值数据(iFinD公式)'!$A123="",'实盘净值数据(iFinD公式)'!$B123=""),"",分期持仓明细!$AO$17*SUMPRODUCT(分期持仓明细!$B$17:$Y$17,'实盘净值数据(iFinD公式)'!$B123:$Y123/'实盘净值数据(iFinD公式)'!$B$20:$Y$20)*(1-实盘持仓配置!$AM$4)^(('实盘净值数据(iFinD公式)'!$A123-'实盘净值数据(iFinD公式)'!$A$6)/365))</f>
        <v/>
      </c>
      <c r="C123" s="16" t="str">
        <f t="shared" si="13"/>
        <v/>
      </c>
      <c r="D123" s="16" t="str">
        <f>IF(B123="","",B123/MAX(B$5:B123)-1)</f>
        <v/>
      </c>
      <c r="E123" s="13" t="str">
        <f>IF(OR('实盘净值数据(iFinD公式)'!$A123="",'实盘净值数据(iFinD公式)'!$B123=""),"",分期持仓明细!$AO$18*SUMPRODUCT(分期持仓明细!$B$18:$Y$18,'实盘净值数据(iFinD公式)'!$B123:$Y123/'实盘净值数据(iFinD公式)'!$B$20:$Y$20)*(1-实盘持仓配置!$AM$5)^(('实盘净值数据(iFinD公式)'!$A123-'实盘净值数据(iFinD公式)'!$A$5)/365))</f>
        <v/>
      </c>
      <c r="F123" s="16" t="str">
        <f t="shared" si="14"/>
        <v/>
      </c>
      <c r="G123" s="16" t="str">
        <f>IF(E123="","",E123/MAX(E$5:E123)-1)</f>
        <v/>
      </c>
      <c r="H123" s="13" t="str">
        <f>IF(OR('实盘净值数据(iFinD公式)'!$A123="",'实盘净值数据(iFinD公式)'!$B123=""),"",分期持仓明细!$AO$19*SUMPRODUCT(分期持仓明细!$B$19:$Y$19,'实盘净值数据(iFinD公式)'!$B123:$Y123/'实盘净值数据(iFinD公式)'!$B$20:$Y$20)*(1-实盘持仓配置!$AM$6)^(('实盘净值数据(iFinD公式)'!$A123-'实盘净值数据(iFinD公式)'!$A$7)/365))</f>
        <v/>
      </c>
      <c r="I123" s="16" t="str">
        <f t="shared" si="15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O$23*(SUMPRODUCT(分期持仓明细!$B$23:$Y$23,'实盘净值数据(iFinD公式)'!$B123:$Y123/'实盘净值数据(iFinD公式)'!$B$65:$Y$65)+SUMPRODUCT(分期持仓明细!$Z$23:$AA$23,'实盘净值数据(iFinD公式)'!$Z123:$AA123/'实盘净值数据(iFinD公式)'!$Z$65:$AA$65))*(1-实盘持仓配置!$AM$7)^(('实盘净值数据(iFinD公式)'!$A123-'实盘净值数据(iFinD公式)'!$A$8)/365))</f>
        <v/>
      </c>
      <c r="L123" s="16" t="str">
        <f t="shared" si="16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O$24*(SUMPRODUCT(分期持仓明细!$B$24:$Y$24,'实盘净值数据(iFinD公式)'!$B123:$Y123/'实盘净值数据(iFinD公式)'!$B$65:$Y$65)+SUMPRODUCT(分期持仓明细!$Z$24:$AA$24,'实盘净值数据(iFinD公式)'!$Z123:$AA123/'实盘净值数据(iFinD公式)'!$Z$65:$AA$65))*(1-实盘持仓配置!$AM$8)^(('实盘净值数据(iFinD公式)'!$A123-'实盘净值数据(iFinD公式)'!$A$5)/365))</f>
        <v/>
      </c>
      <c r="O123" s="16" t="str">
        <f t="shared" si="17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O$25*(SUMPRODUCT(分期持仓明细!$B$25:$Y$25,'实盘净值数据(iFinD公式)'!$B123:$Y123/'实盘净值数据(iFinD公式)'!$B$65:$Y$65)+SUMPRODUCT(分期持仓明细!$Z$25:$AA$25,'实盘净值数据(iFinD公式)'!$Z123:$AA123/'实盘净值数据(iFinD公式)'!$Z$65:$AA$65))*(1-实盘持仓配置!$AM$9)^(('实盘净值数据(iFinD公式)'!$A123-'实盘净值数据(iFinD公式)'!$A$8)/365))</f>
        <v/>
      </c>
      <c r="R123" s="16" t="str">
        <f t="shared" si="18"/>
        <v/>
      </c>
      <c r="S123" s="16" t="str">
        <f>IF(Q123="","",Q123/MAX(Q$5:Q123)-1)</f>
        <v/>
      </c>
      <c r="T123" s="13" t="str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Z$26:$AA$26,'实盘净值数据(iFinD公式)'!$Z123:$AA123/'实盘净值数据(iFinD公式)'!$Z$69:$AA$69)+SUMPRODUCT(分期持仓明细!$AB$26:$AL$26,'实盘净值数据(iFinD公式)'!$AB123:$AL123/'实盘净值数据(iFinD公式)'!$AB$69:$AL$69))*(1-实盘持仓配置!$AM$10)^(('实盘净值数据(iFinD公式)'!$A123-'实盘净值数据(iFinD公式)'!$A$69)/365))</f>
        <v/>
      </c>
      <c r="U123" s="16" t="str">
        <f t="shared" si="19"/>
        <v/>
      </c>
      <c r="V123" s="16" t="str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 t="str">
        <f>IF(OR('实盘净值数据(iFinD公式)'!$A124="",'实盘净值数据(iFinD公式)'!$B124=""),"",分期持仓明细!$AO$17*SUMPRODUCT(分期持仓明细!$B$17:$Y$17,'实盘净值数据(iFinD公式)'!$B124:$Y124/'实盘净值数据(iFinD公式)'!$B$20:$Y$20)*(1-实盘持仓配置!$AM$4)^(('实盘净值数据(iFinD公式)'!$A124-'实盘净值数据(iFinD公式)'!$A$6)/365))</f>
        <v/>
      </c>
      <c r="C124" s="16" t="str">
        <f t="shared" si="13"/>
        <v/>
      </c>
      <c r="D124" s="16" t="str">
        <f>IF(B124="","",B124/MAX(B$5:B124)-1)</f>
        <v/>
      </c>
      <c r="E124" s="13" t="str">
        <f>IF(OR('实盘净值数据(iFinD公式)'!$A124="",'实盘净值数据(iFinD公式)'!$B124=""),"",分期持仓明细!$AO$18*SUMPRODUCT(分期持仓明细!$B$18:$Y$18,'实盘净值数据(iFinD公式)'!$B124:$Y124/'实盘净值数据(iFinD公式)'!$B$20:$Y$20)*(1-实盘持仓配置!$AM$5)^(('实盘净值数据(iFinD公式)'!$A124-'实盘净值数据(iFinD公式)'!$A$5)/365))</f>
        <v/>
      </c>
      <c r="F124" s="16" t="str">
        <f t="shared" si="14"/>
        <v/>
      </c>
      <c r="G124" s="16" t="str">
        <f>IF(E124="","",E124/MAX(E$5:E124)-1)</f>
        <v/>
      </c>
      <c r="H124" s="13" t="str">
        <f>IF(OR('实盘净值数据(iFinD公式)'!$A124="",'实盘净值数据(iFinD公式)'!$B124=""),"",分期持仓明细!$AO$19*SUMPRODUCT(分期持仓明细!$B$19:$Y$19,'实盘净值数据(iFinD公式)'!$B124:$Y124/'实盘净值数据(iFinD公式)'!$B$20:$Y$20)*(1-实盘持仓配置!$AM$6)^(('实盘净值数据(iFinD公式)'!$A124-'实盘净值数据(iFinD公式)'!$A$7)/365))</f>
        <v/>
      </c>
      <c r="I124" s="16" t="str">
        <f t="shared" si="15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O$23*(SUMPRODUCT(分期持仓明细!$B$23:$Y$23,'实盘净值数据(iFinD公式)'!$B124:$Y124/'实盘净值数据(iFinD公式)'!$B$65:$Y$65)+SUMPRODUCT(分期持仓明细!$Z$23:$AA$23,'实盘净值数据(iFinD公式)'!$Z124:$AA124/'实盘净值数据(iFinD公式)'!$Z$65:$AA$65))*(1-实盘持仓配置!$AM$7)^(('实盘净值数据(iFinD公式)'!$A124-'实盘净值数据(iFinD公式)'!$A$8)/365))</f>
        <v/>
      </c>
      <c r="L124" s="16" t="str">
        <f t="shared" si="16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O$24*(SUMPRODUCT(分期持仓明细!$B$24:$Y$24,'实盘净值数据(iFinD公式)'!$B124:$Y124/'实盘净值数据(iFinD公式)'!$B$65:$Y$65)+SUMPRODUCT(分期持仓明细!$Z$24:$AA$24,'实盘净值数据(iFinD公式)'!$Z124:$AA124/'实盘净值数据(iFinD公式)'!$Z$65:$AA$65))*(1-实盘持仓配置!$AM$8)^(('实盘净值数据(iFinD公式)'!$A124-'实盘净值数据(iFinD公式)'!$A$5)/365))</f>
        <v/>
      </c>
      <c r="O124" s="16" t="str">
        <f t="shared" si="17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O$25*(SUMPRODUCT(分期持仓明细!$B$25:$Y$25,'实盘净值数据(iFinD公式)'!$B124:$Y124/'实盘净值数据(iFinD公式)'!$B$65:$Y$65)+SUMPRODUCT(分期持仓明细!$Z$25:$AA$25,'实盘净值数据(iFinD公式)'!$Z124:$AA124/'实盘净值数据(iFinD公式)'!$Z$65:$AA$65))*(1-实盘持仓配置!$AM$9)^(('实盘净值数据(iFinD公式)'!$A124-'实盘净值数据(iFinD公式)'!$A$8)/365))</f>
        <v/>
      </c>
      <c r="R124" s="16" t="str">
        <f t="shared" si="18"/>
        <v/>
      </c>
      <c r="S124" s="16" t="str">
        <f>IF(Q124="","",Q124/MAX(Q$5:Q124)-1)</f>
        <v/>
      </c>
      <c r="T124" s="13" t="str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Z$26:$AA$26,'实盘净值数据(iFinD公式)'!$Z124:$AA124/'实盘净值数据(iFinD公式)'!$Z$69:$AA$69)+SUMPRODUCT(分期持仓明细!$AB$26:$AL$26,'实盘净值数据(iFinD公式)'!$AB124:$AL124/'实盘净值数据(iFinD公式)'!$AB$69:$AL$69))*(1-实盘持仓配置!$AM$10)^(('实盘净值数据(iFinD公式)'!$A124-'实盘净值数据(iFinD公式)'!$A$69)/365))</f>
        <v/>
      </c>
      <c r="U124" s="16" t="str">
        <f t="shared" si="19"/>
        <v/>
      </c>
      <c r="V124" s="16" t="str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 t="str">
        <f>IF(OR('实盘净值数据(iFinD公式)'!$A125="",'实盘净值数据(iFinD公式)'!$B125=""),"",分期持仓明细!$AO$17*SUMPRODUCT(分期持仓明细!$B$17:$Y$17,'实盘净值数据(iFinD公式)'!$B125:$Y125/'实盘净值数据(iFinD公式)'!$B$20:$Y$20)*(1-实盘持仓配置!$AM$4)^(('实盘净值数据(iFinD公式)'!$A125-'实盘净值数据(iFinD公式)'!$A$6)/365))</f>
        <v/>
      </c>
      <c r="C125" s="16" t="str">
        <f t="shared" si="13"/>
        <v/>
      </c>
      <c r="D125" s="16" t="str">
        <f>IF(B125="","",B125/MAX(B$5:B125)-1)</f>
        <v/>
      </c>
      <c r="E125" s="13" t="str">
        <f>IF(OR('实盘净值数据(iFinD公式)'!$A125="",'实盘净值数据(iFinD公式)'!$B125=""),"",分期持仓明细!$AO$18*SUMPRODUCT(分期持仓明细!$B$18:$Y$18,'实盘净值数据(iFinD公式)'!$B125:$Y125/'实盘净值数据(iFinD公式)'!$B$20:$Y$20)*(1-实盘持仓配置!$AM$5)^(('实盘净值数据(iFinD公式)'!$A125-'实盘净值数据(iFinD公式)'!$A$5)/365))</f>
        <v/>
      </c>
      <c r="F125" s="16" t="str">
        <f t="shared" si="14"/>
        <v/>
      </c>
      <c r="G125" s="16" t="str">
        <f>IF(E125="","",E125/MAX(E$5:E125)-1)</f>
        <v/>
      </c>
      <c r="H125" s="13" t="str">
        <f>IF(OR('实盘净值数据(iFinD公式)'!$A125="",'实盘净值数据(iFinD公式)'!$B125=""),"",分期持仓明细!$AO$19*SUMPRODUCT(分期持仓明细!$B$19:$Y$19,'实盘净值数据(iFinD公式)'!$B125:$Y125/'实盘净值数据(iFinD公式)'!$B$20:$Y$20)*(1-实盘持仓配置!$AM$6)^(('实盘净值数据(iFinD公式)'!$A125-'实盘净值数据(iFinD公式)'!$A$7)/365))</f>
        <v/>
      </c>
      <c r="I125" s="16" t="str">
        <f t="shared" si="15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O$23*(SUMPRODUCT(分期持仓明细!$B$23:$Y$23,'实盘净值数据(iFinD公式)'!$B125:$Y125/'实盘净值数据(iFinD公式)'!$B$65:$Y$65)+SUMPRODUCT(分期持仓明细!$Z$23:$AA$23,'实盘净值数据(iFinD公式)'!$Z125:$AA125/'实盘净值数据(iFinD公式)'!$Z$65:$AA$65))*(1-实盘持仓配置!$AM$7)^(('实盘净值数据(iFinD公式)'!$A125-'实盘净值数据(iFinD公式)'!$A$8)/365))</f>
        <v/>
      </c>
      <c r="L125" s="16" t="str">
        <f t="shared" si="16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O$24*(SUMPRODUCT(分期持仓明细!$B$24:$Y$24,'实盘净值数据(iFinD公式)'!$B125:$Y125/'实盘净值数据(iFinD公式)'!$B$65:$Y$65)+SUMPRODUCT(分期持仓明细!$Z$24:$AA$24,'实盘净值数据(iFinD公式)'!$Z125:$AA125/'实盘净值数据(iFinD公式)'!$Z$65:$AA$65))*(1-实盘持仓配置!$AM$8)^(('实盘净值数据(iFinD公式)'!$A125-'实盘净值数据(iFinD公式)'!$A$5)/365))</f>
        <v/>
      </c>
      <c r="O125" s="16" t="str">
        <f t="shared" si="17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O$25*(SUMPRODUCT(分期持仓明细!$B$25:$Y$25,'实盘净值数据(iFinD公式)'!$B125:$Y125/'实盘净值数据(iFinD公式)'!$B$65:$Y$65)+SUMPRODUCT(分期持仓明细!$Z$25:$AA$25,'实盘净值数据(iFinD公式)'!$Z125:$AA125/'实盘净值数据(iFinD公式)'!$Z$65:$AA$65))*(1-实盘持仓配置!$AM$9)^(('实盘净值数据(iFinD公式)'!$A125-'实盘净值数据(iFinD公式)'!$A$8)/365))</f>
        <v/>
      </c>
      <c r="R125" s="16" t="str">
        <f t="shared" si="18"/>
        <v/>
      </c>
      <c r="S125" s="16" t="str">
        <f>IF(Q125="","",Q125/MAX(Q$5:Q125)-1)</f>
        <v/>
      </c>
      <c r="T125" s="13" t="str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Z$26:$AA$26,'实盘净值数据(iFinD公式)'!$Z125:$AA125/'实盘净值数据(iFinD公式)'!$Z$69:$AA$69)+SUMPRODUCT(分期持仓明细!$AB$26:$AL$26,'实盘净值数据(iFinD公式)'!$AB125:$AL125/'实盘净值数据(iFinD公式)'!$AB$69:$AL$69))*(1-实盘持仓配置!$AM$10)^(('实盘净值数据(iFinD公式)'!$A125-'实盘净值数据(iFinD公式)'!$A$69)/365))</f>
        <v/>
      </c>
      <c r="U125" s="16" t="str">
        <f t="shared" si="19"/>
        <v/>
      </c>
      <c r="V125" s="16" t="str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 t="str">
        <f>IF(OR('实盘净值数据(iFinD公式)'!$A126="",'实盘净值数据(iFinD公式)'!$B126=""),"",分期持仓明细!$AO$17*SUMPRODUCT(分期持仓明细!$B$17:$Y$17,'实盘净值数据(iFinD公式)'!$B126:$Y126/'实盘净值数据(iFinD公式)'!$B$20:$Y$20)*(1-实盘持仓配置!$AM$4)^(('实盘净值数据(iFinD公式)'!$A126-'实盘净值数据(iFinD公式)'!$A$6)/365))</f>
        <v/>
      </c>
      <c r="C126" s="16" t="str">
        <f t="shared" si="13"/>
        <v/>
      </c>
      <c r="D126" s="16" t="str">
        <f>IF(B126="","",B126/MAX(B$5:B126)-1)</f>
        <v/>
      </c>
      <c r="E126" s="13" t="str">
        <f>IF(OR('实盘净值数据(iFinD公式)'!$A126="",'实盘净值数据(iFinD公式)'!$B126=""),"",分期持仓明细!$AO$18*SUMPRODUCT(分期持仓明细!$B$18:$Y$18,'实盘净值数据(iFinD公式)'!$B126:$Y126/'实盘净值数据(iFinD公式)'!$B$20:$Y$20)*(1-实盘持仓配置!$AM$5)^(('实盘净值数据(iFinD公式)'!$A126-'实盘净值数据(iFinD公式)'!$A$5)/365))</f>
        <v/>
      </c>
      <c r="F126" s="16" t="str">
        <f t="shared" si="14"/>
        <v/>
      </c>
      <c r="G126" s="16" t="str">
        <f>IF(E126="","",E126/MAX(E$5:E126)-1)</f>
        <v/>
      </c>
      <c r="H126" s="13" t="str">
        <f>IF(OR('实盘净值数据(iFinD公式)'!$A126="",'实盘净值数据(iFinD公式)'!$B126=""),"",分期持仓明细!$AO$19*SUMPRODUCT(分期持仓明细!$B$19:$Y$19,'实盘净值数据(iFinD公式)'!$B126:$Y126/'实盘净值数据(iFinD公式)'!$B$20:$Y$20)*(1-实盘持仓配置!$AM$6)^(('实盘净值数据(iFinD公式)'!$A126-'实盘净值数据(iFinD公式)'!$A$7)/365))</f>
        <v/>
      </c>
      <c r="I126" s="16" t="str">
        <f t="shared" si="15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O$23*(SUMPRODUCT(分期持仓明细!$B$23:$Y$23,'实盘净值数据(iFinD公式)'!$B126:$Y126/'实盘净值数据(iFinD公式)'!$B$65:$Y$65)+SUMPRODUCT(分期持仓明细!$Z$23:$AA$23,'实盘净值数据(iFinD公式)'!$Z126:$AA126/'实盘净值数据(iFinD公式)'!$Z$65:$AA$65))*(1-实盘持仓配置!$AM$7)^(('实盘净值数据(iFinD公式)'!$A126-'实盘净值数据(iFinD公式)'!$A$8)/365))</f>
        <v/>
      </c>
      <c r="L126" s="16" t="str">
        <f t="shared" si="16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O$24*(SUMPRODUCT(分期持仓明细!$B$24:$Y$24,'实盘净值数据(iFinD公式)'!$B126:$Y126/'实盘净值数据(iFinD公式)'!$B$65:$Y$65)+SUMPRODUCT(分期持仓明细!$Z$24:$AA$24,'实盘净值数据(iFinD公式)'!$Z126:$AA126/'实盘净值数据(iFinD公式)'!$Z$65:$AA$65))*(1-实盘持仓配置!$AM$8)^(('实盘净值数据(iFinD公式)'!$A126-'实盘净值数据(iFinD公式)'!$A$5)/365))</f>
        <v/>
      </c>
      <c r="O126" s="16" t="str">
        <f t="shared" si="17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O$25*(SUMPRODUCT(分期持仓明细!$B$25:$Y$25,'实盘净值数据(iFinD公式)'!$B126:$Y126/'实盘净值数据(iFinD公式)'!$B$65:$Y$65)+SUMPRODUCT(分期持仓明细!$Z$25:$AA$25,'实盘净值数据(iFinD公式)'!$Z126:$AA126/'实盘净值数据(iFinD公式)'!$Z$65:$AA$65))*(1-实盘持仓配置!$AM$9)^(('实盘净值数据(iFinD公式)'!$A126-'实盘净值数据(iFinD公式)'!$A$8)/365))</f>
        <v/>
      </c>
      <c r="R126" s="16" t="str">
        <f t="shared" si="18"/>
        <v/>
      </c>
      <c r="S126" s="16" t="str">
        <f>IF(Q126="","",Q126/MAX(Q$5:Q126)-1)</f>
        <v/>
      </c>
      <c r="T126" s="13" t="str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Z$26:$AA$26,'实盘净值数据(iFinD公式)'!$Z126:$AA126/'实盘净值数据(iFinD公式)'!$Z$69:$AA$69)+SUMPRODUCT(分期持仓明细!$AB$26:$AL$26,'实盘净值数据(iFinD公式)'!$AB126:$AL126/'实盘净值数据(iFinD公式)'!$AB$69:$AL$69))*(1-实盘持仓配置!$AM$10)^(('实盘净值数据(iFinD公式)'!$A126-'实盘净值数据(iFinD公式)'!$A$69)/365))</f>
        <v/>
      </c>
      <c r="U126" s="16" t="str">
        <f t="shared" si="19"/>
        <v/>
      </c>
      <c r="V126" s="16" t="str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 t="str">
        <f>IF(OR('实盘净值数据(iFinD公式)'!$A127="",'实盘净值数据(iFinD公式)'!$B127=""),"",分期持仓明细!$AO$17*SUMPRODUCT(分期持仓明细!$B$17:$Y$17,'实盘净值数据(iFinD公式)'!$B127:$Y127/'实盘净值数据(iFinD公式)'!$B$20:$Y$20)*(1-实盘持仓配置!$AM$4)^(('实盘净值数据(iFinD公式)'!$A127-'实盘净值数据(iFinD公式)'!$A$6)/365))</f>
        <v/>
      </c>
      <c r="C127" s="16" t="str">
        <f t="shared" si="13"/>
        <v/>
      </c>
      <c r="D127" s="16" t="str">
        <f>IF(B127="","",B127/MAX(B$5:B127)-1)</f>
        <v/>
      </c>
      <c r="E127" s="13" t="str">
        <f>IF(OR('实盘净值数据(iFinD公式)'!$A127="",'实盘净值数据(iFinD公式)'!$B127=""),"",分期持仓明细!$AO$18*SUMPRODUCT(分期持仓明细!$B$18:$Y$18,'实盘净值数据(iFinD公式)'!$B127:$Y127/'实盘净值数据(iFinD公式)'!$B$20:$Y$20)*(1-实盘持仓配置!$AM$5)^(('实盘净值数据(iFinD公式)'!$A127-'实盘净值数据(iFinD公式)'!$A$5)/365))</f>
        <v/>
      </c>
      <c r="F127" s="16" t="str">
        <f t="shared" si="14"/>
        <v/>
      </c>
      <c r="G127" s="16" t="str">
        <f>IF(E127="","",E127/MAX(E$5:E127)-1)</f>
        <v/>
      </c>
      <c r="H127" s="13" t="str">
        <f>IF(OR('实盘净值数据(iFinD公式)'!$A127="",'实盘净值数据(iFinD公式)'!$B127=""),"",分期持仓明细!$AO$19*SUMPRODUCT(分期持仓明细!$B$19:$Y$19,'实盘净值数据(iFinD公式)'!$B127:$Y127/'实盘净值数据(iFinD公式)'!$B$20:$Y$20)*(1-实盘持仓配置!$AM$6)^(('实盘净值数据(iFinD公式)'!$A127-'实盘净值数据(iFinD公式)'!$A$7)/365))</f>
        <v/>
      </c>
      <c r="I127" s="16" t="str">
        <f t="shared" si="15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O$23*(SUMPRODUCT(分期持仓明细!$B$23:$Y$23,'实盘净值数据(iFinD公式)'!$B127:$Y127/'实盘净值数据(iFinD公式)'!$B$65:$Y$65)+SUMPRODUCT(分期持仓明细!$Z$23:$AA$23,'实盘净值数据(iFinD公式)'!$Z127:$AA127/'实盘净值数据(iFinD公式)'!$Z$65:$AA$65))*(1-实盘持仓配置!$AM$7)^(('实盘净值数据(iFinD公式)'!$A127-'实盘净值数据(iFinD公式)'!$A$8)/365))</f>
        <v/>
      </c>
      <c r="L127" s="16" t="str">
        <f t="shared" si="16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O$24*(SUMPRODUCT(分期持仓明细!$B$24:$Y$24,'实盘净值数据(iFinD公式)'!$B127:$Y127/'实盘净值数据(iFinD公式)'!$B$65:$Y$65)+SUMPRODUCT(分期持仓明细!$Z$24:$AA$24,'实盘净值数据(iFinD公式)'!$Z127:$AA127/'实盘净值数据(iFinD公式)'!$Z$65:$AA$65))*(1-实盘持仓配置!$AM$8)^(('实盘净值数据(iFinD公式)'!$A127-'实盘净值数据(iFinD公式)'!$A$5)/365))</f>
        <v/>
      </c>
      <c r="O127" s="16" t="str">
        <f t="shared" si="17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O$25*(SUMPRODUCT(分期持仓明细!$B$25:$Y$25,'实盘净值数据(iFinD公式)'!$B127:$Y127/'实盘净值数据(iFinD公式)'!$B$65:$Y$65)+SUMPRODUCT(分期持仓明细!$Z$25:$AA$25,'实盘净值数据(iFinD公式)'!$Z127:$AA127/'实盘净值数据(iFinD公式)'!$Z$65:$AA$65))*(1-实盘持仓配置!$AM$9)^(('实盘净值数据(iFinD公式)'!$A127-'实盘净值数据(iFinD公式)'!$A$8)/365))</f>
        <v/>
      </c>
      <c r="R127" s="16" t="str">
        <f t="shared" si="18"/>
        <v/>
      </c>
      <c r="S127" s="16" t="str">
        <f>IF(Q127="","",Q127/MAX(Q$5:Q127)-1)</f>
        <v/>
      </c>
      <c r="T127" s="13" t="str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Z$26:$AA$26,'实盘净值数据(iFinD公式)'!$Z127:$AA127/'实盘净值数据(iFinD公式)'!$Z$69:$AA$69)+SUMPRODUCT(分期持仓明细!$AB$26:$AL$26,'实盘净值数据(iFinD公式)'!$AB127:$AL127/'实盘净值数据(iFinD公式)'!$AB$69:$AL$69))*(1-实盘持仓配置!$AM$10)^(('实盘净值数据(iFinD公式)'!$A127-'实盘净值数据(iFinD公式)'!$A$69)/365))</f>
        <v/>
      </c>
      <c r="U127" s="16" t="str">
        <f t="shared" si="19"/>
        <v/>
      </c>
      <c r="V127" s="16" t="str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 t="str">
        <f>IF(OR('实盘净值数据(iFinD公式)'!$A128="",'实盘净值数据(iFinD公式)'!$B128=""),"",分期持仓明细!$AO$17*SUMPRODUCT(分期持仓明细!$B$17:$Y$17,'实盘净值数据(iFinD公式)'!$B128:$Y128/'实盘净值数据(iFinD公式)'!$B$20:$Y$20)*(1-实盘持仓配置!$AM$4)^(('实盘净值数据(iFinD公式)'!$A128-'实盘净值数据(iFinD公式)'!$A$6)/365))</f>
        <v/>
      </c>
      <c r="C128" s="16" t="str">
        <f t="shared" si="13"/>
        <v/>
      </c>
      <c r="D128" s="16" t="str">
        <f>IF(B128="","",B128/MAX(B$5:B128)-1)</f>
        <v/>
      </c>
      <c r="E128" s="13" t="str">
        <f>IF(OR('实盘净值数据(iFinD公式)'!$A128="",'实盘净值数据(iFinD公式)'!$B128=""),"",分期持仓明细!$AO$18*SUMPRODUCT(分期持仓明细!$B$18:$Y$18,'实盘净值数据(iFinD公式)'!$B128:$Y128/'实盘净值数据(iFinD公式)'!$B$20:$Y$20)*(1-实盘持仓配置!$AM$5)^(('实盘净值数据(iFinD公式)'!$A128-'实盘净值数据(iFinD公式)'!$A$5)/365))</f>
        <v/>
      </c>
      <c r="F128" s="16" t="str">
        <f t="shared" si="14"/>
        <v/>
      </c>
      <c r="G128" s="16" t="str">
        <f>IF(E128="","",E128/MAX(E$5:E128)-1)</f>
        <v/>
      </c>
      <c r="H128" s="13" t="str">
        <f>IF(OR('实盘净值数据(iFinD公式)'!$A128="",'实盘净值数据(iFinD公式)'!$B128=""),"",分期持仓明细!$AO$19*SUMPRODUCT(分期持仓明细!$B$19:$Y$19,'实盘净值数据(iFinD公式)'!$B128:$Y128/'实盘净值数据(iFinD公式)'!$B$20:$Y$20)*(1-实盘持仓配置!$AM$6)^(('实盘净值数据(iFinD公式)'!$A128-'实盘净值数据(iFinD公式)'!$A$7)/365))</f>
        <v/>
      </c>
      <c r="I128" s="16" t="str">
        <f t="shared" si="15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O$23*(SUMPRODUCT(分期持仓明细!$B$23:$Y$23,'实盘净值数据(iFinD公式)'!$B128:$Y128/'实盘净值数据(iFinD公式)'!$B$65:$Y$65)+SUMPRODUCT(分期持仓明细!$Z$23:$AA$23,'实盘净值数据(iFinD公式)'!$Z128:$AA128/'实盘净值数据(iFinD公式)'!$Z$65:$AA$65))*(1-实盘持仓配置!$AM$7)^(('实盘净值数据(iFinD公式)'!$A128-'实盘净值数据(iFinD公式)'!$A$8)/365))</f>
        <v/>
      </c>
      <c r="L128" s="16" t="str">
        <f t="shared" si="16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O$24*(SUMPRODUCT(分期持仓明细!$B$24:$Y$24,'实盘净值数据(iFinD公式)'!$B128:$Y128/'实盘净值数据(iFinD公式)'!$B$65:$Y$65)+SUMPRODUCT(分期持仓明细!$Z$24:$AA$24,'实盘净值数据(iFinD公式)'!$Z128:$AA128/'实盘净值数据(iFinD公式)'!$Z$65:$AA$65))*(1-实盘持仓配置!$AM$8)^(('实盘净值数据(iFinD公式)'!$A128-'实盘净值数据(iFinD公式)'!$A$5)/365))</f>
        <v/>
      </c>
      <c r="O128" s="16" t="str">
        <f t="shared" si="17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O$25*(SUMPRODUCT(分期持仓明细!$B$25:$Y$25,'实盘净值数据(iFinD公式)'!$B128:$Y128/'实盘净值数据(iFinD公式)'!$B$65:$Y$65)+SUMPRODUCT(分期持仓明细!$Z$25:$AA$25,'实盘净值数据(iFinD公式)'!$Z128:$AA128/'实盘净值数据(iFinD公式)'!$Z$65:$AA$65))*(1-实盘持仓配置!$AM$9)^(('实盘净值数据(iFinD公式)'!$A128-'实盘净值数据(iFinD公式)'!$A$8)/365))</f>
        <v/>
      </c>
      <c r="R128" s="16" t="str">
        <f t="shared" si="18"/>
        <v/>
      </c>
      <c r="S128" s="16" t="str">
        <f>IF(Q128="","",Q128/MAX(Q$5:Q128)-1)</f>
        <v/>
      </c>
      <c r="T128" s="13" t="str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Z$26:$AA$26,'实盘净值数据(iFinD公式)'!$Z128:$AA128/'实盘净值数据(iFinD公式)'!$Z$69:$AA$69)+SUMPRODUCT(分期持仓明细!$AB$26:$AL$26,'实盘净值数据(iFinD公式)'!$AB128:$AL128/'实盘净值数据(iFinD公式)'!$AB$69:$AL$69))*(1-实盘持仓配置!$AM$10)^(('实盘净值数据(iFinD公式)'!$A128-'实盘净值数据(iFinD公式)'!$A$69)/365))</f>
        <v/>
      </c>
      <c r="U128" s="16" t="str">
        <f t="shared" si="19"/>
        <v/>
      </c>
      <c r="V128" s="16" t="str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 t="str">
        <f>IF(OR('实盘净值数据(iFinD公式)'!$A129="",'实盘净值数据(iFinD公式)'!$B129=""),"",分期持仓明细!$AO$17*SUMPRODUCT(分期持仓明细!$B$17:$Y$17,'实盘净值数据(iFinD公式)'!$B129:$Y129/'实盘净值数据(iFinD公式)'!$B$20:$Y$20)*(1-实盘持仓配置!$AM$4)^(('实盘净值数据(iFinD公式)'!$A129-'实盘净值数据(iFinD公式)'!$A$6)/365))</f>
        <v/>
      </c>
      <c r="C129" s="16" t="str">
        <f t="shared" si="13"/>
        <v/>
      </c>
      <c r="D129" s="16" t="str">
        <f>IF(B129="","",B129/MAX(B$5:B129)-1)</f>
        <v/>
      </c>
      <c r="E129" s="13" t="str">
        <f>IF(OR('实盘净值数据(iFinD公式)'!$A129="",'实盘净值数据(iFinD公式)'!$B129=""),"",分期持仓明细!$AO$18*SUMPRODUCT(分期持仓明细!$B$18:$Y$18,'实盘净值数据(iFinD公式)'!$B129:$Y129/'实盘净值数据(iFinD公式)'!$B$20:$Y$20)*(1-实盘持仓配置!$AM$5)^(('实盘净值数据(iFinD公式)'!$A129-'实盘净值数据(iFinD公式)'!$A$5)/365))</f>
        <v/>
      </c>
      <c r="F129" s="16" t="str">
        <f t="shared" si="14"/>
        <v/>
      </c>
      <c r="G129" s="16" t="str">
        <f>IF(E129="","",E129/MAX(E$5:E129)-1)</f>
        <v/>
      </c>
      <c r="H129" s="13" t="str">
        <f>IF(OR('实盘净值数据(iFinD公式)'!$A129="",'实盘净值数据(iFinD公式)'!$B129=""),"",分期持仓明细!$AO$19*SUMPRODUCT(分期持仓明细!$B$19:$Y$19,'实盘净值数据(iFinD公式)'!$B129:$Y129/'实盘净值数据(iFinD公式)'!$B$20:$Y$20)*(1-实盘持仓配置!$AM$6)^(('实盘净值数据(iFinD公式)'!$A129-'实盘净值数据(iFinD公式)'!$A$7)/365))</f>
        <v/>
      </c>
      <c r="I129" s="16" t="str">
        <f t="shared" si="15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O$23*(SUMPRODUCT(分期持仓明细!$B$23:$Y$23,'实盘净值数据(iFinD公式)'!$B129:$Y129/'实盘净值数据(iFinD公式)'!$B$65:$Y$65)+SUMPRODUCT(分期持仓明细!$Z$23:$AA$23,'实盘净值数据(iFinD公式)'!$Z129:$AA129/'实盘净值数据(iFinD公式)'!$Z$65:$AA$65))*(1-实盘持仓配置!$AM$7)^(('实盘净值数据(iFinD公式)'!$A129-'实盘净值数据(iFinD公式)'!$A$8)/365))</f>
        <v/>
      </c>
      <c r="L129" s="16" t="str">
        <f t="shared" si="16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O$24*(SUMPRODUCT(分期持仓明细!$B$24:$Y$24,'实盘净值数据(iFinD公式)'!$B129:$Y129/'实盘净值数据(iFinD公式)'!$B$65:$Y$65)+SUMPRODUCT(分期持仓明细!$Z$24:$AA$24,'实盘净值数据(iFinD公式)'!$Z129:$AA129/'实盘净值数据(iFinD公式)'!$Z$65:$AA$65))*(1-实盘持仓配置!$AM$8)^(('实盘净值数据(iFinD公式)'!$A129-'实盘净值数据(iFinD公式)'!$A$5)/365))</f>
        <v/>
      </c>
      <c r="O129" s="16" t="str">
        <f t="shared" si="17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O$25*(SUMPRODUCT(分期持仓明细!$B$25:$Y$25,'实盘净值数据(iFinD公式)'!$B129:$Y129/'实盘净值数据(iFinD公式)'!$B$65:$Y$65)+SUMPRODUCT(分期持仓明细!$Z$25:$AA$25,'实盘净值数据(iFinD公式)'!$Z129:$AA129/'实盘净值数据(iFinD公式)'!$Z$65:$AA$65))*(1-实盘持仓配置!$AM$9)^(('实盘净值数据(iFinD公式)'!$A129-'实盘净值数据(iFinD公式)'!$A$8)/365))</f>
        <v/>
      </c>
      <c r="R129" s="16" t="str">
        <f t="shared" si="18"/>
        <v/>
      </c>
      <c r="S129" s="16" t="str">
        <f>IF(Q129="","",Q129/MAX(Q$5:Q129)-1)</f>
        <v/>
      </c>
      <c r="T129" s="13" t="str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Z$26:$AA$26,'实盘净值数据(iFinD公式)'!$Z129:$AA129/'实盘净值数据(iFinD公式)'!$Z$69:$AA$69)+SUMPRODUCT(分期持仓明细!$AB$26:$AL$26,'实盘净值数据(iFinD公式)'!$AB129:$AL129/'实盘净值数据(iFinD公式)'!$AB$69:$AL$69))*(1-实盘持仓配置!$AM$10)^(('实盘净值数据(iFinD公式)'!$A129-'实盘净值数据(iFinD公式)'!$A$69)/365))</f>
        <v/>
      </c>
      <c r="U129" s="16" t="str">
        <f t="shared" si="19"/>
        <v/>
      </c>
      <c r="V129" s="16" t="str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 t="str">
        <f>IF(OR('实盘净值数据(iFinD公式)'!$A130="",'实盘净值数据(iFinD公式)'!$B130=""),"",分期持仓明细!$AO$17*SUMPRODUCT(分期持仓明细!$B$17:$Y$17,'实盘净值数据(iFinD公式)'!$B130:$Y130/'实盘净值数据(iFinD公式)'!$B$20:$Y$20)*(1-实盘持仓配置!$AM$4)^(('实盘净值数据(iFinD公式)'!$A130-'实盘净值数据(iFinD公式)'!$A$6)/365))</f>
        <v/>
      </c>
      <c r="C130" s="16" t="str">
        <f t="shared" si="13"/>
        <v/>
      </c>
      <c r="D130" s="16" t="str">
        <f>IF(B130="","",B130/MAX(B$5:B130)-1)</f>
        <v/>
      </c>
      <c r="E130" s="13" t="str">
        <f>IF(OR('实盘净值数据(iFinD公式)'!$A130="",'实盘净值数据(iFinD公式)'!$B130=""),"",分期持仓明细!$AO$18*SUMPRODUCT(分期持仓明细!$B$18:$Y$18,'实盘净值数据(iFinD公式)'!$B130:$Y130/'实盘净值数据(iFinD公式)'!$B$20:$Y$20)*(1-实盘持仓配置!$AM$5)^(('实盘净值数据(iFinD公式)'!$A130-'实盘净值数据(iFinD公式)'!$A$5)/365))</f>
        <v/>
      </c>
      <c r="F130" s="16" t="str">
        <f t="shared" si="14"/>
        <v/>
      </c>
      <c r="G130" s="16" t="str">
        <f>IF(E130="","",E130/MAX(E$5:E130)-1)</f>
        <v/>
      </c>
      <c r="H130" s="13" t="str">
        <f>IF(OR('实盘净值数据(iFinD公式)'!$A130="",'实盘净值数据(iFinD公式)'!$B130=""),"",分期持仓明细!$AO$19*SUMPRODUCT(分期持仓明细!$B$19:$Y$19,'实盘净值数据(iFinD公式)'!$B130:$Y130/'实盘净值数据(iFinD公式)'!$B$20:$Y$20)*(1-实盘持仓配置!$AM$6)^(('实盘净值数据(iFinD公式)'!$A130-'实盘净值数据(iFinD公式)'!$A$7)/365))</f>
        <v/>
      </c>
      <c r="I130" s="16" t="str">
        <f t="shared" si="15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O$23*(SUMPRODUCT(分期持仓明细!$B$23:$Y$23,'实盘净值数据(iFinD公式)'!$B130:$Y130/'实盘净值数据(iFinD公式)'!$B$65:$Y$65)+SUMPRODUCT(分期持仓明细!$Z$23:$AA$23,'实盘净值数据(iFinD公式)'!$Z130:$AA130/'实盘净值数据(iFinD公式)'!$Z$65:$AA$65))*(1-实盘持仓配置!$AM$7)^(('实盘净值数据(iFinD公式)'!$A130-'实盘净值数据(iFinD公式)'!$A$8)/365))</f>
        <v/>
      </c>
      <c r="L130" s="16" t="str">
        <f t="shared" si="16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O$24*(SUMPRODUCT(分期持仓明细!$B$24:$Y$24,'实盘净值数据(iFinD公式)'!$B130:$Y130/'实盘净值数据(iFinD公式)'!$B$65:$Y$65)+SUMPRODUCT(分期持仓明细!$Z$24:$AA$24,'实盘净值数据(iFinD公式)'!$Z130:$AA130/'实盘净值数据(iFinD公式)'!$Z$65:$AA$65))*(1-实盘持仓配置!$AM$8)^(('实盘净值数据(iFinD公式)'!$A130-'实盘净值数据(iFinD公式)'!$A$5)/365))</f>
        <v/>
      </c>
      <c r="O130" s="16" t="str">
        <f t="shared" si="17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O$25*(SUMPRODUCT(分期持仓明细!$B$25:$Y$25,'实盘净值数据(iFinD公式)'!$B130:$Y130/'实盘净值数据(iFinD公式)'!$B$65:$Y$65)+SUMPRODUCT(分期持仓明细!$Z$25:$AA$25,'实盘净值数据(iFinD公式)'!$Z130:$AA130/'实盘净值数据(iFinD公式)'!$Z$65:$AA$65))*(1-实盘持仓配置!$AM$9)^(('实盘净值数据(iFinD公式)'!$A130-'实盘净值数据(iFinD公式)'!$A$8)/365))</f>
        <v/>
      </c>
      <c r="R130" s="16" t="str">
        <f t="shared" si="18"/>
        <v/>
      </c>
      <c r="S130" s="16" t="str">
        <f>IF(Q130="","",Q130/MAX(Q$5:Q130)-1)</f>
        <v/>
      </c>
      <c r="T130" s="13" t="str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Z$26:$AA$26,'实盘净值数据(iFinD公式)'!$Z130:$AA130/'实盘净值数据(iFinD公式)'!$Z$69:$AA$69)+SUMPRODUCT(分期持仓明细!$AB$26:$AL$26,'实盘净值数据(iFinD公式)'!$AB130:$AL130/'实盘净值数据(iFinD公式)'!$AB$69:$AL$69))*(1-实盘持仓配置!$AM$10)^(('实盘净值数据(iFinD公式)'!$A130-'实盘净值数据(iFinD公式)'!$A$69)/365))</f>
        <v/>
      </c>
      <c r="U130" s="16" t="str">
        <f t="shared" si="19"/>
        <v/>
      </c>
      <c r="V130" s="16" t="str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 t="str">
        <f>IF(OR('实盘净值数据(iFinD公式)'!$A131="",'实盘净值数据(iFinD公式)'!$B131=""),"",分期持仓明细!$AO$17*SUMPRODUCT(分期持仓明细!$B$17:$Y$17,'实盘净值数据(iFinD公式)'!$B131:$Y131/'实盘净值数据(iFinD公式)'!$B$20:$Y$20)*(1-实盘持仓配置!$AM$4)^(('实盘净值数据(iFinD公式)'!$A131-'实盘净值数据(iFinD公式)'!$A$6)/365))</f>
        <v/>
      </c>
      <c r="C131" s="16" t="str">
        <f t="shared" si="13"/>
        <v/>
      </c>
      <c r="D131" s="16" t="str">
        <f>IF(B131="","",B131/MAX(B$5:B131)-1)</f>
        <v/>
      </c>
      <c r="E131" s="13" t="str">
        <f>IF(OR('实盘净值数据(iFinD公式)'!$A131="",'实盘净值数据(iFinD公式)'!$B131=""),"",分期持仓明细!$AO$18*SUMPRODUCT(分期持仓明细!$B$18:$Y$18,'实盘净值数据(iFinD公式)'!$B131:$Y131/'实盘净值数据(iFinD公式)'!$B$20:$Y$20)*(1-实盘持仓配置!$AM$5)^(('实盘净值数据(iFinD公式)'!$A131-'实盘净值数据(iFinD公式)'!$A$5)/365))</f>
        <v/>
      </c>
      <c r="F131" s="16" t="str">
        <f t="shared" si="14"/>
        <v/>
      </c>
      <c r="G131" s="16" t="str">
        <f>IF(E131="","",E131/MAX(E$5:E131)-1)</f>
        <v/>
      </c>
      <c r="H131" s="13" t="str">
        <f>IF(OR('实盘净值数据(iFinD公式)'!$A131="",'实盘净值数据(iFinD公式)'!$B131=""),"",分期持仓明细!$AO$19*SUMPRODUCT(分期持仓明细!$B$19:$Y$19,'实盘净值数据(iFinD公式)'!$B131:$Y131/'实盘净值数据(iFinD公式)'!$B$20:$Y$20)*(1-实盘持仓配置!$AM$6)^(('实盘净值数据(iFinD公式)'!$A131-'实盘净值数据(iFinD公式)'!$A$7)/365))</f>
        <v/>
      </c>
      <c r="I131" s="16" t="str">
        <f t="shared" si="15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O$23*(SUMPRODUCT(分期持仓明细!$B$23:$Y$23,'实盘净值数据(iFinD公式)'!$B131:$Y131/'实盘净值数据(iFinD公式)'!$B$65:$Y$65)+SUMPRODUCT(分期持仓明细!$Z$23:$AA$23,'实盘净值数据(iFinD公式)'!$Z131:$AA131/'实盘净值数据(iFinD公式)'!$Z$65:$AA$65))*(1-实盘持仓配置!$AM$7)^(('实盘净值数据(iFinD公式)'!$A131-'实盘净值数据(iFinD公式)'!$A$8)/365))</f>
        <v/>
      </c>
      <c r="L131" s="16" t="str">
        <f t="shared" si="16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O$24*(SUMPRODUCT(分期持仓明细!$B$24:$Y$24,'实盘净值数据(iFinD公式)'!$B131:$Y131/'实盘净值数据(iFinD公式)'!$B$65:$Y$65)+SUMPRODUCT(分期持仓明细!$Z$24:$AA$24,'实盘净值数据(iFinD公式)'!$Z131:$AA131/'实盘净值数据(iFinD公式)'!$Z$65:$AA$65))*(1-实盘持仓配置!$AM$8)^(('实盘净值数据(iFinD公式)'!$A131-'实盘净值数据(iFinD公式)'!$A$5)/365))</f>
        <v/>
      </c>
      <c r="O131" s="16" t="str">
        <f t="shared" si="17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O$25*(SUMPRODUCT(分期持仓明细!$B$25:$Y$25,'实盘净值数据(iFinD公式)'!$B131:$Y131/'实盘净值数据(iFinD公式)'!$B$65:$Y$65)+SUMPRODUCT(分期持仓明细!$Z$25:$AA$25,'实盘净值数据(iFinD公式)'!$Z131:$AA131/'实盘净值数据(iFinD公式)'!$Z$65:$AA$65))*(1-实盘持仓配置!$AM$9)^(('实盘净值数据(iFinD公式)'!$A131-'实盘净值数据(iFinD公式)'!$A$8)/365))</f>
        <v/>
      </c>
      <c r="R131" s="16" t="str">
        <f t="shared" si="18"/>
        <v/>
      </c>
      <c r="S131" s="16" t="str">
        <f>IF(Q131="","",Q131/MAX(Q$5:Q131)-1)</f>
        <v/>
      </c>
      <c r="T131" s="13" t="str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Z$26:$AA$26,'实盘净值数据(iFinD公式)'!$Z131:$AA131/'实盘净值数据(iFinD公式)'!$Z$69:$AA$69)+SUMPRODUCT(分期持仓明细!$AB$26:$AL$26,'实盘净值数据(iFinD公式)'!$AB131:$AL131/'实盘净值数据(iFinD公式)'!$AB$69:$AL$69))*(1-实盘持仓配置!$AM$10)^(('实盘净值数据(iFinD公式)'!$A131-'实盘净值数据(iFinD公式)'!$A$69)/365))</f>
        <v/>
      </c>
      <c r="U131" s="16" t="str">
        <f t="shared" si="19"/>
        <v/>
      </c>
      <c r="V131" s="16" t="str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 t="str">
        <f>IF(OR('实盘净值数据(iFinD公式)'!$A132="",'实盘净值数据(iFinD公式)'!$B132=""),"",分期持仓明细!$AO$17*SUMPRODUCT(分期持仓明细!$B$17:$Y$17,'实盘净值数据(iFinD公式)'!$B132:$Y132/'实盘净值数据(iFinD公式)'!$B$20:$Y$20)*(1-实盘持仓配置!$AM$4)^(('实盘净值数据(iFinD公式)'!$A132-'实盘净值数据(iFinD公式)'!$A$6)/365))</f>
        <v/>
      </c>
      <c r="C132" s="16" t="str">
        <f t="shared" si="13"/>
        <v/>
      </c>
      <c r="D132" s="16" t="str">
        <f>IF(B132="","",B132/MAX(B$5:B132)-1)</f>
        <v/>
      </c>
      <c r="E132" s="13" t="str">
        <f>IF(OR('实盘净值数据(iFinD公式)'!$A132="",'实盘净值数据(iFinD公式)'!$B132=""),"",分期持仓明细!$AO$18*SUMPRODUCT(分期持仓明细!$B$18:$Y$18,'实盘净值数据(iFinD公式)'!$B132:$Y132/'实盘净值数据(iFinD公式)'!$B$20:$Y$20)*(1-实盘持仓配置!$AM$5)^(('实盘净值数据(iFinD公式)'!$A132-'实盘净值数据(iFinD公式)'!$A$5)/365))</f>
        <v/>
      </c>
      <c r="F132" s="16" t="str">
        <f t="shared" si="14"/>
        <v/>
      </c>
      <c r="G132" s="16" t="str">
        <f>IF(E132="","",E132/MAX(E$5:E132)-1)</f>
        <v/>
      </c>
      <c r="H132" s="13" t="str">
        <f>IF(OR('实盘净值数据(iFinD公式)'!$A132="",'实盘净值数据(iFinD公式)'!$B132=""),"",分期持仓明细!$AO$19*SUMPRODUCT(分期持仓明细!$B$19:$Y$19,'实盘净值数据(iFinD公式)'!$B132:$Y132/'实盘净值数据(iFinD公式)'!$B$20:$Y$20)*(1-实盘持仓配置!$AM$6)^(('实盘净值数据(iFinD公式)'!$A132-'实盘净值数据(iFinD公式)'!$A$7)/365))</f>
        <v/>
      </c>
      <c r="I132" s="16" t="str">
        <f t="shared" si="15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O$23*(SUMPRODUCT(分期持仓明细!$B$23:$Y$23,'实盘净值数据(iFinD公式)'!$B132:$Y132/'实盘净值数据(iFinD公式)'!$B$65:$Y$65)+SUMPRODUCT(分期持仓明细!$Z$23:$AA$23,'实盘净值数据(iFinD公式)'!$Z132:$AA132/'实盘净值数据(iFinD公式)'!$Z$65:$AA$65))*(1-实盘持仓配置!$AM$7)^(('实盘净值数据(iFinD公式)'!$A132-'实盘净值数据(iFinD公式)'!$A$8)/365))</f>
        <v/>
      </c>
      <c r="L132" s="16" t="str">
        <f t="shared" si="16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O$24*(SUMPRODUCT(分期持仓明细!$B$24:$Y$24,'实盘净值数据(iFinD公式)'!$B132:$Y132/'实盘净值数据(iFinD公式)'!$B$65:$Y$65)+SUMPRODUCT(分期持仓明细!$Z$24:$AA$24,'实盘净值数据(iFinD公式)'!$Z132:$AA132/'实盘净值数据(iFinD公式)'!$Z$65:$AA$65))*(1-实盘持仓配置!$AM$8)^(('实盘净值数据(iFinD公式)'!$A132-'实盘净值数据(iFinD公式)'!$A$5)/365))</f>
        <v/>
      </c>
      <c r="O132" s="16" t="str">
        <f t="shared" si="17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O$25*(SUMPRODUCT(分期持仓明细!$B$25:$Y$25,'实盘净值数据(iFinD公式)'!$B132:$Y132/'实盘净值数据(iFinD公式)'!$B$65:$Y$65)+SUMPRODUCT(分期持仓明细!$Z$25:$AA$25,'实盘净值数据(iFinD公式)'!$Z132:$AA132/'实盘净值数据(iFinD公式)'!$Z$65:$AA$65))*(1-实盘持仓配置!$AM$9)^(('实盘净值数据(iFinD公式)'!$A132-'实盘净值数据(iFinD公式)'!$A$8)/365))</f>
        <v/>
      </c>
      <c r="R132" s="16" t="str">
        <f t="shared" si="18"/>
        <v/>
      </c>
      <c r="S132" s="16" t="str">
        <f>IF(Q132="","",Q132/MAX(Q$5:Q132)-1)</f>
        <v/>
      </c>
      <c r="T132" s="13" t="str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Z$26:$AA$26,'实盘净值数据(iFinD公式)'!$Z132:$AA132/'实盘净值数据(iFinD公式)'!$Z$69:$AA$69)+SUMPRODUCT(分期持仓明细!$AB$26:$AL$26,'实盘净值数据(iFinD公式)'!$AB132:$AL132/'实盘净值数据(iFinD公式)'!$AB$69:$AL$69))*(1-实盘持仓配置!$AM$10)^(('实盘净值数据(iFinD公式)'!$A132-'实盘净值数据(iFinD公式)'!$A$69)/365))</f>
        <v/>
      </c>
      <c r="U132" s="16" t="str">
        <f t="shared" si="19"/>
        <v/>
      </c>
      <c r="V132" s="16" t="str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 t="str">
        <f>IF(OR('实盘净值数据(iFinD公式)'!$A133="",'实盘净值数据(iFinD公式)'!$B133=""),"",分期持仓明细!$AO$17*SUMPRODUCT(分期持仓明细!$B$17:$Y$17,'实盘净值数据(iFinD公式)'!$B133:$Y133/'实盘净值数据(iFinD公式)'!$B$20:$Y$20)*(1-实盘持仓配置!$AM$4)^(('实盘净值数据(iFinD公式)'!$A133-'实盘净值数据(iFinD公式)'!$A$6)/365))</f>
        <v/>
      </c>
      <c r="C133" s="16" t="str">
        <f t="shared" si="13"/>
        <v/>
      </c>
      <c r="D133" s="16" t="str">
        <f>IF(B133="","",B133/MAX(B$5:B133)-1)</f>
        <v/>
      </c>
      <c r="E133" s="13" t="str">
        <f>IF(OR('实盘净值数据(iFinD公式)'!$A133="",'实盘净值数据(iFinD公式)'!$B133=""),"",分期持仓明细!$AO$18*SUMPRODUCT(分期持仓明细!$B$18:$Y$18,'实盘净值数据(iFinD公式)'!$B133:$Y133/'实盘净值数据(iFinD公式)'!$B$20:$Y$20)*(1-实盘持仓配置!$AM$5)^(('实盘净值数据(iFinD公式)'!$A133-'实盘净值数据(iFinD公式)'!$A$5)/365))</f>
        <v/>
      </c>
      <c r="F133" s="16" t="str">
        <f t="shared" si="14"/>
        <v/>
      </c>
      <c r="G133" s="16" t="str">
        <f>IF(E133="","",E133/MAX(E$5:E133)-1)</f>
        <v/>
      </c>
      <c r="H133" s="13" t="str">
        <f>IF(OR('实盘净值数据(iFinD公式)'!$A133="",'实盘净值数据(iFinD公式)'!$B133=""),"",分期持仓明细!$AO$19*SUMPRODUCT(分期持仓明细!$B$19:$Y$19,'实盘净值数据(iFinD公式)'!$B133:$Y133/'实盘净值数据(iFinD公式)'!$B$20:$Y$20)*(1-实盘持仓配置!$AM$6)^(('实盘净值数据(iFinD公式)'!$A133-'实盘净值数据(iFinD公式)'!$A$7)/365))</f>
        <v/>
      </c>
      <c r="I133" s="16" t="str">
        <f t="shared" si="15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O$23*(SUMPRODUCT(分期持仓明细!$B$23:$Y$23,'实盘净值数据(iFinD公式)'!$B133:$Y133/'实盘净值数据(iFinD公式)'!$B$65:$Y$65)+SUMPRODUCT(分期持仓明细!$Z$23:$AA$23,'实盘净值数据(iFinD公式)'!$Z133:$AA133/'实盘净值数据(iFinD公式)'!$Z$65:$AA$65))*(1-实盘持仓配置!$AM$7)^(('实盘净值数据(iFinD公式)'!$A133-'实盘净值数据(iFinD公式)'!$A$8)/365))</f>
        <v/>
      </c>
      <c r="L133" s="16" t="str">
        <f t="shared" si="16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O$24*(SUMPRODUCT(分期持仓明细!$B$24:$Y$24,'实盘净值数据(iFinD公式)'!$B133:$Y133/'实盘净值数据(iFinD公式)'!$B$65:$Y$65)+SUMPRODUCT(分期持仓明细!$Z$24:$AA$24,'实盘净值数据(iFinD公式)'!$Z133:$AA133/'实盘净值数据(iFinD公式)'!$Z$65:$AA$65))*(1-实盘持仓配置!$AM$8)^(('实盘净值数据(iFinD公式)'!$A133-'实盘净值数据(iFinD公式)'!$A$5)/365))</f>
        <v/>
      </c>
      <c r="O133" s="16" t="str">
        <f t="shared" si="17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O$25*(SUMPRODUCT(分期持仓明细!$B$25:$Y$25,'实盘净值数据(iFinD公式)'!$B133:$Y133/'实盘净值数据(iFinD公式)'!$B$65:$Y$65)+SUMPRODUCT(分期持仓明细!$Z$25:$AA$25,'实盘净值数据(iFinD公式)'!$Z133:$AA133/'实盘净值数据(iFinD公式)'!$Z$65:$AA$65))*(1-实盘持仓配置!$AM$9)^(('实盘净值数据(iFinD公式)'!$A133-'实盘净值数据(iFinD公式)'!$A$8)/365))</f>
        <v/>
      </c>
      <c r="R133" s="16" t="str">
        <f t="shared" si="18"/>
        <v/>
      </c>
      <c r="S133" s="16" t="str">
        <f>IF(Q133="","",Q133/MAX(Q$5:Q133)-1)</f>
        <v/>
      </c>
      <c r="T133" s="13" t="str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Z$26:$AA$26,'实盘净值数据(iFinD公式)'!$Z133:$AA133/'实盘净值数据(iFinD公式)'!$Z$69:$AA$69)+SUMPRODUCT(分期持仓明细!$AB$26:$AL$26,'实盘净值数据(iFinD公式)'!$AB133:$AL133/'实盘净值数据(iFinD公式)'!$AB$69:$AL$69))*(1-实盘持仓配置!$AM$10)^(('实盘净值数据(iFinD公式)'!$A133-'实盘净值数据(iFinD公式)'!$A$69)/365))</f>
        <v/>
      </c>
      <c r="U133" s="16" t="str">
        <f t="shared" ref="U133:U164" si="20">IF(OR(T132="",T133=""),"",T133/T132-1)</f>
        <v/>
      </c>
      <c r="V133" s="16" t="str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 t="str">
        <f>IF(OR('实盘净值数据(iFinD公式)'!$A134="",'实盘净值数据(iFinD公式)'!$B134=""),"",分期持仓明细!$AO$17*SUMPRODUCT(分期持仓明细!$B$17:$Y$17,'实盘净值数据(iFinD公式)'!$B134:$Y134/'实盘净值数据(iFinD公式)'!$B$20:$Y$20)*(1-实盘持仓配置!$AM$4)^(('实盘净值数据(iFinD公式)'!$A134-'实盘净值数据(iFinD公式)'!$A$6)/365))</f>
        <v/>
      </c>
      <c r="C134" s="16" t="str">
        <f t="shared" ref="C134:C197" si="21">IF(OR(B133="",B134=""),"",B134/B133-1)</f>
        <v/>
      </c>
      <c r="D134" s="16" t="str">
        <f>IF(B134="","",B134/MAX(B$5:B134)-1)</f>
        <v/>
      </c>
      <c r="E134" s="13" t="str">
        <f>IF(OR('实盘净值数据(iFinD公式)'!$A134="",'实盘净值数据(iFinD公式)'!$B134=""),"",分期持仓明细!$AO$18*SUMPRODUCT(分期持仓明细!$B$18:$Y$18,'实盘净值数据(iFinD公式)'!$B134:$Y134/'实盘净值数据(iFinD公式)'!$B$20:$Y$20)*(1-实盘持仓配置!$AM$5)^(('实盘净值数据(iFinD公式)'!$A134-'实盘净值数据(iFinD公式)'!$A$5)/365))</f>
        <v/>
      </c>
      <c r="F134" s="16" t="str">
        <f t="shared" ref="F134:F197" si="22">IF(OR(E133="",E134=""),"",E134/E133-1)</f>
        <v/>
      </c>
      <c r="G134" s="16" t="str">
        <f>IF(E134="","",E134/MAX(E$5:E134)-1)</f>
        <v/>
      </c>
      <c r="H134" s="13" t="str">
        <f>IF(OR('实盘净值数据(iFinD公式)'!$A134="",'实盘净值数据(iFinD公式)'!$B134=""),"",分期持仓明细!$AO$19*SUMPRODUCT(分期持仓明细!$B$19:$Y$19,'实盘净值数据(iFinD公式)'!$B134:$Y134/'实盘净值数据(iFinD公式)'!$B$20:$Y$20)*(1-实盘持仓配置!$AM$6)^(('实盘净值数据(iFinD公式)'!$A134-'实盘净值数据(iFinD公式)'!$A$7)/365))</f>
        <v/>
      </c>
      <c r="I134" s="16" t="str">
        <f t="shared" ref="I134:I197" si="23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O$23*(SUMPRODUCT(分期持仓明细!$B$23:$Y$23,'实盘净值数据(iFinD公式)'!$B134:$Y134/'实盘净值数据(iFinD公式)'!$B$65:$Y$65)+SUMPRODUCT(分期持仓明细!$Z$23:$AA$23,'实盘净值数据(iFinD公式)'!$Z134:$AA134/'实盘净值数据(iFinD公式)'!$Z$65:$AA$65))*(1-实盘持仓配置!$AM$7)^(('实盘净值数据(iFinD公式)'!$A134-'实盘净值数据(iFinD公式)'!$A$8)/365))</f>
        <v/>
      </c>
      <c r="L134" s="16" t="str">
        <f t="shared" ref="L134:L197" si="24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O$24*(SUMPRODUCT(分期持仓明细!$B$24:$Y$24,'实盘净值数据(iFinD公式)'!$B134:$Y134/'实盘净值数据(iFinD公式)'!$B$65:$Y$65)+SUMPRODUCT(分期持仓明细!$Z$24:$AA$24,'实盘净值数据(iFinD公式)'!$Z134:$AA134/'实盘净值数据(iFinD公式)'!$Z$65:$AA$65))*(1-实盘持仓配置!$AM$8)^(('实盘净值数据(iFinD公式)'!$A134-'实盘净值数据(iFinD公式)'!$A$5)/365))</f>
        <v/>
      </c>
      <c r="O134" s="16" t="str">
        <f t="shared" ref="O134:O197" si="25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O$25*(SUMPRODUCT(分期持仓明细!$B$25:$Y$25,'实盘净值数据(iFinD公式)'!$B134:$Y134/'实盘净值数据(iFinD公式)'!$B$65:$Y$65)+SUMPRODUCT(分期持仓明细!$Z$25:$AA$25,'实盘净值数据(iFinD公式)'!$Z134:$AA134/'实盘净值数据(iFinD公式)'!$Z$65:$AA$65))*(1-实盘持仓配置!$AM$9)^(('实盘净值数据(iFinD公式)'!$A134-'实盘净值数据(iFinD公式)'!$A$8)/365))</f>
        <v/>
      </c>
      <c r="R134" s="16" t="str">
        <f t="shared" ref="R134:R197" si="26">IF(OR(Q133="",Q134=""),"",Q134/Q133-1)</f>
        <v/>
      </c>
      <c r="S134" s="16" t="str">
        <f>IF(Q134="","",Q134/MAX(Q$5:Q134)-1)</f>
        <v/>
      </c>
      <c r="T134" s="13" t="str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Z$26:$AA$26,'实盘净值数据(iFinD公式)'!$Z134:$AA134/'实盘净值数据(iFinD公式)'!$Z$69:$AA$69)+SUMPRODUCT(分期持仓明细!$AB$26:$AL$26,'实盘净值数据(iFinD公式)'!$AB134:$AL134/'实盘净值数据(iFinD公式)'!$AB$69:$AL$69))*(1-实盘持仓配置!$AM$10)^(('实盘净值数据(iFinD公式)'!$A134-'实盘净值数据(iFinD公式)'!$A$69)/365))</f>
        <v/>
      </c>
      <c r="U134" s="16" t="str">
        <f t="shared" si="20"/>
        <v/>
      </c>
      <c r="V134" s="16" t="str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 t="str">
        <f>IF(OR('实盘净值数据(iFinD公式)'!$A135="",'实盘净值数据(iFinD公式)'!$B135=""),"",分期持仓明细!$AO$17*SUMPRODUCT(分期持仓明细!$B$17:$Y$17,'实盘净值数据(iFinD公式)'!$B135:$Y135/'实盘净值数据(iFinD公式)'!$B$20:$Y$20)*(1-实盘持仓配置!$AM$4)^(('实盘净值数据(iFinD公式)'!$A135-'实盘净值数据(iFinD公式)'!$A$6)/365))</f>
        <v/>
      </c>
      <c r="C135" s="16" t="str">
        <f t="shared" si="21"/>
        <v/>
      </c>
      <c r="D135" s="16" t="str">
        <f>IF(B135="","",B135/MAX(B$5:B135)-1)</f>
        <v/>
      </c>
      <c r="E135" s="13" t="str">
        <f>IF(OR('实盘净值数据(iFinD公式)'!$A135="",'实盘净值数据(iFinD公式)'!$B135=""),"",分期持仓明细!$AO$18*SUMPRODUCT(分期持仓明细!$B$18:$Y$18,'实盘净值数据(iFinD公式)'!$B135:$Y135/'实盘净值数据(iFinD公式)'!$B$20:$Y$20)*(1-实盘持仓配置!$AM$5)^(('实盘净值数据(iFinD公式)'!$A135-'实盘净值数据(iFinD公式)'!$A$5)/365))</f>
        <v/>
      </c>
      <c r="F135" s="16" t="str">
        <f t="shared" si="22"/>
        <v/>
      </c>
      <c r="G135" s="16" t="str">
        <f>IF(E135="","",E135/MAX(E$5:E135)-1)</f>
        <v/>
      </c>
      <c r="H135" s="13" t="str">
        <f>IF(OR('实盘净值数据(iFinD公式)'!$A135="",'实盘净值数据(iFinD公式)'!$B135=""),"",分期持仓明细!$AO$19*SUMPRODUCT(分期持仓明细!$B$19:$Y$19,'实盘净值数据(iFinD公式)'!$B135:$Y135/'实盘净值数据(iFinD公式)'!$B$20:$Y$20)*(1-实盘持仓配置!$AM$6)^(('实盘净值数据(iFinD公式)'!$A135-'实盘净值数据(iFinD公式)'!$A$7)/365))</f>
        <v/>
      </c>
      <c r="I135" s="16" t="str">
        <f t="shared" si="23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O$23*(SUMPRODUCT(分期持仓明细!$B$23:$Y$23,'实盘净值数据(iFinD公式)'!$B135:$Y135/'实盘净值数据(iFinD公式)'!$B$65:$Y$65)+SUMPRODUCT(分期持仓明细!$Z$23:$AA$23,'实盘净值数据(iFinD公式)'!$Z135:$AA135/'实盘净值数据(iFinD公式)'!$Z$65:$AA$65))*(1-实盘持仓配置!$AM$7)^(('实盘净值数据(iFinD公式)'!$A135-'实盘净值数据(iFinD公式)'!$A$8)/365))</f>
        <v/>
      </c>
      <c r="L135" s="16" t="str">
        <f t="shared" si="24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O$24*(SUMPRODUCT(分期持仓明细!$B$24:$Y$24,'实盘净值数据(iFinD公式)'!$B135:$Y135/'实盘净值数据(iFinD公式)'!$B$65:$Y$65)+SUMPRODUCT(分期持仓明细!$Z$24:$AA$24,'实盘净值数据(iFinD公式)'!$Z135:$AA135/'实盘净值数据(iFinD公式)'!$Z$65:$AA$65))*(1-实盘持仓配置!$AM$8)^(('实盘净值数据(iFinD公式)'!$A135-'实盘净值数据(iFinD公式)'!$A$5)/365))</f>
        <v/>
      </c>
      <c r="O135" s="16" t="str">
        <f t="shared" si="25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O$25*(SUMPRODUCT(分期持仓明细!$B$25:$Y$25,'实盘净值数据(iFinD公式)'!$B135:$Y135/'实盘净值数据(iFinD公式)'!$B$65:$Y$65)+SUMPRODUCT(分期持仓明细!$Z$25:$AA$25,'实盘净值数据(iFinD公式)'!$Z135:$AA135/'实盘净值数据(iFinD公式)'!$Z$65:$AA$65))*(1-实盘持仓配置!$AM$9)^(('实盘净值数据(iFinD公式)'!$A135-'实盘净值数据(iFinD公式)'!$A$8)/365))</f>
        <v/>
      </c>
      <c r="R135" s="16" t="str">
        <f t="shared" si="26"/>
        <v/>
      </c>
      <c r="S135" s="16" t="str">
        <f>IF(Q135="","",Q135/MAX(Q$5:Q135)-1)</f>
        <v/>
      </c>
      <c r="T135" s="13" t="str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Z$26:$AA$26,'实盘净值数据(iFinD公式)'!$Z135:$AA135/'实盘净值数据(iFinD公式)'!$Z$69:$AA$69)+SUMPRODUCT(分期持仓明细!$AB$26:$AL$26,'实盘净值数据(iFinD公式)'!$AB135:$AL135/'实盘净值数据(iFinD公式)'!$AB$69:$AL$69))*(1-实盘持仓配置!$AM$10)^(('实盘净值数据(iFinD公式)'!$A135-'实盘净值数据(iFinD公式)'!$A$69)/365))</f>
        <v/>
      </c>
      <c r="U135" s="16" t="str">
        <f t="shared" si="20"/>
        <v/>
      </c>
      <c r="V135" s="16" t="str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 t="str">
        <f>IF(OR('实盘净值数据(iFinD公式)'!$A136="",'实盘净值数据(iFinD公式)'!$B136=""),"",分期持仓明细!$AO$17*SUMPRODUCT(分期持仓明细!$B$17:$Y$17,'实盘净值数据(iFinD公式)'!$B136:$Y136/'实盘净值数据(iFinD公式)'!$B$20:$Y$20)*(1-实盘持仓配置!$AM$4)^(('实盘净值数据(iFinD公式)'!$A136-'实盘净值数据(iFinD公式)'!$A$6)/365))</f>
        <v/>
      </c>
      <c r="C136" s="16" t="str">
        <f t="shared" si="21"/>
        <v/>
      </c>
      <c r="D136" s="16" t="str">
        <f>IF(B136="","",B136/MAX(B$5:B136)-1)</f>
        <v/>
      </c>
      <c r="E136" s="13" t="str">
        <f>IF(OR('实盘净值数据(iFinD公式)'!$A136="",'实盘净值数据(iFinD公式)'!$B136=""),"",分期持仓明细!$AO$18*SUMPRODUCT(分期持仓明细!$B$18:$Y$18,'实盘净值数据(iFinD公式)'!$B136:$Y136/'实盘净值数据(iFinD公式)'!$B$20:$Y$20)*(1-实盘持仓配置!$AM$5)^(('实盘净值数据(iFinD公式)'!$A136-'实盘净值数据(iFinD公式)'!$A$5)/365))</f>
        <v/>
      </c>
      <c r="F136" s="16" t="str">
        <f t="shared" si="22"/>
        <v/>
      </c>
      <c r="G136" s="16" t="str">
        <f>IF(E136="","",E136/MAX(E$5:E136)-1)</f>
        <v/>
      </c>
      <c r="H136" s="13" t="str">
        <f>IF(OR('实盘净值数据(iFinD公式)'!$A136="",'实盘净值数据(iFinD公式)'!$B136=""),"",分期持仓明细!$AO$19*SUMPRODUCT(分期持仓明细!$B$19:$Y$19,'实盘净值数据(iFinD公式)'!$B136:$Y136/'实盘净值数据(iFinD公式)'!$B$20:$Y$20)*(1-实盘持仓配置!$AM$6)^(('实盘净值数据(iFinD公式)'!$A136-'实盘净值数据(iFinD公式)'!$A$7)/365))</f>
        <v/>
      </c>
      <c r="I136" s="16" t="str">
        <f t="shared" si="23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O$23*(SUMPRODUCT(分期持仓明细!$B$23:$Y$23,'实盘净值数据(iFinD公式)'!$B136:$Y136/'实盘净值数据(iFinD公式)'!$B$65:$Y$65)+SUMPRODUCT(分期持仓明细!$Z$23:$AA$23,'实盘净值数据(iFinD公式)'!$Z136:$AA136/'实盘净值数据(iFinD公式)'!$Z$65:$AA$65))*(1-实盘持仓配置!$AM$7)^(('实盘净值数据(iFinD公式)'!$A136-'实盘净值数据(iFinD公式)'!$A$8)/365))</f>
        <v/>
      </c>
      <c r="L136" s="16" t="str">
        <f t="shared" si="24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O$24*(SUMPRODUCT(分期持仓明细!$B$24:$Y$24,'实盘净值数据(iFinD公式)'!$B136:$Y136/'实盘净值数据(iFinD公式)'!$B$65:$Y$65)+SUMPRODUCT(分期持仓明细!$Z$24:$AA$24,'实盘净值数据(iFinD公式)'!$Z136:$AA136/'实盘净值数据(iFinD公式)'!$Z$65:$AA$65))*(1-实盘持仓配置!$AM$8)^(('实盘净值数据(iFinD公式)'!$A136-'实盘净值数据(iFinD公式)'!$A$5)/365))</f>
        <v/>
      </c>
      <c r="O136" s="16" t="str">
        <f t="shared" si="25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O$25*(SUMPRODUCT(分期持仓明细!$B$25:$Y$25,'实盘净值数据(iFinD公式)'!$B136:$Y136/'实盘净值数据(iFinD公式)'!$B$65:$Y$65)+SUMPRODUCT(分期持仓明细!$Z$25:$AA$25,'实盘净值数据(iFinD公式)'!$Z136:$AA136/'实盘净值数据(iFinD公式)'!$Z$65:$AA$65))*(1-实盘持仓配置!$AM$9)^(('实盘净值数据(iFinD公式)'!$A136-'实盘净值数据(iFinD公式)'!$A$8)/365))</f>
        <v/>
      </c>
      <c r="R136" s="16" t="str">
        <f t="shared" si="26"/>
        <v/>
      </c>
      <c r="S136" s="16" t="str">
        <f>IF(Q136="","",Q136/MAX(Q$5:Q136)-1)</f>
        <v/>
      </c>
      <c r="T136" s="13" t="str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Z$26:$AA$26,'实盘净值数据(iFinD公式)'!$Z136:$AA136/'实盘净值数据(iFinD公式)'!$Z$69:$AA$69)+SUMPRODUCT(分期持仓明细!$AB$26:$AL$26,'实盘净值数据(iFinD公式)'!$AB136:$AL136/'实盘净值数据(iFinD公式)'!$AB$69:$AL$69))*(1-实盘持仓配置!$AM$10)^(('实盘净值数据(iFinD公式)'!$A136-'实盘净值数据(iFinD公式)'!$A$69)/365))</f>
        <v/>
      </c>
      <c r="U136" s="16" t="str">
        <f t="shared" si="20"/>
        <v/>
      </c>
      <c r="V136" s="16" t="str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 t="str">
        <f>IF(OR('实盘净值数据(iFinD公式)'!$A137="",'实盘净值数据(iFinD公式)'!$B137=""),"",分期持仓明细!$AO$17*SUMPRODUCT(分期持仓明细!$B$17:$Y$17,'实盘净值数据(iFinD公式)'!$B137:$Y137/'实盘净值数据(iFinD公式)'!$B$20:$Y$20)*(1-实盘持仓配置!$AM$4)^(('实盘净值数据(iFinD公式)'!$A137-'实盘净值数据(iFinD公式)'!$A$6)/365))</f>
        <v/>
      </c>
      <c r="C137" s="16" t="str">
        <f t="shared" si="21"/>
        <v/>
      </c>
      <c r="D137" s="16" t="str">
        <f>IF(B137="","",B137/MAX(B$5:B137)-1)</f>
        <v/>
      </c>
      <c r="E137" s="13" t="str">
        <f>IF(OR('实盘净值数据(iFinD公式)'!$A137="",'实盘净值数据(iFinD公式)'!$B137=""),"",分期持仓明细!$AO$18*SUMPRODUCT(分期持仓明细!$B$18:$Y$18,'实盘净值数据(iFinD公式)'!$B137:$Y137/'实盘净值数据(iFinD公式)'!$B$20:$Y$20)*(1-实盘持仓配置!$AM$5)^(('实盘净值数据(iFinD公式)'!$A137-'实盘净值数据(iFinD公式)'!$A$5)/365))</f>
        <v/>
      </c>
      <c r="F137" s="16" t="str">
        <f t="shared" si="22"/>
        <v/>
      </c>
      <c r="G137" s="16" t="str">
        <f>IF(E137="","",E137/MAX(E$5:E137)-1)</f>
        <v/>
      </c>
      <c r="H137" s="13" t="str">
        <f>IF(OR('实盘净值数据(iFinD公式)'!$A137="",'实盘净值数据(iFinD公式)'!$B137=""),"",分期持仓明细!$AO$19*SUMPRODUCT(分期持仓明细!$B$19:$Y$19,'实盘净值数据(iFinD公式)'!$B137:$Y137/'实盘净值数据(iFinD公式)'!$B$20:$Y$20)*(1-实盘持仓配置!$AM$6)^(('实盘净值数据(iFinD公式)'!$A137-'实盘净值数据(iFinD公式)'!$A$7)/365))</f>
        <v/>
      </c>
      <c r="I137" s="16" t="str">
        <f t="shared" si="23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O$23*(SUMPRODUCT(分期持仓明细!$B$23:$Y$23,'实盘净值数据(iFinD公式)'!$B137:$Y137/'实盘净值数据(iFinD公式)'!$B$65:$Y$65)+SUMPRODUCT(分期持仓明细!$Z$23:$AA$23,'实盘净值数据(iFinD公式)'!$Z137:$AA137/'实盘净值数据(iFinD公式)'!$Z$65:$AA$65))*(1-实盘持仓配置!$AM$7)^(('实盘净值数据(iFinD公式)'!$A137-'实盘净值数据(iFinD公式)'!$A$8)/365))</f>
        <v/>
      </c>
      <c r="L137" s="16" t="str">
        <f t="shared" si="24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O$24*(SUMPRODUCT(分期持仓明细!$B$24:$Y$24,'实盘净值数据(iFinD公式)'!$B137:$Y137/'实盘净值数据(iFinD公式)'!$B$65:$Y$65)+SUMPRODUCT(分期持仓明细!$Z$24:$AA$24,'实盘净值数据(iFinD公式)'!$Z137:$AA137/'实盘净值数据(iFinD公式)'!$Z$65:$AA$65))*(1-实盘持仓配置!$AM$8)^(('实盘净值数据(iFinD公式)'!$A137-'实盘净值数据(iFinD公式)'!$A$5)/365))</f>
        <v/>
      </c>
      <c r="O137" s="16" t="str">
        <f t="shared" si="25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O$25*(SUMPRODUCT(分期持仓明细!$B$25:$Y$25,'实盘净值数据(iFinD公式)'!$B137:$Y137/'实盘净值数据(iFinD公式)'!$B$65:$Y$65)+SUMPRODUCT(分期持仓明细!$Z$25:$AA$25,'实盘净值数据(iFinD公式)'!$Z137:$AA137/'实盘净值数据(iFinD公式)'!$Z$65:$AA$65))*(1-实盘持仓配置!$AM$9)^(('实盘净值数据(iFinD公式)'!$A137-'实盘净值数据(iFinD公式)'!$A$8)/365))</f>
        <v/>
      </c>
      <c r="R137" s="16" t="str">
        <f t="shared" si="26"/>
        <v/>
      </c>
      <c r="S137" s="16" t="str">
        <f>IF(Q137="","",Q137/MAX(Q$5:Q137)-1)</f>
        <v/>
      </c>
      <c r="T137" s="13" t="str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Z$26:$AA$26,'实盘净值数据(iFinD公式)'!$Z137:$AA137/'实盘净值数据(iFinD公式)'!$Z$69:$AA$69)+SUMPRODUCT(分期持仓明细!$AB$26:$AL$26,'实盘净值数据(iFinD公式)'!$AB137:$AL137/'实盘净值数据(iFinD公式)'!$AB$69:$AL$69))*(1-实盘持仓配置!$AM$10)^(('实盘净值数据(iFinD公式)'!$A137-'实盘净值数据(iFinD公式)'!$A$69)/365))</f>
        <v/>
      </c>
      <c r="U137" s="16" t="str">
        <f t="shared" si="20"/>
        <v/>
      </c>
      <c r="V137" s="16" t="str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 t="str">
        <f>IF(OR('实盘净值数据(iFinD公式)'!$A138="",'实盘净值数据(iFinD公式)'!$B138=""),"",分期持仓明细!$AO$17*SUMPRODUCT(分期持仓明细!$B$17:$Y$17,'实盘净值数据(iFinD公式)'!$B138:$Y138/'实盘净值数据(iFinD公式)'!$B$20:$Y$20)*(1-实盘持仓配置!$AM$4)^(('实盘净值数据(iFinD公式)'!$A138-'实盘净值数据(iFinD公式)'!$A$6)/365))</f>
        <v/>
      </c>
      <c r="C138" s="16" t="str">
        <f t="shared" si="21"/>
        <v/>
      </c>
      <c r="D138" s="16" t="str">
        <f>IF(B138="","",B138/MAX(B$5:B138)-1)</f>
        <v/>
      </c>
      <c r="E138" s="13" t="str">
        <f>IF(OR('实盘净值数据(iFinD公式)'!$A138="",'实盘净值数据(iFinD公式)'!$B138=""),"",分期持仓明细!$AO$18*SUMPRODUCT(分期持仓明细!$B$18:$Y$18,'实盘净值数据(iFinD公式)'!$B138:$Y138/'实盘净值数据(iFinD公式)'!$B$20:$Y$20)*(1-实盘持仓配置!$AM$5)^(('实盘净值数据(iFinD公式)'!$A138-'实盘净值数据(iFinD公式)'!$A$5)/365))</f>
        <v/>
      </c>
      <c r="F138" s="16" t="str">
        <f t="shared" si="22"/>
        <v/>
      </c>
      <c r="G138" s="16" t="str">
        <f>IF(E138="","",E138/MAX(E$5:E138)-1)</f>
        <v/>
      </c>
      <c r="H138" s="13" t="str">
        <f>IF(OR('实盘净值数据(iFinD公式)'!$A138="",'实盘净值数据(iFinD公式)'!$B138=""),"",分期持仓明细!$AO$19*SUMPRODUCT(分期持仓明细!$B$19:$Y$19,'实盘净值数据(iFinD公式)'!$B138:$Y138/'实盘净值数据(iFinD公式)'!$B$20:$Y$20)*(1-实盘持仓配置!$AM$6)^(('实盘净值数据(iFinD公式)'!$A138-'实盘净值数据(iFinD公式)'!$A$7)/365))</f>
        <v/>
      </c>
      <c r="I138" s="16" t="str">
        <f t="shared" si="23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O$23*(SUMPRODUCT(分期持仓明细!$B$23:$Y$23,'实盘净值数据(iFinD公式)'!$B138:$Y138/'实盘净值数据(iFinD公式)'!$B$65:$Y$65)+SUMPRODUCT(分期持仓明细!$Z$23:$AA$23,'实盘净值数据(iFinD公式)'!$Z138:$AA138/'实盘净值数据(iFinD公式)'!$Z$65:$AA$65))*(1-实盘持仓配置!$AM$7)^(('实盘净值数据(iFinD公式)'!$A138-'实盘净值数据(iFinD公式)'!$A$8)/365))</f>
        <v/>
      </c>
      <c r="L138" s="16" t="str">
        <f t="shared" si="24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O$24*(SUMPRODUCT(分期持仓明细!$B$24:$Y$24,'实盘净值数据(iFinD公式)'!$B138:$Y138/'实盘净值数据(iFinD公式)'!$B$65:$Y$65)+SUMPRODUCT(分期持仓明细!$Z$24:$AA$24,'实盘净值数据(iFinD公式)'!$Z138:$AA138/'实盘净值数据(iFinD公式)'!$Z$65:$AA$65))*(1-实盘持仓配置!$AM$8)^(('实盘净值数据(iFinD公式)'!$A138-'实盘净值数据(iFinD公式)'!$A$5)/365))</f>
        <v/>
      </c>
      <c r="O138" s="16" t="str">
        <f t="shared" si="25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O$25*(SUMPRODUCT(分期持仓明细!$B$25:$Y$25,'实盘净值数据(iFinD公式)'!$B138:$Y138/'实盘净值数据(iFinD公式)'!$B$65:$Y$65)+SUMPRODUCT(分期持仓明细!$Z$25:$AA$25,'实盘净值数据(iFinD公式)'!$Z138:$AA138/'实盘净值数据(iFinD公式)'!$Z$65:$AA$65))*(1-实盘持仓配置!$AM$9)^(('实盘净值数据(iFinD公式)'!$A138-'实盘净值数据(iFinD公式)'!$A$8)/365))</f>
        <v/>
      </c>
      <c r="R138" s="16" t="str">
        <f t="shared" si="26"/>
        <v/>
      </c>
      <c r="S138" s="16" t="str">
        <f>IF(Q138="","",Q138/MAX(Q$5:Q138)-1)</f>
        <v/>
      </c>
      <c r="T138" s="13" t="str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Z$26:$AA$26,'实盘净值数据(iFinD公式)'!$Z138:$AA138/'实盘净值数据(iFinD公式)'!$Z$69:$AA$69)+SUMPRODUCT(分期持仓明细!$AB$26:$AL$26,'实盘净值数据(iFinD公式)'!$AB138:$AL138/'实盘净值数据(iFinD公式)'!$AB$69:$AL$69))*(1-实盘持仓配置!$AM$10)^(('实盘净值数据(iFinD公式)'!$A138-'实盘净值数据(iFinD公式)'!$A$69)/365))</f>
        <v/>
      </c>
      <c r="U138" s="16" t="str">
        <f t="shared" si="20"/>
        <v/>
      </c>
      <c r="V138" s="16" t="str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 t="str">
        <f>IF(OR('实盘净值数据(iFinD公式)'!$A139="",'实盘净值数据(iFinD公式)'!$B139=""),"",分期持仓明细!$AO$17*SUMPRODUCT(分期持仓明细!$B$17:$Y$17,'实盘净值数据(iFinD公式)'!$B139:$Y139/'实盘净值数据(iFinD公式)'!$B$20:$Y$20)*(1-实盘持仓配置!$AM$4)^(('实盘净值数据(iFinD公式)'!$A139-'实盘净值数据(iFinD公式)'!$A$6)/365))</f>
        <v/>
      </c>
      <c r="C139" s="16" t="str">
        <f t="shared" si="21"/>
        <v/>
      </c>
      <c r="D139" s="16" t="str">
        <f>IF(B139="","",B139/MAX(B$5:B139)-1)</f>
        <v/>
      </c>
      <c r="E139" s="13" t="str">
        <f>IF(OR('实盘净值数据(iFinD公式)'!$A139="",'实盘净值数据(iFinD公式)'!$B139=""),"",分期持仓明细!$AO$18*SUMPRODUCT(分期持仓明细!$B$18:$Y$18,'实盘净值数据(iFinD公式)'!$B139:$Y139/'实盘净值数据(iFinD公式)'!$B$20:$Y$20)*(1-实盘持仓配置!$AM$5)^(('实盘净值数据(iFinD公式)'!$A139-'实盘净值数据(iFinD公式)'!$A$5)/365))</f>
        <v/>
      </c>
      <c r="F139" s="16" t="str">
        <f t="shared" si="22"/>
        <v/>
      </c>
      <c r="G139" s="16" t="str">
        <f>IF(E139="","",E139/MAX(E$5:E139)-1)</f>
        <v/>
      </c>
      <c r="H139" s="13" t="str">
        <f>IF(OR('实盘净值数据(iFinD公式)'!$A139="",'实盘净值数据(iFinD公式)'!$B139=""),"",分期持仓明细!$AO$19*SUMPRODUCT(分期持仓明细!$B$19:$Y$19,'实盘净值数据(iFinD公式)'!$B139:$Y139/'实盘净值数据(iFinD公式)'!$B$20:$Y$20)*(1-实盘持仓配置!$AM$6)^(('实盘净值数据(iFinD公式)'!$A139-'实盘净值数据(iFinD公式)'!$A$7)/365))</f>
        <v/>
      </c>
      <c r="I139" s="16" t="str">
        <f t="shared" si="23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O$23*(SUMPRODUCT(分期持仓明细!$B$23:$Y$23,'实盘净值数据(iFinD公式)'!$B139:$Y139/'实盘净值数据(iFinD公式)'!$B$65:$Y$65)+SUMPRODUCT(分期持仓明细!$Z$23:$AA$23,'实盘净值数据(iFinD公式)'!$Z139:$AA139/'实盘净值数据(iFinD公式)'!$Z$65:$AA$65))*(1-实盘持仓配置!$AM$7)^(('实盘净值数据(iFinD公式)'!$A139-'实盘净值数据(iFinD公式)'!$A$8)/365))</f>
        <v/>
      </c>
      <c r="L139" s="16" t="str">
        <f t="shared" si="24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O$24*(SUMPRODUCT(分期持仓明细!$B$24:$Y$24,'实盘净值数据(iFinD公式)'!$B139:$Y139/'实盘净值数据(iFinD公式)'!$B$65:$Y$65)+SUMPRODUCT(分期持仓明细!$Z$24:$AA$24,'实盘净值数据(iFinD公式)'!$Z139:$AA139/'实盘净值数据(iFinD公式)'!$Z$65:$AA$65))*(1-实盘持仓配置!$AM$8)^(('实盘净值数据(iFinD公式)'!$A139-'实盘净值数据(iFinD公式)'!$A$5)/365))</f>
        <v/>
      </c>
      <c r="O139" s="16" t="str">
        <f t="shared" si="25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O$25*(SUMPRODUCT(分期持仓明细!$B$25:$Y$25,'实盘净值数据(iFinD公式)'!$B139:$Y139/'实盘净值数据(iFinD公式)'!$B$65:$Y$65)+SUMPRODUCT(分期持仓明细!$Z$25:$AA$25,'实盘净值数据(iFinD公式)'!$Z139:$AA139/'实盘净值数据(iFinD公式)'!$Z$65:$AA$65))*(1-实盘持仓配置!$AM$9)^(('实盘净值数据(iFinD公式)'!$A139-'实盘净值数据(iFinD公式)'!$A$8)/365))</f>
        <v/>
      </c>
      <c r="R139" s="16" t="str">
        <f t="shared" si="26"/>
        <v/>
      </c>
      <c r="S139" s="16" t="str">
        <f>IF(Q139="","",Q139/MAX(Q$5:Q139)-1)</f>
        <v/>
      </c>
      <c r="T139" s="13" t="str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Z$26:$AA$26,'实盘净值数据(iFinD公式)'!$Z139:$AA139/'实盘净值数据(iFinD公式)'!$Z$69:$AA$69)+SUMPRODUCT(分期持仓明细!$AB$26:$AL$26,'实盘净值数据(iFinD公式)'!$AB139:$AL139/'实盘净值数据(iFinD公式)'!$AB$69:$AL$69))*(1-实盘持仓配置!$AM$10)^(('实盘净值数据(iFinD公式)'!$A139-'实盘净值数据(iFinD公式)'!$A$69)/365))</f>
        <v/>
      </c>
      <c r="U139" s="16" t="str">
        <f t="shared" si="20"/>
        <v/>
      </c>
      <c r="V139" s="16" t="str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 t="str">
        <f>IF(OR('实盘净值数据(iFinD公式)'!$A140="",'实盘净值数据(iFinD公式)'!$B140=""),"",分期持仓明细!$AO$17*SUMPRODUCT(分期持仓明细!$B$17:$Y$17,'实盘净值数据(iFinD公式)'!$B140:$Y140/'实盘净值数据(iFinD公式)'!$B$20:$Y$20)*(1-实盘持仓配置!$AM$4)^(('实盘净值数据(iFinD公式)'!$A140-'实盘净值数据(iFinD公式)'!$A$6)/365))</f>
        <v/>
      </c>
      <c r="C140" s="16" t="str">
        <f t="shared" si="21"/>
        <v/>
      </c>
      <c r="D140" s="16" t="str">
        <f>IF(B140="","",B140/MAX(B$5:B140)-1)</f>
        <v/>
      </c>
      <c r="E140" s="13" t="str">
        <f>IF(OR('实盘净值数据(iFinD公式)'!$A140="",'实盘净值数据(iFinD公式)'!$B140=""),"",分期持仓明细!$AO$18*SUMPRODUCT(分期持仓明细!$B$18:$Y$18,'实盘净值数据(iFinD公式)'!$B140:$Y140/'实盘净值数据(iFinD公式)'!$B$20:$Y$20)*(1-实盘持仓配置!$AM$5)^(('实盘净值数据(iFinD公式)'!$A140-'实盘净值数据(iFinD公式)'!$A$5)/365))</f>
        <v/>
      </c>
      <c r="F140" s="16" t="str">
        <f t="shared" si="22"/>
        <v/>
      </c>
      <c r="G140" s="16" t="str">
        <f>IF(E140="","",E140/MAX(E$5:E140)-1)</f>
        <v/>
      </c>
      <c r="H140" s="13" t="str">
        <f>IF(OR('实盘净值数据(iFinD公式)'!$A140="",'实盘净值数据(iFinD公式)'!$B140=""),"",分期持仓明细!$AO$19*SUMPRODUCT(分期持仓明细!$B$19:$Y$19,'实盘净值数据(iFinD公式)'!$B140:$Y140/'实盘净值数据(iFinD公式)'!$B$20:$Y$20)*(1-实盘持仓配置!$AM$6)^(('实盘净值数据(iFinD公式)'!$A140-'实盘净值数据(iFinD公式)'!$A$7)/365))</f>
        <v/>
      </c>
      <c r="I140" s="16" t="str">
        <f t="shared" si="23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O$23*(SUMPRODUCT(分期持仓明细!$B$23:$Y$23,'实盘净值数据(iFinD公式)'!$B140:$Y140/'实盘净值数据(iFinD公式)'!$B$65:$Y$65)+SUMPRODUCT(分期持仓明细!$Z$23:$AA$23,'实盘净值数据(iFinD公式)'!$Z140:$AA140/'实盘净值数据(iFinD公式)'!$Z$65:$AA$65))*(1-实盘持仓配置!$AM$7)^(('实盘净值数据(iFinD公式)'!$A140-'实盘净值数据(iFinD公式)'!$A$8)/365))</f>
        <v/>
      </c>
      <c r="L140" s="16" t="str">
        <f t="shared" si="24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O$24*(SUMPRODUCT(分期持仓明细!$B$24:$Y$24,'实盘净值数据(iFinD公式)'!$B140:$Y140/'实盘净值数据(iFinD公式)'!$B$65:$Y$65)+SUMPRODUCT(分期持仓明细!$Z$24:$AA$24,'实盘净值数据(iFinD公式)'!$Z140:$AA140/'实盘净值数据(iFinD公式)'!$Z$65:$AA$65))*(1-实盘持仓配置!$AM$8)^(('实盘净值数据(iFinD公式)'!$A140-'实盘净值数据(iFinD公式)'!$A$5)/365))</f>
        <v/>
      </c>
      <c r="O140" s="16" t="str">
        <f t="shared" si="25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O$25*(SUMPRODUCT(分期持仓明细!$B$25:$Y$25,'实盘净值数据(iFinD公式)'!$B140:$Y140/'实盘净值数据(iFinD公式)'!$B$65:$Y$65)+SUMPRODUCT(分期持仓明细!$Z$25:$AA$25,'实盘净值数据(iFinD公式)'!$Z140:$AA140/'实盘净值数据(iFinD公式)'!$Z$65:$AA$65))*(1-实盘持仓配置!$AM$9)^(('实盘净值数据(iFinD公式)'!$A140-'实盘净值数据(iFinD公式)'!$A$8)/365))</f>
        <v/>
      </c>
      <c r="R140" s="16" t="str">
        <f t="shared" si="26"/>
        <v/>
      </c>
      <c r="S140" s="16" t="str">
        <f>IF(Q140="","",Q140/MAX(Q$5:Q140)-1)</f>
        <v/>
      </c>
      <c r="T140" s="13" t="str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Z$26:$AA$26,'实盘净值数据(iFinD公式)'!$Z140:$AA140/'实盘净值数据(iFinD公式)'!$Z$69:$AA$69)+SUMPRODUCT(分期持仓明细!$AB$26:$AL$26,'实盘净值数据(iFinD公式)'!$AB140:$AL140/'实盘净值数据(iFinD公式)'!$AB$69:$AL$69))*(1-实盘持仓配置!$AM$10)^(('实盘净值数据(iFinD公式)'!$A140-'实盘净值数据(iFinD公式)'!$A$69)/365))</f>
        <v/>
      </c>
      <c r="U140" s="16" t="str">
        <f t="shared" si="20"/>
        <v/>
      </c>
      <c r="V140" s="16" t="str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 t="str">
        <f>IF(OR('实盘净值数据(iFinD公式)'!$A141="",'实盘净值数据(iFinD公式)'!$B141=""),"",分期持仓明细!$AO$17*SUMPRODUCT(分期持仓明细!$B$17:$Y$17,'实盘净值数据(iFinD公式)'!$B141:$Y141/'实盘净值数据(iFinD公式)'!$B$20:$Y$20)*(1-实盘持仓配置!$AM$4)^(('实盘净值数据(iFinD公式)'!$A141-'实盘净值数据(iFinD公式)'!$A$6)/365))</f>
        <v/>
      </c>
      <c r="C141" s="16" t="str">
        <f t="shared" si="21"/>
        <v/>
      </c>
      <c r="D141" s="16" t="str">
        <f>IF(B141="","",B141/MAX(B$5:B141)-1)</f>
        <v/>
      </c>
      <c r="E141" s="13" t="str">
        <f>IF(OR('实盘净值数据(iFinD公式)'!$A141="",'实盘净值数据(iFinD公式)'!$B141=""),"",分期持仓明细!$AO$18*SUMPRODUCT(分期持仓明细!$B$18:$Y$18,'实盘净值数据(iFinD公式)'!$B141:$Y141/'实盘净值数据(iFinD公式)'!$B$20:$Y$20)*(1-实盘持仓配置!$AM$5)^(('实盘净值数据(iFinD公式)'!$A141-'实盘净值数据(iFinD公式)'!$A$5)/365))</f>
        <v/>
      </c>
      <c r="F141" s="16" t="str">
        <f t="shared" si="22"/>
        <v/>
      </c>
      <c r="G141" s="16" t="str">
        <f>IF(E141="","",E141/MAX(E$5:E141)-1)</f>
        <v/>
      </c>
      <c r="H141" s="13" t="str">
        <f>IF(OR('实盘净值数据(iFinD公式)'!$A141="",'实盘净值数据(iFinD公式)'!$B141=""),"",分期持仓明细!$AO$19*SUMPRODUCT(分期持仓明细!$B$19:$Y$19,'实盘净值数据(iFinD公式)'!$B141:$Y141/'实盘净值数据(iFinD公式)'!$B$20:$Y$20)*(1-实盘持仓配置!$AM$6)^(('实盘净值数据(iFinD公式)'!$A141-'实盘净值数据(iFinD公式)'!$A$7)/365))</f>
        <v/>
      </c>
      <c r="I141" s="16" t="str">
        <f t="shared" si="23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O$23*(SUMPRODUCT(分期持仓明细!$B$23:$Y$23,'实盘净值数据(iFinD公式)'!$B141:$Y141/'实盘净值数据(iFinD公式)'!$B$65:$Y$65)+SUMPRODUCT(分期持仓明细!$Z$23:$AA$23,'实盘净值数据(iFinD公式)'!$Z141:$AA141/'实盘净值数据(iFinD公式)'!$Z$65:$AA$65))*(1-实盘持仓配置!$AM$7)^(('实盘净值数据(iFinD公式)'!$A141-'实盘净值数据(iFinD公式)'!$A$8)/365))</f>
        <v/>
      </c>
      <c r="L141" s="16" t="str">
        <f t="shared" si="24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O$24*(SUMPRODUCT(分期持仓明细!$B$24:$Y$24,'实盘净值数据(iFinD公式)'!$B141:$Y141/'实盘净值数据(iFinD公式)'!$B$65:$Y$65)+SUMPRODUCT(分期持仓明细!$Z$24:$AA$24,'实盘净值数据(iFinD公式)'!$Z141:$AA141/'实盘净值数据(iFinD公式)'!$Z$65:$AA$65))*(1-实盘持仓配置!$AM$8)^(('实盘净值数据(iFinD公式)'!$A141-'实盘净值数据(iFinD公式)'!$A$5)/365))</f>
        <v/>
      </c>
      <c r="O141" s="16" t="str">
        <f t="shared" si="25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O$25*(SUMPRODUCT(分期持仓明细!$B$25:$Y$25,'实盘净值数据(iFinD公式)'!$B141:$Y141/'实盘净值数据(iFinD公式)'!$B$65:$Y$65)+SUMPRODUCT(分期持仓明细!$Z$25:$AA$25,'实盘净值数据(iFinD公式)'!$Z141:$AA141/'实盘净值数据(iFinD公式)'!$Z$65:$AA$65))*(1-实盘持仓配置!$AM$9)^(('实盘净值数据(iFinD公式)'!$A141-'实盘净值数据(iFinD公式)'!$A$8)/365))</f>
        <v/>
      </c>
      <c r="R141" s="16" t="str">
        <f t="shared" si="26"/>
        <v/>
      </c>
      <c r="S141" s="16" t="str">
        <f>IF(Q141="","",Q141/MAX(Q$5:Q141)-1)</f>
        <v/>
      </c>
      <c r="T141" s="13" t="str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Z$26:$AA$26,'实盘净值数据(iFinD公式)'!$Z141:$AA141/'实盘净值数据(iFinD公式)'!$Z$69:$AA$69)+SUMPRODUCT(分期持仓明细!$AB$26:$AL$26,'实盘净值数据(iFinD公式)'!$AB141:$AL141/'实盘净值数据(iFinD公式)'!$AB$69:$AL$69))*(1-实盘持仓配置!$AM$10)^(('实盘净值数据(iFinD公式)'!$A141-'实盘净值数据(iFinD公式)'!$A$69)/365))</f>
        <v/>
      </c>
      <c r="U141" s="16" t="str">
        <f t="shared" si="20"/>
        <v/>
      </c>
      <c r="V141" s="16" t="str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 t="str">
        <f>IF(OR('实盘净值数据(iFinD公式)'!$A142="",'实盘净值数据(iFinD公式)'!$B142=""),"",分期持仓明细!$AO$17*SUMPRODUCT(分期持仓明细!$B$17:$Y$17,'实盘净值数据(iFinD公式)'!$B142:$Y142/'实盘净值数据(iFinD公式)'!$B$20:$Y$20)*(1-实盘持仓配置!$AM$4)^(('实盘净值数据(iFinD公式)'!$A142-'实盘净值数据(iFinD公式)'!$A$6)/365))</f>
        <v/>
      </c>
      <c r="C142" s="16" t="str">
        <f t="shared" si="21"/>
        <v/>
      </c>
      <c r="D142" s="16" t="str">
        <f>IF(B142="","",B142/MAX(B$5:B142)-1)</f>
        <v/>
      </c>
      <c r="E142" s="13" t="str">
        <f>IF(OR('实盘净值数据(iFinD公式)'!$A142="",'实盘净值数据(iFinD公式)'!$B142=""),"",分期持仓明细!$AO$18*SUMPRODUCT(分期持仓明细!$B$18:$Y$18,'实盘净值数据(iFinD公式)'!$B142:$Y142/'实盘净值数据(iFinD公式)'!$B$20:$Y$20)*(1-实盘持仓配置!$AM$5)^(('实盘净值数据(iFinD公式)'!$A142-'实盘净值数据(iFinD公式)'!$A$5)/365))</f>
        <v/>
      </c>
      <c r="F142" s="16" t="str">
        <f t="shared" si="22"/>
        <v/>
      </c>
      <c r="G142" s="16" t="str">
        <f>IF(E142="","",E142/MAX(E$5:E142)-1)</f>
        <v/>
      </c>
      <c r="H142" s="13" t="str">
        <f>IF(OR('实盘净值数据(iFinD公式)'!$A142="",'实盘净值数据(iFinD公式)'!$B142=""),"",分期持仓明细!$AO$19*SUMPRODUCT(分期持仓明细!$B$19:$Y$19,'实盘净值数据(iFinD公式)'!$B142:$Y142/'实盘净值数据(iFinD公式)'!$B$20:$Y$20)*(1-实盘持仓配置!$AM$6)^(('实盘净值数据(iFinD公式)'!$A142-'实盘净值数据(iFinD公式)'!$A$7)/365))</f>
        <v/>
      </c>
      <c r="I142" s="16" t="str">
        <f t="shared" si="23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O$23*(SUMPRODUCT(分期持仓明细!$B$23:$Y$23,'实盘净值数据(iFinD公式)'!$B142:$Y142/'实盘净值数据(iFinD公式)'!$B$65:$Y$65)+SUMPRODUCT(分期持仓明细!$Z$23:$AA$23,'实盘净值数据(iFinD公式)'!$Z142:$AA142/'实盘净值数据(iFinD公式)'!$Z$65:$AA$65))*(1-实盘持仓配置!$AM$7)^(('实盘净值数据(iFinD公式)'!$A142-'实盘净值数据(iFinD公式)'!$A$8)/365))</f>
        <v/>
      </c>
      <c r="L142" s="16" t="str">
        <f t="shared" si="24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O$24*(SUMPRODUCT(分期持仓明细!$B$24:$Y$24,'实盘净值数据(iFinD公式)'!$B142:$Y142/'实盘净值数据(iFinD公式)'!$B$65:$Y$65)+SUMPRODUCT(分期持仓明细!$Z$24:$AA$24,'实盘净值数据(iFinD公式)'!$Z142:$AA142/'实盘净值数据(iFinD公式)'!$Z$65:$AA$65))*(1-实盘持仓配置!$AM$8)^(('实盘净值数据(iFinD公式)'!$A142-'实盘净值数据(iFinD公式)'!$A$5)/365))</f>
        <v/>
      </c>
      <c r="O142" s="16" t="str">
        <f t="shared" si="25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O$25*(SUMPRODUCT(分期持仓明细!$B$25:$Y$25,'实盘净值数据(iFinD公式)'!$B142:$Y142/'实盘净值数据(iFinD公式)'!$B$65:$Y$65)+SUMPRODUCT(分期持仓明细!$Z$25:$AA$25,'实盘净值数据(iFinD公式)'!$Z142:$AA142/'实盘净值数据(iFinD公式)'!$Z$65:$AA$65))*(1-实盘持仓配置!$AM$9)^(('实盘净值数据(iFinD公式)'!$A142-'实盘净值数据(iFinD公式)'!$A$8)/365))</f>
        <v/>
      </c>
      <c r="R142" s="16" t="str">
        <f t="shared" si="26"/>
        <v/>
      </c>
      <c r="S142" s="16" t="str">
        <f>IF(Q142="","",Q142/MAX(Q$5:Q142)-1)</f>
        <v/>
      </c>
      <c r="T142" s="13" t="str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Z$26:$AA$26,'实盘净值数据(iFinD公式)'!$Z142:$AA142/'实盘净值数据(iFinD公式)'!$Z$69:$AA$69)+SUMPRODUCT(分期持仓明细!$AB$26:$AL$26,'实盘净值数据(iFinD公式)'!$AB142:$AL142/'实盘净值数据(iFinD公式)'!$AB$69:$AL$69))*(1-实盘持仓配置!$AM$10)^(('实盘净值数据(iFinD公式)'!$A142-'实盘净值数据(iFinD公式)'!$A$69)/365))</f>
        <v/>
      </c>
      <c r="U142" s="16" t="str">
        <f t="shared" si="20"/>
        <v/>
      </c>
      <c r="V142" s="16" t="str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 t="str">
        <f>IF(OR('实盘净值数据(iFinD公式)'!$A143="",'实盘净值数据(iFinD公式)'!$B143=""),"",分期持仓明细!$AO$17*SUMPRODUCT(分期持仓明细!$B$17:$Y$17,'实盘净值数据(iFinD公式)'!$B143:$Y143/'实盘净值数据(iFinD公式)'!$B$20:$Y$20)*(1-实盘持仓配置!$AM$4)^(('实盘净值数据(iFinD公式)'!$A143-'实盘净值数据(iFinD公式)'!$A$6)/365))</f>
        <v/>
      </c>
      <c r="C143" s="16" t="str">
        <f t="shared" si="21"/>
        <v/>
      </c>
      <c r="D143" s="16" t="str">
        <f>IF(B143="","",B143/MAX(B$5:B143)-1)</f>
        <v/>
      </c>
      <c r="E143" s="13" t="str">
        <f>IF(OR('实盘净值数据(iFinD公式)'!$A143="",'实盘净值数据(iFinD公式)'!$B143=""),"",分期持仓明细!$AO$18*SUMPRODUCT(分期持仓明细!$B$18:$Y$18,'实盘净值数据(iFinD公式)'!$B143:$Y143/'实盘净值数据(iFinD公式)'!$B$20:$Y$20)*(1-实盘持仓配置!$AM$5)^(('实盘净值数据(iFinD公式)'!$A143-'实盘净值数据(iFinD公式)'!$A$5)/365))</f>
        <v/>
      </c>
      <c r="F143" s="16" t="str">
        <f t="shared" si="22"/>
        <v/>
      </c>
      <c r="G143" s="16" t="str">
        <f>IF(E143="","",E143/MAX(E$5:E143)-1)</f>
        <v/>
      </c>
      <c r="H143" s="13" t="str">
        <f>IF(OR('实盘净值数据(iFinD公式)'!$A143="",'实盘净值数据(iFinD公式)'!$B143=""),"",分期持仓明细!$AO$19*SUMPRODUCT(分期持仓明细!$B$19:$Y$19,'实盘净值数据(iFinD公式)'!$B143:$Y143/'实盘净值数据(iFinD公式)'!$B$20:$Y$20)*(1-实盘持仓配置!$AM$6)^(('实盘净值数据(iFinD公式)'!$A143-'实盘净值数据(iFinD公式)'!$A$7)/365))</f>
        <v/>
      </c>
      <c r="I143" s="16" t="str">
        <f t="shared" si="23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O$23*(SUMPRODUCT(分期持仓明细!$B$23:$Y$23,'实盘净值数据(iFinD公式)'!$B143:$Y143/'实盘净值数据(iFinD公式)'!$B$65:$Y$65)+SUMPRODUCT(分期持仓明细!$Z$23:$AA$23,'实盘净值数据(iFinD公式)'!$Z143:$AA143/'实盘净值数据(iFinD公式)'!$Z$65:$AA$65))*(1-实盘持仓配置!$AM$7)^(('实盘净值数据(iFinD公式)'!$A143-'实盘净值数据(iFinD公式)'!$A$8)/365))</f>
        <v/>
      </c>
      <c r="L143" s="16" t="str">
        <f t="shared" si="24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O$24*(SUMPRODUCT(分期持仓明细!$B$24:$Y$24,'实盘净值数据(iFinD公式)'!$B143:$Y143/'实盘净值数据(iFinD公式)'!$B$65:$Y$65)+SUMPRODUCT(分期持仓明细!$Z$24:$AA$24,'实盘净值数据(iFinD公式)'!$Z143:$AA143/'实盘净值数据(iFinD公式)'!$Z$65:$AA$65))*(1-实盘持仓配置!$AM$8)^(('实盘净值数据(iFinD公式)'!$A143-'实盘净值数据(iFinD公式)'!$A$5)/365))</f>
        <v/>
      </c>
      <c r="O143" s="16" t="str">
        <f t="shared" si="25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O$25*(SUMPRODUCT(分期持仓明细!$B$25:$Y$25,'实盘净值数据(iFinD公式)'!$B143:$Y143/'实盘净值数据(iFinD公式)'!$B$65:$Y$65)+SUMPRODUCT(分期持仓明细!$Z$25:$AA$25,'实盘净值数据(iFinD公式)'!$Z143:$AA143/'实盘净值数据(iFinD公式)'!$Z$65:$AA$65))*(1-实盘持仓配置!$AM$9)^(('实盘净值数据(iFinD公式)'!$A143-'实盘净值数据(iFinD公式)'!$A$8)/365))</f>
        <v/>
      </c>
      <c r="R143" s="16" t="str">
        <f t="shared" si="26"/>
        <v/>
      </c>
      <c r="S143" s="16" t="str">
        <f>IF(Q143="","",Q143/MAX(Q$5:Q143)-1)</f>
        <v/>
      </c>
      <c r="T143" s="13" t="str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Z$26:$AA$26,'实盘净值数据(iFinD公式)'!$Z143:$AA143/'实盘净值数据(iFinD公式)'!$Z$69:$AA$69)+SUMPRODUCT(分期持仓明细!$AB$26:$AL$26,'实盘净值数据(iFinD公式)'!$AB143:$AL143/'实盘净值数据(iFinD公式)'!$AB$69:$AL$69))*(1-实盘持仓配置!$AM$10)^(('实盘净值数据(iFinD公式)'!$A143-'实盘净值数据(iFinD公式)'!$A$69)/365))</f>
        <v/>
      </c>
      <c r="U143" s="16" t="str">
        <f t="shared" si="20"/>
        <v/>
      </c>
      <c r="V143" s="16" t="str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 t="str">
        <f>IF(OR('实盘净值数据(iFinD公式)'!$A144="",'实盘净值数据(iFinD公式)'!$B144=""),"",分期持仓明细!$AO$17*SUMPRODUCT(分期持仓明细!$B$17:$Y$17,'实盘净值数据(iFinD公式)'!$B144:$Y144/'实盘净值数据(iFinD公式)'!$B$20:$Y$20)*(1-实盘持仓配置!$AM$4)^(('实盘净值数据(iFinD公式)'!$A144-'实盘净值数据(iFinD公式)'!$A$6)/365))</f>
        <v/>
      </c>
      <c r="C144" s="16" t="str">
        <f t="shared" si="21"/>
        <v/>
      </c>
      <c r="D144" s="16" t="str">
        <f>IF(B144="","",B144/MAX(B$5:B144)-1)</f>
        <v/>
      </c>
      <c r="E144" s="13" t="str">
        <f>IF(OR('实盘净值数据(iFinD公式)'!$A144="",'实盘净值数据(iFinD公式)'!$B144=""),"",分期持仓明细!$AO$18*SUMPRODUCT(分期持仓明细!$B$18:$Y$18,'实盘净值数据(iFinD公式)'!$B144:$Y144/'实盘净值数据(iFinD公式)'!$B$20:$Y$20)*(1-实盘持仓配置!$AM$5)^(('实盘净值数据(iFinD公式)'!$A144-'实盘净值数据(iFinD公式)'!$A$5)/365))</f>
        <v/>
      </c>
      <c r="F144" s="16" t="str">
        <f t="shared" si="22"/>
        <v/>
      </c>
      <c r="G144" s="16" t="str">
        <f>IF(E144="","",E144/MAX(E$5:E144)-1)</f>
        <v/>
      </c>
      <c r="H144" s="13" t="str">
        <f>IF(OR('实盘净值数据(iFinD公式)'!$A144="",'实盘净值数据(iFinD公式)'!$B144=""),"",分期持仓明细!$AO$19*SUMPRODUCT(分期持仓明细!$B$19:$Y$19,'实盘净值数据(iFinD公式)'!$B144:$Y144/'实盘净值数据(iFinD公式)'!$B$20:$Y$20)*(1-实盘持仓配置!$AM$6)^(('实盘净值数据(iFinD公式)'!$A144-'实盘净值数据(iFinD公式)'!$A$7)/365))</f>
        <v/>
      </c>
      <c r="I144" s="16" t="str">
        <f t="shared" si="23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O$23*(SUMPRODUCT(分期持仓明细!$B$23:$Y$23,'实盘净值数据(iFinD公式)'!$B144:$Y144/'实盘净值数据(iFinD公式)'!$B$65:$Y$65)+SUMPRODUCT(分期持仓明细!$Z$23:$AA$23,'实盘净值数据(iFinD公式)'!$Z144:$AA144/'实盘净值数据(iFinD公式)'!$Z$65:$AA$65))*(1-实盘持仓配置!$AM$7)^(('实盘净值数据(iFinD公式)'!$A144-'实盘净值数据(iFinD公式)'!$A$8)/365))</f>
        <v/>
      </c>
      <c r="L144" s="16" t="str">
        <f t="shared" si="24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O$24*(SUMPRODUCT(分期持仓明细!$B$24:$Y$24,'实盘净值数据(iFinD公式)'!$B144:$Y144/'实盘净值数据(iFinD公式)'!$B$65:$Y$65)+SUMPRODUCT(分期持仓明细!$Z$24:$AA$24,'实盘净值数据(iFinD公式)'!$Z144:$AA144/'实盘净值数据(iFinD公式)'!$Z$65:$AA$65))*(1-实盘持仓配置!$AM$8)^(('实盘净值数据(iFinD公式)'!$A144-'实盘净值数据(iFinD公式)'!$A$5)/365))</f>
        <v/>
      </c>
      <c r="O144" s="16" t="str">
        <f t="shared" si="25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O$25*(SUMPRODUCT(分期持仓明细!$B$25:$Y$25,'实盘净值数据(iFinD公式)'!$B144:$Y144/'实盘净值数据(iFinD公式)'!$B$65:$Y$65)+SUMPRODUCT(分期持仓明细!$Z$25:$AA$25,'实盘净值数据(iFinD公式)'!$Z144:$AA144/'实盘净值数据(iFinD公式)'!$Z$65:$AA$65))*(1-实盘持仓配置!$AM$9)^(('实盘净值数据(iFinD公式)'!$A144-'实盘净值数据(iFinD公式)'!$A$8)/365))</f>
        <v/>
      </c>
      <c r="R144" s="16" t="str">
        <f t="shared" si="26"/>
        <v/>
      </c>
      <c r="S144" s="16" t="str">
        <f>IF(Q144="","",Q144/MAX(Q$5:Q144)-1)</f>
        <v/>
      </c>
      <c r="T144" s="13" t="str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Z$26:$AA$26,'实盘净值数据(iFinD公式)'!$Z144:$AA144/'实盘净值数据(iFinD公式)'!$Z$69:$AA$69)+SUMPRODUCT(分期持仓明细!$AB$26:$AL$26,'实盘净值数据(iFinD公式)'!$AB144:$AL144/'实盘净值数据(iFinD公式)'!$AB$69:$AL$69))*(1-实盘持仓配置!$AM$10)^(('实盘净值数据(iFinD公式)'!$A144-'实盘净值数据(iFinD公式)'!$A$69)/365))</f>
        <v/>
      </c>
      <c r="U144" s="16" t="str">
        <f t="shared" si="20"/>
        <v/>
      </c>
      <c r="V144" s="16" t="str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 t="str">
        <f>IF(OR('实盘净值数据(iFinD公式)'!$A145="",'实盘净值数据(iFinD公式)'!$B145=""),"",分期持仓明细!$AO$17*SUMPRODUCT(分期持仓明细!$B$17:$Y$17,'实盘净值数据(iFinD公式)'!$B145:$Y145/'实盘净值数据(iFinD公式)'!$B$20:$Y$20)*(1-实盘持仓配置!$AM$4)^(('实盘净值数据(iFinD公式)'!$A145-'实盘净值数据(iFinD公式)'!$A$6)/365))</f>
        <v/>
      </c>
      <c r="C145" s="16" t="str">
        <f t="shared" si="21"/>
        <v/>
      </c>
      <c r="D145" s="16" t="str">
        <f>IF(B145="","",B145/MAX(B$5:B145)-1)</f>
        <v/>
      </c>
      <c r="E145" s="13" t="str">
        <f>IF(OR('实盘净值数据(iFinD公式)'!$A145="",'实盘净值数据(iFinD公式)'!$B145=""),"",分期持仓明细!$AO$18*SUMPRODUCT(分期持仓明细!$B$18:$Y$18,'实盘净值数据(iFinD公式)'!$B145:$Y145/'实盘净值数据(iFinD公式)'!$B$20:$Y$20)*(1-实盘持仓配置!$AM$5)^(('实盘净值数据(iFinD公式)'!$A145-'实盘净值数据(iFinD公式)'!$A$5)/365))</f>
        <v/>
      </c>
      <c r="F145" s="16" t="str">
        <f t="shared" si="22"/>
        <v/>
      </c>
      <c r="G145" s="16" t="str">
        <f>IF(E145="","",E145/MAX(E$5:E145)-1)</f>
        <v/>
      </c>
      <c r="H145" s="13" t="str">
        <f>IF(OR('实盘净值数据(iFinD公式)'!$A145="",'实盘净值数据(iFinD公式)'!$B145=""),"",分期持仓明细!$AO$19*SUMPRODUCT(分期持仓明细!$B$19:$Y$19,'实盘净值数据(iFinD公式)'!$B145:$Y145/'实盘净值数据(iFinD公式)'!$B$20:$Y$20)*(1-实盘持仓配置!$AM$6)^(('实盘净值数据(iFinD公式)'!$A145-'实盘净值数据(iFinD公式)'!$A$7)/365))</f>
        <v/>
      </c>
      <c r="I145" s="16" t="str">
        <f t="shared" si="23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O$23*(SUMPRODUCT(分期持仓明细!$B$23:$Y$23,'实盘净值数据(iFinD公式)'!$B145:$Y145/'实盘净值数据(iFinD公式)'!$B$65:$Y$65)+SUMPRODUCT(分期持仓明细!$Z$23:$AA$23,'实盘净值数据(iFinD公式)'!$Z145:$AA145/'实盘净值数据(iFinD公式)'!$Z$65:$AA$65))*(1-实盘持仓配置!$AM$7)^(('实盘净值数据(iFinD公式)'!$A145-'实盘净值数据(iFinD公式)'!$A$8)/365))</f>
        <v/>
      </c>
      <c r="L145" s="16" t="str">
        <f t="shared" si="24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O$24*(SUMPRODUCT(分期持仓明细!$B$24:$Y$24,'实盘净值数据(iFinD公式)'!$B145:$Y145/'实盘净值数据(iFinD公式)'!$B$65:$Y$65)+SUMPRODUCT(分期持仓明细!$Z$24:$AA$24,'实盘净值数据(iFinD公式)'!$Z145:$AA145/'实盘净值数据(iFinD公式)'!$Z$65:$AA$65))*(1-实盘持仓配置!$AM$8)^(('实盘净值数据(iFinD公式)'!$A145-'实盘净值数据(iFinD公式)'!$A$5)/365))</f>
        <v/>
      </c>
      <c r="O145" s="16" t="str">
        <f t="shared" si="25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O$25*(SUMPRODUCT(分期持仓明细!$B$25:$Y$25,'实盘净值数据(iFinD公式)'!$B145:$Y145/'实盘净值数据(iFinD公式)'!$B$65:$Y$65)+SUMPRODUCT(分期持仓明细!$Z$25:$AA$25,'实盘净值数据(iFinD公式)'!$Z145:$AA145/'实盘净值数据(iFinD公式)'!$Z$65:$AA$65))*(1-实盘持仓配置!$AM$9)^(('实盘净值数据(iFinD公式)'!$A145-'实盘净值数据(iFinD公式)'!$A$8)/365))</f>
        <v/>
      </c>
      <c r="R145" s="16" t="str">
        <f t="shared" si="26"/>
        <v/>
      </c>
      <c r="S145" s="16" t="str">
        <f>IF(Q145="","",Q145/MAX(Q$5:Q145)-1)</f>
        <v/>
      </c>
      <c r="T145" s="13" t="str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Z$26:$AA$26,'实盘净值数据(iFinD公式)'!$Z145:$AA145/'实盘净值数据(iFinD公式)'!$Z$69:$AA$69)+SUMPRODUCT(分期持仓明细!$AB$26:$AL$26,'实盘净值数据(iFinD公式)'!$AB145:$AL145/'实盘净值数据(iFinD公式)'!$AB$69:$AL$69))*(1-实盘持仓配置!$AM$10)^(('实盘净值数据(iFinD公式)'!$A145-'实盘净值数据(iFinD公式)'!$A$69)/365))</f>
        <v/>
      </c>
      <c r="U145" s="16" t="str">
        <f t="shared" si="20"/>
        <v/>
      </c>
      <c r="V145" s="16" t="str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 t="str">
        <f>IF(OR('实盘净值数据(iFinD公式)'!$A146="",'实盘净值数据(iFinD公式)'!$B146=""),"",分期持仓明细!$AO$17*SUMPRODUCT(分期持仓明细!$B$17:$Y$17,'实盘净值数据(iFinD公式)'!$B146:$Y146/'实盘净值数据(iFinD公式)'!$B$20:$Y$20)*(1-实盘持仓配置!$AM$4)^(('实盘净值数据(iFinD公式)'!$A146-'实盘净值数据(iFinD公式)'!$A$6)/365))</f>
        <v/>
      </c>
      <c r="C146" s="16" t="str">
        <f t="shared" si="21"/>
        <v/>
      </c>
      <c r="D146" s="16" t="str">
        <f>IF(B146="","",B146/MAX(B$5:B146)-1)</f>
        <v/>
      </c>
      <c r="E146" s="13" t="str">
        <f>IF(OR('实盘净值数据(iFinD公式)'!$A146="",'实盘净值数据(iFinD公式)'!$B146=""),"",分期持仓明细!$AO$18*SUMPRODUCT(分期持仓明细!$B$18:$Y$18,'实盘净值数据(iFinD公式)'!$B146:$Y146/'实盘净值数据(iFinD公式)'!$B$20:$Y$20)*(1-实盘持仓配置!$AM$5)^(('实盘净值数据(iFinD公式)'!$A146-'实盘净值数据(iFinD公式)'!$A$5)/365))</f>
        <v/>
      </c>
      <c r="F146" s="16" t="str">
        <f t="shared" si="22"/>
        <v/>
      </c>
      <c r="G146" s="16" t="str">
        <f>IF(E146="","",E146/MAX(E$5:E146)-1)</f>
        <v/>
      </c>
      <c r="H146" s="13" t="str">
        <f>IF(OR('实盘净值数据(iFinD公式)'!$A146="",'实盘净值数据(iFinD公式)'!$B146=""),"",分期持仓明细!$AO$19*SUMPRODUCT(分期持仓明细!$B$19:$Y$19,'实盘净值数据(iFinD公式)'!$B146:$Y146/'实盘净值数据(iFinD公式)'!$B$20:$Y$20)*(1-实盘持仓配置!$AM$6)^(('实盘净值数据(iFinD公式)'!$A146-'实盘净值数据(iFinD公式)'!$A$7)/365))</f>
        <v/>
      </c>
      <c r="I146" s="16" t="str">
        <f t="shared" si="23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O$23*(SUMPRODUCT(分期持仓明细!$B$23:$Y$23,'实盘净值数据(iFinD公式)'!$B146:$Y146/'实盘净值数据(iFinD公式)'!$B$65:$Y$65)+SUMPRODUCT(分期持仓明细!$Z$23:$AA$23,'实盘净值数据(iFinD公式)'!$Z146:$AA146/'实盘净值数据(iFinD公式)'!$Z$65:$AA$65))*(1-实盘持仓配置!$AM$7)^(('实盘净值数据(iFinD公式)'!$A146-'实盘净值数据(iFinD公式)'!$A$8)/365))</f>
        <v/>
      </c>
      <c r="L146" s="16" t="str">
        <f t="shared" si="24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O$24*(SUMPRODUCT(分期持仓明细!$B$24:$Y$24,'实盘净值数据(iFinD公式)'!$B146:$Y146/'实盘净值数据(iFinD公式)'!$B$65:$Y$65)+SUMPRODUCT(分期持仓明细!$Z$24:$AA$24,'实盘净值数据(iFinD公式)'!$Z146:$AA146/'实盘净值数据(iFinD公式)'!$Z$65:$AA$65))*(1-实盘持仓配置!$AM$8)^(('实盘净值数据(iFinD公式)'!$A146-'实盘净值数据(iFinD公式)'!$A$5)/365))</f>
        <v/>
      </c>
      <c r="O146" s="16" t="str">
        <f t="shared" si="25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O$25*(SUMPRODUCT(分期持仓明细!$B$25:$Y$25,'实盘净值数据(iFinD公式)'!$B146:$Y146/'实盘净值数据(iFinD公式)'!$B$65:$Y$65)+SUMPRODUCT(分期持仓明细!$Z$25:$AA$25,'实盘净值数据(iFinD公式)'!$Z146:$AA146/'实盘净值数据(iFinD公式)'!$Z$65:$AA$65))*(1-实盘持仓配置!$AM$9)^(('实盘净值数据(iFinD公式)'!$A146-'实盘净值数据(iFinD公式)'!$A$8)/365))</f>
        <v/>
      </c>
      <c r="R146" s="16" t="str">
        <f t="shared" si="26"/>
        <v/>
      </c>
      <c r="S146" s="16" t="str">
        <f>IF(Q146="","",Q146/MAX(Q$5:Q146)-1)</f>
        <v/>
      </c>
      <c r="T146" s="13" t="str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Z$26:$AA$26,'实盘净值数据(iFinD公式)'!$Z146:$AA146/'实盘净值数据(iFinD公式)'!$Z$69:$AA$69)+SUMPRODUCT(分期持仓明细!$AB$26:$AL$26,'实盘净值数据(iFinD公式)'!$AB146:$AL146/'实盘净值数据(iFinD公式)'!$AB$69:$AL$69))*(1-实盘持仓配置!$AM$10)^(('实盘净值数据(iFinD公式)'!$A146-'实盘净值数据(iFinD公式)'!$A$69)/365))</f>
        <v/>
      </c>
      <c r="U146" s="16" t="str">
        <f t="shared" si="20"/>
        <v/>
      </c>
      <c r="V146" s="16" t="str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 t="str">
        <f>IF(OR('实盘净值数据(iFinD公式)'!$A147="",'实盘净值数据(iFinD公式)'!$B147=""),"",分期持仓明细!$AO$17*SUMPRODUCT(分期持仓明细!$B$17:$Y$17,'实盘净值数据(iFinD公式)'!$B147:$Y147/'实盘净值数据(iFinD公式)'!$B$20:$Y$20)*(1-实盘持仓配置!$AM$4)^(('实盘净值数据(iFinD公式)'!$A147-'实盘净值数据(iFinD公式)'!$A$6)/365))</f>
        <v/>
      </c>
      <c r="C147" s="16" t="str">
        <f t="shared" si="21"/>
        <v/>
      </c>
      <c r="D147" s="16" t="str">
        <f>IF(B147="","",B147/MAX(B$5:B147)-1)</f>
        <v/>
      </c>
      <c r="E147" s="13" t="str">
        <f>IF(OR('实盘净值数据(iFinD公式)'!$A147="",'实盘净值数据(iFinD公式)'!$B147=""),"",分期持仓明细!$AO$18*SUMPRODUCT(分期持仓明细!$B$18:$Y$18,'实盘净值数据(iFinD公式)'!$B147:$Y147/'实盘净值数据(iFinD公式)'!$B$20:$Y$20)*(1-实盘持仓配置!$AM$5)^(('实盘净值数据(iFinD公式)'!$A147-'实盘净值数据(iFinD公式)'!$A$5)/365))</f>
        <v/>
      </c>
      <c r="F147" s="16" t="str">
        <f t="shared" si="22"/>
        <v/>
      </c>
      <c r="G147" s="16" t="str">
        <f>IF(E147="","",E147/MAX(E$5:E147)-1)</f>
        <v/>
      </c>
      <c r="H147" s="13" t="str">
        <f>IF(OR('实盘净值数据(iFinD公式)'!$A147="",'实盘净值数据(iFinD公式)'!$B147=""),"",分期持仓明细!$AO$19*SUMPRODUCT(分期持仓明细!$B$19:$Y$19,'实盘净值数据(iFinD公式)'!$B147:$Y147/'实盘净值数据(iFinD公式)'!$B$20:$Y$20)*(1-实盘持仓配置!$AM$6)^(('实盘净值数据(iFinD公式)'!$A147-'实盘净值数据(iFinD公式)'!$A$7)/365))</f>
        <v/>
      </c>
      <c r="I147" s="16" t="str">
        <f t="shared" si="23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O$23*(SUMPRODUCT(分期持仓明细!$B$23:$Y$23,'实盘净值数据(iFinD公式)'!$B147:$Y147/'实盘净值数据(iFinD公式)'!$B$65:$Y$65)+SUMPRODUCT(分期持仓明细!$Z$23:$AA$23,'实盘净值数据(iFinD公式)'!$Z147:$AA147/'实盘净值数据(iFinD公式)'!$Z$65:$AA$65))*(1-实盘持仓配置!$AM$7)^(('实盘净值数据(iFinD公式)'!$A147-'实盘净值数据(iFinD公式)'!$A$8)/365))</f>
        <v/>
      </c>
      <c r="L147" s="16" t="str">
        <f t="shared" si="24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O$24*(SUMPRODUCT(分期持仓明细!$B$24:$Y$24,'实盘净值数据(iFinD公式)'!$B147:$Y147/'实盘净值数据(iFinD公式)'!$B$65:$Y$65)+SUMPRODUCT(分期持仓明细!$Z$24:$AA$24,'实盘净值数据(iFinD公式)'!$Z147:$AA147/'实盘净值数据(iFinD公式)'!$Z$65:$AA$65))*(1-实盘持仓配置!$AM$8)^(('实盘净值数据(iFinD公式)'!$A147-'实盘净值数据(iFinD公式)'!$A$5)/365))</f>
        <v/>
      </c>
      <c r="O147" s="16" t="str">
        <f t="shared" si="25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O$25*(SUMPRODUCT(分期持仓明细!$B$25:$Y$25,'实盘净值数据(iFinD公式)'!$B147:$Y147/'实盘净值数据(iFinD公式)'!$B$65:$Y$65)+SUMPRODUCT(分期持仓明细!$Z$25:$AA$25,'实盘净值数据(iFinD公式)'!$Z147:$AA147/'实盘净值数据(iFinD公式)'!$Z$65:$AA$65))*(1-实盘持仓配置!$AM$9)^(('实盘净值数据(iFinD公式)'!$A147-'实盘净值数据(iFinD公式)'!$A$8)/365))</f>
        <v/>
      </c>
      <c r="R147" s="16" t="str">
        <f t="shared" si="26"/>
        <v/>
      </c>
      <c r="S147" s="16" t="str">
        <f>IF(Q147="","",Q147/MAX(Q$5:Q147)-1)</f>
        <v/>
      </c>
      <c r="T147" s="13" t="str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Z$26:$AA$26,'实盘净值数据(iFinD公式)'!$Z147:$AA147/'实盘净值数据(iFinD公式)'!$Z$69:$AA$69)+SUMPRODUCT(分期持仓明细!$AB$26:$AL$26,'实盘净值数据(iFinD公式)'!$AB147:$AL147/'实盘净值数据(iFinD公式)'!$AB$69:$AL$69))*(1-实盘持仓配置!$AM$10)^(('实盘净值数据(iFinD公式)'!$A147-'实盘净值数据(iFinD公式)'!$A$69)/365))</f>
        <v/>
      </c>
      <c r="U147" s="16" t="str">
        <f t="shared" si="20"/>
        <v/>
      </c>
      <c r="V147" s="16" t="str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 t="str">
        <f>IF(OR('实盘净值数据(iFinD公式)'!$A148="",'实盘净值数据(iFinD公式)'!$B148=""),"",分期持仓明细!$AO$17*SUMPRODUCT(分期持仓明细!$B$17:$Y$17,'实盘净值数据(iFinD公式)'!$B148:$Y148/'实盘净值数据(iFinD公式)'!$B$20:$Y$20)*(1-实盘持仓配置!$AM$4)^(('实盘净值数据(iFinD公式)'!$A148-'实盘净值数据(iFinD公式)'!$A$6)/365))</f>
        <v/>
      </c>
      <c r="C148" s="16" t="str">
        <f t="shared" si="21"/>
        <v/>
      </c>
      <c r="D148" s="16" t="str">
        <f>IF(B148="","",B148/MAX(B$5:B148)-1)</f>
        <v/>
      </c>
      <c r="E148" s="13" t="str">
        <f>IF(OR('实盘净值数据(iFinD公式)'!$A148="",'实盘净值数据(iFinD公式)'!$B148=""),"",分期持仓明细!$AO$18*SUMPRODUCT(分期持仓明细!$B$18:$Y$18,'实盘净值数据(iFinD公式)'!$B148:$Y148/'实盘净值数据(iFinD公式)'!$B$20:$Y$20)*(1-实盘持仓配置!$AM$5)^(('实盘净值数据(iFinD公式)'!$A148-'实盘净值数据(iFinD公式)'!$A$5)/365))</f>
        <v/>
      </c>
      <c r="F148" s="16" t="str">
        <f t="shared" si="22"/>
        <v/>
      </c>
      <c r="G148" s="16" t="str">
        <f>IF(E148="","",E148/MAX(E$5:E148)-1)</f>
        <v/>
      </c>
      <c r="H148" s="13" t="str">
        <f>IF(OR('实盘净值数据(iFinD公式)'!$A148="",'实盘净值数据(iFinD公式)'!$B148=""),"",分期持仓明细!$AO$19*SUMPRODUCT(分期持仓明细!$B$19:$Y$19,'实盘净值数据(iFinD公式)'!$B148:$Y148/'实盘净值数据(iFinD公式)'!$B$20:$Y$20)*(1-实盘持仓配置!$AM$6)^(('实盘净值数据(iFinD公式)'!$A148-'实盘净值数据(iFinD公式)'!$A$7)/365))</f>
        <v/>
      </c>
      <c r="I148" s="16" t="str">
        <f t="shared" si="23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O$23*(SUMPRODUCT(分期持仓明细!$B$23:$Y$23,'实盘净值数据(iFinD公式)'!$B148:$Y148/'实盘净值数据(iFinD公式)'!$B$65:$Y$65)+SUMPRODUCT(分期持仓明细!$Z$23:$AA$23,'实盘净值数据(iFinD公式)'!$Z148:$AA148/'实盘净值数据(iFinD公式)'!$Z$65:$AA$65))*(1-实盘持仓配置!$AM$7)^(('实盘净值数据(iFinD公式)'!$A148-'实盘净值数据(iFinD公式)'!$A$8)/365))</f>
        <v/>
      </c>
      <c r="L148" s="16" t="str">
        <f t="shared" si="24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O$24*(SUMPRODUCT(分期持仓明细!$B$24:$Y$24,'实盘净值数据(iFinD公式)'!$B148:$Y148/'实盘净值数据(iFinD公式)'!$B$65:$Y$65)+SUMPRODUCT(分期持仓明细!$Z$24:$AA$24,'实盘净值数据(iFinD公式)'!$Z148:$AA148/'实盘净值数据(iFinD公式)'!$Z$65:$AA$65))*(1-实盘持仓配置!$AM$8)^(('实盘净值数据(iFinD公式)'!$A148-'实盘净值数据(iFinD公式)'!$A$5)/365))</f>
        <v/>
      </c>
      <c r="O148" s="16" t="str">
        <f t="shared" si="25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O$25*(SUMPRODUCT(分期持仓明细!$B$25:$Y$25,'实盘净值数据(iFinD公式)'!$B148:$Y148/'实盘净值数据(iFinD公式)'!$B$65:$Y$65)+SUMPRODUCT(分期持仓明细!$Z$25:$AA$25,'实盘净值数据(iFinD公式)'!$Z148:$AA148/'实盘净值数据(iFinD公式)'!$Z$65:$AA$65))*(1-实盘持仓配置!$AM$9)^(('实盘净值数据(iFinD公式)'!$A148-'实盘净值数据(iFinD公式)'!$A$8)/365))</f>
        <v/>
      </c>
      <c r="R148" s="16" t="str">
        <f t="shared" si="26"/>
        <v/>
      </c>
      <c r="S148" s="16" t="str">
        <f>IF(Q148="","",Q148/MAX(Q$5:Q148)-1)</f>
        <v/>
      </c>
      <c r="T148" s="13" t="str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Z$26:$AA$26,'实盘净值数据(iFinD公式)'!$Z148:$AA148/'实盘净值数据(iFinD公式)'!$Z$69:$AA$69)+SUMPRODUCT(分期持仓明细!$AB$26:$AL$26,'实盘净值数据(iFinD公式)'!$AB148:$AL148/'实盘净值数据(iFinD公式)'!$AB$69:$AL$69))*(1-实盘持仓配置!$AM$10)^(('实盘净值数据(iFinD公式)'!$A148-'实盘净值数据(iFinD公式)'!$A$69)/365))</f>
        <v/>
      </c>
      <c r="U148" s="16" t="str">
        <f t="shared" si="20"/>
        <v/>
      </c>
      <c r="V148" s="16" t="str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 t="str">
        <f>IF(OR('实盘净值数据(iFinD公式)'!$A149="",'实盘净值数据(iFinD公式)'!$B149=""),"",分期持仓明细!$AO$17*SUMPRODUCT(分期持仓明细!$B$17:$Y$17,'实盘净值数据(iFinD公式)'!$B149:$Y149/'实盘净值数据(iFinD公式)'!$B$20:$Y$20)*(1-实盘持仓配置!$AM$4)^(('实盘净值数据(iFinD公式)'!$A149-'实盘净值数据(iFinD公式)'!$A$6)/365))</f>
        <v/>
      </c>
      <c r="C149" s="16" t="str">
        <f t="shared" si="21"/>
        <v/>
      </c>
      <c r="D149" s="16" t="str">
        <f>IF(B149="","",B149/MAX(B$5:B149)-1)</f>
        <v/>
      </c>
      <c r="E149" s="13" t="str">
        <f>IF(OR('实盘净值数据(iFinD公式)'!$A149="",'实盘净值数据(iFinD公式)'!$B149=""),"",分期持仓明细!$AO$18*SUMPRODUCT(分期持仓明细!$B$18:$Y$18,'实盘净值数据(iFinD公式)'!$B149:$Y149/'实盘净值数据(iFinD公式)'!$B$20:$Y$20)*(1-实盘持仓配置!$AM$5)^(('实盘净值数据(iFinD公式)'!$A149-'实盘净值数据(iFinD公式)'!$A$5)/365))</f>
        <v/>
      </c>
      <c r="F149" s="16" t="str">
        <f t="shared" si="22"/>
        <v/>
      </c>
      <c r="G149" s="16" t="str">
        <f>IF(E149="","",E149/MAX(E$5:E149)-1)</f>
        <v/>
      </c>
      <c r="H149" s="13" t="str">
        <f>IF(OR('实盘净值数据(iFinD公式)'!$A149="",'实盘净值数据(iFinD公式)'!$B149=""),"",分期持仓明细!$AO$19*SUMPRODUCT(分期持仓明细!$B$19:$Y$19,'实盘净值数据(iFinD公式)'!$B149:$Y149/'实盘净值数据(iFinD公式)'!$B$20:$Y$20)*(1-实盘持仓配置!$AM$6)^(('实盘净值数据(iFinD公式)'!$A149-'实盘净值数据(iFinD公式)'!$A$7)/365))</f>
        <v/>
      </c>
      <c r="I149" s="16" t="str">
        <f t="shared" si="23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O$23*(SUMPRODUCT(分期持仓明细!$B$23:$Y$23,'实盘净值数据(iFinD公式)'!$B149:$Y149/'实盘净值数据(iFinD公式)'!$B$65:$Y$65)+SUMPRODUCT(分期持仓明细!$Z$23:$AA$23,'实盘净值数据(iFinD公式)'!$Z149:$AA149/'实盘净值数据(iFinD公式)'!$Z$65:$AA$65))*(1-实盘持仓配置!$AM$7)^(('实盘净值数据(iFinD公式)'!$A149-'实盘净值数据(iFinD公式)'!$A$8)/365))</f>
        <v/>
      </c>
      <c r="L149" s="16" t="str">
        <f t="shared" si="24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O$24*(SUMPRODUCT(分期持仓明细!$B$24:$Y$24,'实盘净值数据(iFinD公式)'!$B149:$Y149/'实盘净值数据(iFinD公式)'!$B$65:$Y$65)+SUMPRODUCT(分期持仓明细!$Z$24:$AA$24,'实盘净值数据(iFinD公式)'!$Z149:$AA149/'实盘净值数据(iFinD公式)'!$Z$65:$AA$65))*(1-实盘持仓配置!$AM$8)^(('实盘净值数据(iFinD公式)'!$A149-'实盘净值数据(iFinD公式)'!$A$5)/365))</f>
        <v/>
      </c>
      <c r="O149" s="16" t="str">
        <f t="shared" si="25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O$25*(SUMPRODUCT(分期持仓明细!$B$25:$Y$25,'实盘净值数据(iFinD公式)'!$B149:$Y149/'实盘净值数据(iFinD公式)'!$B$65:$Y$65)+SUMPRODUCT(分期持仓明细!$Z$25:$AA$25,'实盘净值数据(iFinD公式)'!$Z149:$AA149/'实盘净值数据(iFinD公式)'!$Z$65:$AA$65))*(1-实盘持仓配置!$AM$9)^(('实盘净值数据(iFinD公式)'!$A149-'实盘净值数据(iFinD公式)'!$A$8)/365))</f>
        <v/>
      </c>
      <c r="R149" s="16" t="str">
        <f t="shared" si="26"/>
        <v/>
      </c>
      <c r="S149" s="16" t="str">
        <f>IF(Q149="","",Q149/MAX(Q$5:Q149)-1)</f>
        <v/>
      </c>
      <c r="T149" s="13" t="str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Z$26:$AA$26,'实盘净值数据(iFinD公式)'!$Z149:$AA149/'实盘净值数据(iFinD公式)'!$Z$69:$AA$69)+SUMPRODUCT(分期持仓明细!$AB$26:$AL$26,'实盘净值数据(iFinD公式)'!$AB149:$AL149/'实盘净值数据(iFinD公式)'!$AB$69:$AL$69))*(1-实盘持仓配置!$AM$10)^(('实盘净值数据(iFinD公式)'!$A149-'实盘净值数据(iFinD公式)'!$A$69)/365))</f>
        <v/>
      </c>
      <c r="U149" s="16" t="str">
        <f t="shared" si="20"/>
        <v/>
      </c>
      <c r="V149" s="16" t="str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 t="str">
        <f>IF(OR('实盘净值数据(iFinD公式)'!$A150="",'实盘净值数据(iFinD公式)'!$B150=""),"",分期持仓明细!$AO$17*SUMPRODUCT(分期持仓明细!$B$17:$Y$17,'实盘净值数据(iFinD公式)'!$B150:$Y150/'实盘净值数据(iFinD公式)'!$B$20:$Y$20)*(1-实盘持仓配置!$AM$4)^(('实盘净值数据(iFinD公式)'!$A150-'实盘净值数据(iFinD公式)'!$A$6)/365))</f>
        <v/>
      </c>
      <c r="C150" s="16" t="str">
        <f t="shared" si="21"/>
        <v/>
      </c>
      <c r="D150" s="16" t="str">
        <f>IF(B150="","",B150/MAX(B$5:B150)-1)</f>
        <v/>
      </c>
      <c r="E150" s="13" t="str">
        <f>IF(OR('实盘净值数据(iFinD公式)'!$A150="",'实盘净值数据(iFinD公式)'!$B150=""),"",分期持仓明细!$AO$18*SUMPRODUCT(分期持仓明细!$B$18:$Y$18,'实盘净值数据(iFinD公式)'!$B150:$Y150/'实盘净值数据(iFinD公式)'!$B$20:$Y$20)*(1-实盘持仓配置!$AM$5)^(('实盘净值数据(iFinD公式)'!$A150-'实盘净值数据(iFinD公式)'!$A$5)/365))</f>
        <v/>
      </c>
      <c r="F150" s="16" t="str">
        <f t="shared" si="22"/>
        <v/>
      </c>
      <c r="G150" s="16" t="str">
        <f>IF(E150="","",E150/MAX(E$5:E150)-1)</f>
        <v/>
      </c>
      <c r="H150" s="13" t="str">
        <f>IF(OR('实盘净值数据(iFinD公式)'!$A150="",'实盘净值数据(iFinD公式)'!$B150=""),"",分期持仓明细!$AO$19*SUMPRODUCT(分期持仓明细!$B$19:$Y$19,'实盘净值数据(iFinD公式)'!$B150:$Y150/'实盘净值数据(iFinD公式)'!$B$20:$Y$20)*(1-实盘持仓配置!$AM$6)^(('实盘净值数据(iFinD公式)'!$A150-'实盘净值数据(iFinD公式)'!$A$7)/365))</f>
        <v/>
      </c>
      <c r="I150" s="16" t="str">
        <f t="shared" si="23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O$23*(SUMPRODUCT(分期持仓明细!$B$23:$Y$23,'实盘净值数据(iFinD公式)'!$B150:$Y150/'实盘净值数据(iFinD公式)'!$B$65:$Y$65)+SUMPRODUCT(分期持仓明细!$Z$23:$AA$23,'实盘净值数据(iFinD公式)'!$Z150:$AA150/'实盘净值数据(iFinD公式)'!$Z$65:$AA$65))*(1-实盘持仓配置!$AM$7)^(('实盘净值数据(iFinD公式)'!$A150-'实盘净值数据(iFinD公式)'!$A$8)/365))</f>
        <v/>
      </c>
      <c r="L150" s="16" t="str">
        <f t="shared" si="24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O$24*(SUMPRODUCT(分期持仓明细!$B$24:$Y$24,'实盘净值数据(iFinD公式)'!$B150:$Y150/'实盘净值数据(iFinD公式)'!$B$65:$Y$65)+SUMPRODUCT(分期持仓明细!$Z$24:$AA$24,'实盘净值数据(iFinD公式)'!$Z150:$AA150/'实盘净值数据(iFinD公式)'!$Z$65:$AA$65))*(1-实盘持仓配置!$AM$8)^(('实盘净值数据(iFinD公式)'!$A150-'实盘净值数据(iFinD公式)'!$A$5)/365))</f>
        <v/>
      </c>
      <c r="O150" s="16" t="str">
        <f t="shared" si="25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O$25*(SUMPRODUCT(分期持仓明细!$B$25:$Y$25,'实盘净值数据(iFinD公式)'!$B150:$Y150/'实盘净值数据(iFinD公式)'!$B$65:$Y$65)+SUMPRODUCT(分期持仓明细!$Z$25:$AA$25,'实盘净值数据(iFinD公式)'!$Z150:$AA150/'实盘净值数据(iFinD公式)'!$Z$65:$AA$65))*(1-实盘持仓配置!$AM$9)^(('实盘净值数据(iFinD公式)'!$A150-'实盘净值数据(iFinD公式)'!$A$8)/365))</f>
        <v/>
      </c>
      <c r="R150" s="16" t="str">
        <f t="shared" si="26"/>
        <v/>
      </c>
      <c r="S150" s="16" t="str">
        <f>IF(Q150="","",Q150/MAX(Q$5:Q150)-1)</f>
        <v/>
      </c>
      <c r="T150" s="13" t="str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Z$26:$AA$26,'实盘净值数据(iFinD公式)'!$Z150:$AA150/'实盘净值数据(iFinD公式)'!$Z$69:$AA$69)+SUMPRODUCT(分期持仓明细!$AB$26:$AL$26,'实盘净值数据(iFinD公式)'!$AB150:$AL150/'实盘净值数据(iFinD公式)'!$AB$69:$AL$69))*(1-实盘持仓配置!$AM$10)^(('实盘净值数据(iFinD公式)'!$A150-'实盘净值数据(iFinD公式)'!$A$69)/365))</f>
        <v/>
      </c>
      <c r="U150" s="16" t="str">
        <f t="shared" si="20"/>
        <v/>
      </c>
      <c r="V150" s="16" t="str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 t="str">
        <f>IF(OR('实盘净值数据(iFinD公式)'!$A151="",'实盘净值数据(iFinD公式)'!$B151=""),"",分期持仓明细!$AO$17*SUMPRODUCT(分期持仓明细!$B$17:$Y$17,'实盘净值数据(iFinD公式)'!$B151:$Y151/'实盘净值数据(iFinD公式)'!$B$20:$Y$20)*(1-实盘持仓配置!$AM$4)^(('实盘净值数据(iFinD公式)'!$A151-'实盘净值数据(iFinD公式)'!$A$6)/365))</f>
        <v/>
      </c>
      <c r="C151" s="16" t="str">
        <f t="shared" si="21"/>
        <v/>
      </c>
      <c r="D151" s="16" t="str">
        <f>IF(B151="","",B151/MAX(B$5:B151)-1)</f>
        <v/>
      </c>
      <c r="E151" s="13" t="str">
        <f>IF(OR('实盘净值数据(iFinD公式)'!$A151="",'实盘净值数据(iFinD公式)'!$B151=""),"",分期持仓明细!$AO$18*SUMPRODUCT(分期持仓明细!$B$18:$Y$18,'实盘净值数据(iFinD公式)'!$B151:$Y151/'实盘净值数据(iFinD公式)'!$B$20:$Y$20)*(1-实盘持仓配置!$AM$5)^(('实盘净值数据(iFinD公式)'!$A151-'实盘净值数据(iFinD公式)'!$A$5)/365))</f>
        <v/>
      </c>
      <c r="F151" s="16" t="str">
        <f t="shared" si="22"/>
        <v/>
      </c>
      <c r="G151" s="16" t="str">
        <f>IF(E151="","",E151/MAX(E$5:E151)-1)</f>
        <v/>
      </c>
      <c r="H151" s="13" t="str">
        <f>IF(OR('实盘净值数据(iFinD公式)'!$A151="",'实盘净值数据(iFinD公式)'!$B151=""),"",分期持仓明细!$AO$19*SUMPRODUCT(分期持仓明细!$B$19:$Y$19,'实盘净值数据(iFinD公式)'!$B151:$Y151/'实盘净值数据(iFinD公式)'!$B$20:$Y$20)*(1-实盘持仓配置!$AM$6)^(('实盘净值数据(iFinD公式)'!$A151-'实盘净值数据(iFinD公式)'!$A$7)/365))</f>
        <v/>
      </c>
      <c r="I151" s="16" t="str">
        <f t="shared" si="23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O$23*(SUMPRODUCT(分期持仓明细!$B$23:$Y$23,'实盘净值数据(iFinD公式)'!$B151:$Y151/'实盘净值数据(iFinD公式)'!$B$65:$Y$65)+SUMPRODUCT(分期持仓明细!$Z$23:$AA$23,'实盘净值数据(iFinD公式)'!$Z151:$AA151/'实盘净值数据(iFinD公式)'!$Z$65:$AA$65))*(1-实盘持仓配置!$AM$7)^(('实盘净值数据(iFinD公式)'!$A151-'实盘净值数据(iFinD公式)'!$A$8)/365))</f>
        <v/>
      </c>
      <c r="L151" s="16" t="str">
        <f t="shared" si="24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O$24*(SUMPRODUCT(分期持仓明细!$B$24:$Y$24,'实盘净值数据(iFinD公式)'!$B151:$Y151/'实盘净值数据(iFinD公式)'!$B$65:$Y$65)+SUMPRODUCT(分期持仓明细!$Z$24:$AA$24,'实盘净值数据(iFinD公式)'!$Z151:$AA151/'实盘净值数据(iFinD公式)'!$Z$65:$AA$65))*(1-实盘持仓配置!$AM$8)^(('实盘净值数据(iFinD公式)'!$A151-'实盘净值数据(iFinD公式)'!$A$5)/365))</f>
        <v/>
      </c>
      <c r="O151" s="16" t="str">
        <f t="shared" si="25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O$25*(SUMPRODUCT(分期持仓明细!$B$25:$Y$25,'实盘净值数据(iFinD公式)'!$B151:$Y151/'实盘净值数据(iFinD公式)'!$B$65:$Y$65)+SUMPRODUCT(分期持仓明细!$Z$25:$AA$25,'实盘净值数据(iFinD公式)'!$Z151:$AA151/'实盘净值数据(iFinD公式)'!$Z$65:$AA$65))*(1-实盘持仓配置!$AM$9)^(('实盘净值数据(iFinD公式)'!$A151-'实盘净值数据(iFinD公式)'!$A$8)/365))</f>
        <v/>
      </c>
      <c r="R151" s="16" t="str">
        <f t="shared" si="26"/>
        <v/>
      </c>
      <c r="S151" s="16" t="str">
        <f>IF(Q151="","",Q151/MAX(Q$5:Q151)-1)</f>
        <v/>
      </c>
      <c r="T151" s="13" t="str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Z$26:$AA$26,'实盘净值数据(iFinD公式)'!$Z151:$AA151/'实盘净值数据(iFinD公式)'!$Z$69:$AA$69)+SUMPRODUCT(分期持仓明细!$AB$26:$AL$26,'实盘净值数据(iFinD公式)'!$AB151:$AL151/'实盘净值数据(iFinD公式)'!$AB$69:$AL$69))*(1-实盘持仓配置!$AM$10)^(('实盘净值数据(iFinD公式)'!$A151-'实盘净值数据(iFinD公式)'!$A$69)/365))</f>
        <v/>
      </c>
      <c r="U151" s="16" t="str">
        <f t="shared" si="20"/>
        <v/>
      </c>
      <c r="V151" s="16" t="str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 t="str">
        <f>IF(OR('实盘净值数据(iFinD公式)'!$A152="",'实盘净值数据(iFinD公式)'!$B152=""),"",分期持仓明细!$AO$17*SUMPRODUCT(分期持仓明细!$B$17:$Y$17,'实盘净值数据(iFinD公式)'!$B152:$Y152/'实盘净值数据(iFinD公式)'!$B$20:$Y$20)*(1-实盘持仓配置!$AM$4)^(('实盘净值数据(iFinD公式)'!$A152-'实盘净值数据(iFinD公式)'!$A$6)/365))</f>
        <v/>
      </c>
      <c r="C152" s="16" t="str">
        <f t="shared" si="21"/>
        <v/>
      </c>
      <c r="D152" s="16" t="str">
        <f>IF(B152="","",B152/MAX(B$5:B152)-1)</f>
        <v/>
      </c>
      <c r="E152" s="13" t="str">
        <f>IF(OR('实盘净值数据(iFinD公式)'!$A152="",'实盘净值数据(iFinD公式)'!$B152=""),"",分期持仓明细!$AO$18*SUMPRODUCT(分期持仓明细!$B$18:$Y$18,'实盘净值数据(iFinD公式)'!$B152:$Y152/'实盘净值数据(iFinD公式)'!$B$20:$Y$20)*(1-实盘持仓配置!$AM$5)^(('实盘净值数据(iFinD公式)'!$A152-'实盘净值数据(iFinD公式)'!$A$5)/365))</f>
        <v/>
      </c>
      <c r="F152" s="16" t="str">
        <f t="shared" si="22"/>
        <v/>
      </c>
      <c r="G152" s="16" t="str">
        <f>IF(E152="","",E152/MAX(E$5:E152)-1)</f>
        <v/>
      </c>
      <c r="H152" s="13" t="str">
        <f>IF(OR('实盘净值数据(iFinD公式)'!$A152="",'实盘净值数据(iFinD公式)'!$B152=""),"",分期持仓明细!$AO$19*SUMPRODUCT(分期持仓明细!$B$19:$Y$19,'实盘净值数据(iFinD公式)'!$B152:$Y152/'实盘净值数据(iFinD公式)'!$B$20:$Y$20)*(1-实盘持仓配置!$AM$6)^(('实盘净值数据(iFinD公式)'!$A152-'实盘净值数据(iFinD公式)'!$A$7)/365))</f>
        <v/>
      </c>
      <c r="I152" s="16" t="str">
        <f t="shared" si="23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O$23*(SUMPRODUCT(分期持仓明细!$B$23:$Y$23,'实盘净值数据(iFinD公式)'!$B152:$Y152/'实盘净值数据(iFinD公式)'!$B$65:$Y$65)+SUMPRODUCT(分期持仓明细!$Z$23:$AA$23,'实盘净值数据(iFinD公式)'!$Z152:$AA152/'实盘净值数据(iFinD公式)'!$Z$65:$AA$65))*(1-实盘持仓配置!$AM$7)^(('实盘净值数据(iFinD公式)'!$A152-'实盘净值数据(iFinD公式)'!$A$8)/365))</f>
        <v/>
      </c>
      <c r="L152" s="16" t="str">
        <f t="shared" si="24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O$24*(SUMPRODUCT(分期持仓明细!$B$24:$Y$24,'实盘净值数据(iFinD公式)'!$B152:$Y152/'实盘净值数据(iFinD公式)'!$B$65:$Y$65)+SUMPRODUCT(分期持仓明细!$Z$24:$AA$24,'实盘净值数据(iFinD公式)'!$Z152:$AA152/'实盘净值数据(iFinD公式)'!$Z$65:$AA$65))*(1-实盘持仓配置!$AM$8)^(('实盘净值数据(iFinD公式)'!$A152-'实盘净值数据(iFinD公式)'!$A$5)/365))</f>
        <v/>
      </c>
      <c r="O152" s="16" t="str">
        <f t="shared" si="25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O$25*(SUMPRODUCT(分期持仓明细!$B$25:$Y$25,'实盘净值数据(iFinD公式)'!$B152:$Y152/'实盘净值数据(iFinD公式)'!$B$65:$Y$65)+SUMPRODUCT(分期持仓明细!$Z$25:$AA$25,'实盘净值数据(iFinD公式)'!$Z152:$AA152/'实盘净值数据(iFinD公式)'!$Z$65:$AA$65))*(1-实盘持仓配置!$AM$9)^(('实盘净值数据(iFinD公式)'!$A152-'实盘净值数据(iFinD公式)'!$A$8)/365))</f>
        <v/>
      </c>
      <c r="R152" s="16" t="str">
        <f t="shared" si="26"/>
        <v/>
      </c>
      <c r="S152" s="16" t="str">
        <f>IF(Q152="","",Q152/MAX(Q$5:Q152)-1)</f>
        <v/>
      </c>
      <c r="T152" s="13" t="str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Z$26:$AA$26,'实盘净值数据(iFinD公式)'!$Z152:$AA152/'实盘净值数据(iFinD公式)'!$Z$69:$AA$69)+SUMPRODUCT(分期持仓明细!$AB$26:$AL$26,'实盘净值数据(iFinD公式)'!$AB152:$AL152/'实盘净值数据(iFinD公式)'!$AB$69:$AL$69))*(1-实盘持仓配置!$AM$10)^(('实盘净值数据(iFinD公式)'!$A152-'实盘净值数据(iFinD公式)'!$A$69)/365))</f>
        <v/>
      </c>
      <c r="U152" s="16" t="str">
        <f t="shared" si="20"/>
        <v/>
      </c>
      <c r="V152" s="16" t="str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 t="str">
        <f>IF(OR('实盘净值数据(iFinD公式)'!$A153="",'实盘净值数据(iFinD公式)'!$B153=""),"",分期持仓明细!$AO$17*SUMPRODUCT(分期持仓明细!$B$17:$Y$17,'实盘净值数据(iFinD公式)'!$B153:$Y153/'实盘净值数据(iFinD公式)'!$B$20:$Y$20)*(1-实盘持仓配置!$AM$4)^(('实盘净值数据(iFinD公式)'!$A153-'实盘净值数据(iFinD公式)'!$A$6)/365))</f>
        <v/>
      </c>
      <c r="C153" s="16" t="str">
        <f t="shared" si="21"/>
        <v/>
      </c>
      <c r="D153" s="16" t="str">
        <f>IF(B153="","",B153/MAX(B$5:B153)-1)</f>
        <v/>
      </c>
      <c r="E153" s="13" t="str">
        <f>IF(OR('实盘净值数据(iFinD公式)'!$A153="",'实盘净值数据(iFinD公式)'!$B153=""),"",分期持仓明细!$AO$18*SUMPRODUCT(分期持仓明细!$B$18:$Y$18,'实盘净值数据(iFinD公式)'!$B153:$Y153/'实盘净值数据(iFinD公式)'!$B$20:$Y$20)*(1-实盘持仓配置!$AM$5)^(('实盘净值数据(iFinD公式)'!$A153-'实盘净值数据(iFinD公式)'!$A$5)/365))</f>
        <v/>
      </c>
      <c r="F153" s="16" t="str">
        <f t="shared" si="22"/>
        <v/>
      </c>
      <c r="G153" s="16" t="str">
        <f>IF(E153="","",E153/MAX(E$5:E153)-1)</f>
        <v/>
      </c>
      <c r="H153" s="13" t="str">
        <f>IF(OR('实盘净值数据(iFinD公式)'!$A153="",'实盘净值数据(iFinD公式)'!$B153=""),"",分期持仓明细!$AO$19*SUMPRODUCT(分期持仓明细!$B$19:$Y$19,'实盘净值数据(iFinD公式)'!$B153:$Y153/'实盘净值数据(iFinD公式)'!$B$20:$Y$20)*(1-实盘持仓配置!$AM$6)^(('实盘净值数据(iFinD公式)'!$A153-'实盘净值数据(iFinD公式)'!$A$7)/365))</f>
        <v/>
      </c>
      <c r="I153" s="16" t="str">
        <f t="shared" si="23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O$23*(SUMPRODUCT(分期持仓明细!$B$23:$Y$23,'实盘净值数据(iFinD公式)'!$B153:$Y153/'实盘净值数据(iFinD公式)'!$B$65:$Y$65)+SUMPRODUCT(分期持仓明细!$Z$23:$AA$23,'实盘净值数据(iFinD公式)'!$Z153:$AA153/'实盘净值数据(iFinD公式)'!$Z$65:$AA$65))*(1-实盘持仓配置!$AM$7)^(('实盘净值数据(iFinD公式)'!$A153-'实盘净值数据(iFinD公式)'!$A$8)/365))</f>
        <v/>
      </c>
      <c r="L153" s="16" t="str">
        <f t="shared" si="24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O$24*(SUMPRODUCT(分期持仓明细!$B$24:$Y$24,'实盘净值数据(iFinD公式)'!$B153:$Y153/'实盘净值数据(iFinD公式)'!$B$65:$Y$65)+SUMPRODUCT(分期持仓明细!$Z$24:$AA$24,'实盘净值数据(iFinD公式)'!$Z153:$AA153/'实盘净值数据(iFinD公式)'!$Z$65:$AA$65))*(1-实盘持仓配置!$AM$8)^(('实盘净值数据(iFinD公式)'!$A153-'实盘净值数据(iFinD公式)'!$A$5)/365))</f>
        <v/>
      </c>
      <c r="O153" s="16" t="str">
        <f t="shared" si="25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O$25*(SUMPRODUCT(分期持仓明细!$B$25:$Y$25,'实盘净值数据(iFinD公式)'!$B153:$Y153/'实盘净值数据(iFinD公式)'!$B$65:$Y$65)+SUMPRODUCT(分期持仓明细!$Z$25:$AA$25,'实盘净值数据(iFinD公式)'!$Z153:$AA153/'实盘净值数据(iFinD公式)'!$Z$65:$AA$65))*(1-实盘持仓配置!$AM$9)^(('实盘净值数据(iFinD公式)'!$A153-'实盘净值数据(iFinD公式)'!$A$8)/365))</f>
        <v/>
      </c>
      <c r="R153" s="16" t="str">
        <f t="shared" si="26"/>
        <v/>
      </c>
      <c r="S153" s="16" t="str">
        <f>IF(Q153="","",Q153/MAX(Q$5:Q153)-1)</f>
        <v/>
      </c>
      <c r="T153" s="13" t="str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Z$26:$AA$26,'实盘净值数据(iFinD公式)'!$Z153:$AA153/'实盘净值数据(iFinD公式)'!$Z$69:$AA$69)+SUMPRODUCT(分期持仓明细!$AB$26:$AL$26,'实盘净值数据(iFinD公式)'!$AB153:$AL153/'实盘净值数据(iFinD公式)'!$AB$69:$AL$69))*(1-实盘持仓配置!$AM$10)^(('实盘净值数据(iFinD公式)'!$A153-'实盘净值数据(iFinD公式)'!$A$69)/365))</f>
        <v/>
      </c>
      <c r="U153" s="16" t="str">
        <f t="shared" si="20"/>
        <v/>
      </c>
      <c r="V153" s="16" t="str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 t="str">
        <f>IF(OR('实盘净值数据(iFinD公式)'!$A154="",'实盘净值数据(iFinD公式)'!$B154=""),"",分期持仓明细!$AO$17*SUMPRODUCT(分期持仓明细!$B$17:$Y$17,'实盘净值数据(iFinD公式)'!$B154:$Y154/'实盘净值数据(iFinD公式)'!$B$20:$Y$20)*(1-实盘持仓配置!$AM$4)^(('实盘净值数据(iFinD公式)'!$A154-'实盘净值数据(iFinD公式)'!$A$6)/365))</f>
        <v/>
      </c>
      <c r="C154" s="16" t="str">
        <f t="shared" si="21"/>
        <v/>
      </c>
      <c r="D154" s="16" t="str">
        <f>IF(B154="","",B154/MAX(B$5:B154)-1)</f>
        <v/>
      </c>
      <c r="E154" s="13" t="str">
        <f>IF(OR('实盘净值数据(iFinD公式)'!$A154="",'实盘净值数据(iFinD公式)'!$B154=""),"",分期持仓明细!$AO$18*SUMPRODUCT(分期持仓明细!$B$18:$Y$18,'实盘净值数据(iFinD公式)'!$B154:$Y154/'实盘净值数据(iFinD公式)'!$B$20:$Y$20)*(1-实盘持仓配置!$AM$5)^(('实盘净值数据(iFinD公式)'!$A154-'实盘净值数据(iFinD公式)'!$A$5)/365))</f>
        <v/>
      </c>
      <c r="F154" s="16" t="str">
        <f t="shared" si="22"/>
        <v/>
      </c>
      <c r="G154" s="16" t="str">
        <f>IF(E154="","",E154/MAX(E$5:E154)-1)</f>
        <v/>
      </c>
      <c r="H154" s="13" t="str">
        <f>IF(OR('实盘净值数据(iFinD公式)'!$A154="",'实盘净值数据(iFinD公式)'!$B154=""),"",分期持仓明细!$AO$19*SUMPRODUCT(分期持仓明细!$B$19:$Y$19,'实盘净值数据(iFinD公式)'!$B154:$Y154/'实盘净值数据(iFinD公式)'!$B$20:$Y$20)*(1-实盘持仓配置!$AM$6)^(('实盘净值数据(iFinD公式)'!$A154-'实盘净值数据(iFinD公式)'!$A$7)/365))</f>
        <v/>
      </c>
      <c r="I154" s="16" t="str">
        <f t="shared" si="23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O$23*(SUMPRODUCT(分期持仓明细!$B$23:$Y$23,'实盘净值数据(iFinD公式)'!$B154:$Y154/'实盘净值数据(iFinD公式)'!$B$65:$Y$65)+SUMPRODUCT(分期持仓明细!$Z$23:$AA$23,'实盘净值数据(iFinD公式)'!$Z154:$AA154/'实盘净值数据(iFinD公式)'!$Z$65:$AA$65))*(1-实盘持仓配置!$AM$7)^(('实盘净值数据(iFinD公式)'!$A154-'实盘净值数据(iFinD公式)'!$A$8)/365))</f>
        <v/>
      </c>
      <c r="L154" s="16" t="str">
        <f t="shared" si="24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O$24*(SUMPRODUCT(分期持仓明细!$B$24:$Y$24,'实盘净值数据(iFinD公式)'!$B154:$Y154/'实盘净值数据(iFinD公式)'!$B$65:$Y$65)+SUMPRODUCT(分期持仓明细!$Z$24:$AA$24,'实盘净值数据(iFinD公式)'!$Z154:$AA154/'实盘净值数据(iFinD公式)'!$Z$65:$AA$65))*(1-实盘持仓配置!$AM$8)^(('实盘净值数据(iFinD公式)'!$A154-'实盘净值数据(iFinD公式)'!$A$5)/365))</f>
        <v/>
      </c>
      <c r="O154" s="16" t="str">
        <f t="shared" si="25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O$25*(SUMPRODUCT(分期持仓明细!$B$25:$Y$25,'实盘净值数据(iFinD公式)'!$B154:$Y154/'实盘净值数据(iFinD公式)'!$B$65:$Y$65)+SUMPRODUCT(分期持仓明细!$Z$25:$AA$25,'实盘净值数据(iFinD公式)'!$Z154:$AA154/'实盘净值数据(iFinD公式)'!$Z$65:$AA$65))*(1-实盘持仓配置!$AM$9)^(('实盘净值数据(iFinD公式)'!$A154-'实盘净值数据(iFinD公式)'!$A$8)/365))</f>
        <v/>
      </c>
      <c r="R154" s="16" t="str">
        <f t="shared" si="26"/>
        <v/>
      </c>
      <c r="S154" s="16" t="str">
        <f>IF(Q154="","",Q154/MAX(Q$5:Q154)-1)</f>
        <v/>
      </c>
      <c r="T154" s="13" t="str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Z$26:$AA$26,'实盘净值数据(iFinD公式)'!$Z154:$AA154/'实盘净值数据(iFinD公式)'!$Z$69:$AA$69)+SUMPRODUCT(分期持仓明细!$AB$26:$AL$26,'实盘净值数据(iFinD公式)'!$AB154:$AL154/'实盘净值数据(iFinD公式)'!$AB$69:$AL$69))*(1-实盘持仓配置!$AM$10)^(('实盘净值数据(iFinD公式)'!$A154-'实盘净值数据(iFinD公式)'!$A$69)/365))</f>
        <v/>
      </c>
      <c r="U154" s="16" t="str">
        <f t="shared" si="20"/>
        <v/>
      </c>
      <c r="V154" s="16" t="str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 t="str">
        <f>IF(OR('实盘净值数据(iFinD公式)'!$A155="",'实盘净值数据(iFinD公式)'!$B155=""),"",分期持仓明细!$AO$17*SUMPRODUCT(分期持仓明细!$B$17:$Y$17,'实盘净值数据(iFinD公式)'!$B155:$Y155/'实盘净值数据(iFinD公式)'!$B$20:$Y$20)*(1-实盘持仓配置!$AM$4)^(('实盘净值数据(iFinD公式)'!$A155-'实盘净值数据(iFinD公式)'!$A$6)/365))</f>
        <v/>
      </c>
      <c r="C155" s="16" t="str">
        <f t="shared" si="21"/>
        <v/>
      </c>
      <c r="D155" s="16" t="str">
        <f>IF(B155="","",B155/MAX(B$5:B155)-1)</f>
        <v/>
      </c>
      <c r="E155" s="13" t="str">
        <f>IF(OR('实盘净值数据(iFinD公式)'!$A155="",'实盘净值数据(iFinD公式)'!$B155=""),"",分期持仓明细!$AO$18*SUMPRODUCT(分期持仓明细!$B$18:$Y$18,'实盘净值数据(iFinD公式)'!$B155:$Y155/'实盘净值数据(iFinD公式)'!$B$20:$Y$20)*(1-实盘持仓配置!$AM$5)^(('实盘净值数据(iFinD公式)'!$A155-'实盘净值数据(iFinD公式)'!$A$5)/365))</f>
        <v/>
      </c>
      <c r="F155" s="16" t="str">
        <f t="shared" si="22"/>
        <v/>
      </c>
      <c r="G155" s="16" t="str">
        <f>IF(E155="","",E155/MAX(E$5:E155)-1)</f>
        <v/>
      </c>
      <c r="H155" s="13" t="str">
        <f>IF(OR('实盘净值数据(iFinD公式)'!$A155="",'实盘净值数据(iFinD公式)'!$B155=""),"",分期持仓明细!$AO$19*SUMPRODUCT(分期持仓明细!$B$19:$Y$19,'实盘净值数据(iFinD公式)'!$B155:$Y155/'实盘净值数据(iFinD公式)'!$B$20:$Y$20)*(1-实盘持仓配置!$AM$6)^(('实盘净值数据(iFinD公式)'!$A155-'实盘净值数据(iFinD公式)'!$A$7)/365))</f>
        <v/>
      </c>
      <c r="I155" s="16" t="str">
        <f t="shared" si="23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O$23*(SUMPRODUCT(分期持仓明细!$B$23:$Y$23,'实盘净值数据(iFinD公式)'!$B155:$Y155/'实盘净值数据(iFinD公式)'!$B$65:$Y$65)+SUMPRODUCT(分期持仓明细!$Z$23:$AA$23,'实盘净值数据(iFinD公式)'!$Z155:$AA155/'实盘净值数据(iFinD公式)'!$Z$65:$AA$65))*(1-实盘持仓配置!$AM$7)^(('实盘净值数据(iFinD公式)'!$A155-'实盘净值数据(iFinD公式)'!$A$8)/365))</f>
        <v/>
      </c>
      <c r="L155" s="16" t="str">
        <f t="shared" si="24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O$24*(SUMPRODUCT(分期持仓明细!$B$24:$Y$24,'实盘净值数据(iFinD公式)'!$B155:$Y155/'实盘净值数据(iFinD公式)'!$B$65:$Y$65)+SUMPRODUCT(分期持仓明细!$Z$24:$AA$24,'实盘净值数据(iFinD公式)'!$Z155:$AA155/'实盘净值数据(iFinD公式)'!$Z$65:$AA$65))*(1-实盘持仓配置!$AM$8)^(('实盘净值数据(iFinD公式)'!$A155-'实盘净值数据(iFinD公式)'!$A$5)/365))</f>
        <v/>
      </c>
      <c r="O155" s="16" t="str">
        <f t="shared" si="25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O$25*(SUMPRODUCT(分期持仓明细!$B$25:$Y$25,'实盘净值数据(iFinD公式)'!$B155:$Y155/'实盘净值数据(iFinD公式)'!$B$65:$Y$65)+SUMPRODUCT(分期持仓明细!$Z$25:$AA$25,'实盘净值数据(iFinD公式)'!$Z155:$AA155/'实盘净值数据(iFinD公式)'!$Z$65:$AA$65))*(1-实盘持仓配置!$AM$9)^(('实盘净值数据(iFinD公式)'!$A155-'实盘净值数据(iFinD公式)'!$A$8)/365))</f>
        <v/>
      </c>
      <c r="R155" s="16" t="str">
        <f t="shared" si="26"/>
        <v/>
      </c>
      <c r="S155" s="16" t="str">
        <f>IF(Q155="","",Q155/MAX(Q$5:Q155)-1)</f>
        <v/>
      </c>
      <c r="T155" s="13" t="str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Z$26:$AA$26,'实盘净值数据(iFinD公式)'!$Z155:$AA155/'实盘净值数据(iFinD公式)'!$Z$69:$AA$69)+SUMPRODUCT(分期持仓明细!$AB$26:$AL$26,'实盘净值数据(iFinD公式)'!$AB155:$AL155/'实盘净值数据(iFinD公式)'!$AB$69:$AL$69))*(1-实盘持仓配置!$AM$10)^(('实盘净值数据(iFinD公式)'!$A155-'实盘净值数据(iFinD公式)'!$A$69)/365))</f>
        <v/>
      </c>
      <c r="U155" s="16" t="str">
        <f t="shared" si="20"/>
        <v/>
      </c>
      <c r="V155" s="16" t="str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 t="str">
        <f>IF(OR('实盘净值数据(iFinD公式)'!$A156="",'实盘净值数据(iFinD公式)'!$B156=""),"",分期持仓明细!$AO$17*SUMPRODUCT(分期持仓明细!$B$17:$Y$17,'实盘净值数据(iFinD公式)'!$B156:$Y156/'实盘净值数据(iFinD公式)'!$B$20:$Y$20)*(1-实盘持仓配置!$AM$4)^(('实盘净值数据(iFinD公式)'!$A156-'实盘净值数据(iFinD公式)'!$A$6)/365))</f>
        <v/>
      </c>
      <c r="C156" s="16" t="str">
        <f t="shared" si="21"/>
        <v/>
      </c>
      <c r="D156" s="16" t="str">
        <f>IF(B156="","",B156/MAX(B$5:B156)-1)</f>
        <v/>
      </c>
      <c r="E156" s="13" t="str">
        <f>IF(OR('实盘净值数据(iFinD公式)'!$A156="",'实盘净值数据(iFinD公式)'!$B156=""),"",分期持仓明细!$AO$18*SUMPRODUCT(分期持仓明细!$B$18:$Y$18,'实盘净值数据(iFinD公式)'!$B156:$Y156/'实盘净值数据(iFinD公式)'!$B$20:$Y$20)*(1-实盘持仓配置!$AM$5)^(('实盘净值数据(iFinD公式)'!$A156-'实盘净值数据(iFinD公式)'!$A$5)/365))</f>
        <v/>
      </c>
      <c r="F156" s="16" t="str">
        <f t="shared" si="22"/>
        <v/>
      </c>
      <c r="G156" s="16" t="str">
        <f>IF(E156="","",E156/MAX(E$5:E156)-1)</f>
        <v/>
      </c>
      <c r="H156" s="13" t="str">
        <f>IF(OR('实盘净值数据(iFinD公式)'!$A156="",'实盘净值数据(iFinD公式)'!$B156=""),"",分期持仓明细!$AO$19*SUMPRODUCT(分期持仓明细!$B$19:$Y$19,'实盘净值数据(iFinD公式)'!$B156:$Y156/'实盘净值数据(iFinD公式)'!$B$20:$Y$20)*(1-实盘持仓配置!$AM$6)^(('实盘净值数据(iFinD公式)'!$A156-'实盘净值数据(iFinD公式)'!$A$7)/365))</f>
        <v/>
      </c>
      <c r="I156" s="16" t="str">
        <f t="shared" si="23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O$23*(SUMPRODUCT(分期持仓明细!$B$23:$Y$23,'实盘净值数据(iFinD公式)'!$B156:$Y156/'实盘净值数据(iFinD公式)'!$B$65:$Y$65)+SUMPRODUCT(分期持仓明细!$Z$23:$AA$23,'实盘净值数据(iFinD公式)'!$Z156:$AA156/'实盘净值数据(iFinD公式)'!$Z$65:$AA$65))*(1-实盘持仓配置!$AM$7)^(('实盘净值数据(iFinD公式)'!$A156-'实盘净值数据(iFinD公式)'!$A$8)/365))</f>
        <v/>
      </c>
      <c r="L156" s="16" t="str">
        <f t="shared" si="24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O$24*(SUMPRODUCT(分期持仓明细!$B$24:$Y$24,'实盘净值数据(iFinD公式)'!$B156:$Y156/'实盘净值数据(iFinD公式)'!$B$65:$Y$65)+SUMPRODUCT(分期持仓明细!$Z$24:$AA$24,'实盘净值数据(iFinD公式)'!$Z156:$AA156/'实盘净值数据(iFinD公式)'!$Z$65:$AA$65))*(1-实盘持仓配置!$AM$8)^(('实盘净值数据(iFinD公式)'!$A156-'实盘净值数据(iFinD公式)'!$A$5)/365))</f>
        <v/>
      </c>
      <c r="O156" s="16" t="str">
        <f t="shared" si="25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O$25*(SUMPRODUCT(分期持仓明细!$B$25:$Y$25,'实盘净值数据(iFinD公式)'!$B156:$Y156/'实盘净值数据(iFinD公式)'!$B$65:$Y$65)+SUMPRODUCT(分期持仓明细!$Z$25:$AA$25,'实盘净值数据(iFinD公式)'!$Z156:$AA156/'实盘净值数据(iFinD公式)'!$Z$65:$AA$65))*(1-实盘持仓配置!$AM$9)^(('实盘净值数据(iFinD公式)'!$A156-'实盘净值数据(iFinD公式)'!$A$8)/365))</f>
        <v/>
      </c>
      <c r="R156" s="16" t="str">
        <f t="shared" si="26"/>
        <v/>
      </c>
      <c r="S156" s="16" t="str">
        <f>IF(Q156="","",Q156/MAX(Q$5:Q156)-1)</f>
        <v/>
      </c>
      <c r="T156" s="13" t="str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Z$26:$AA$26,'实盘净值数据(iFinD公式)'!$Z156:$AA156/'实盘净值数据(iFinD公式)'!$Z$69:$AA$69)+SUMPRODUCT(分期持仓明细!$AB$26:$AL$26,'实盘净值数据(iFinD公式)'!$AB156:$AL156/'实盘净值数据(iFinD公式)'!$AB$69:$AL$69))*(1-实盘持仓配置!$AM$10)^(('实盘净值数据(iFinD公式)'!$A156-'实盘净值数据(iFinD公式)'!$A$69)/365))</f>
        <v/>
      </c>
      <c r="U156" s="16" t="str">
        <f t="shared" si="20"/>
        <v/>
      </c>
      <c r="V156" s="16" t="str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 t="str">
        <f>IF(OR('实盘净值数据(iFinD公式)'!$A157="",'实盘净值数据(iFinD公式)'!$B157=""),"",分期持仓明细!$AO$17*SUMPRODUCT(分期持仓明细!$B$17:$Y$17,'实盘净值数据(iFinD公式)'!$B157:$Y157/'实盘净值数据(iFinD公式)'!$B$20:$Y$20)*(1-实盘持仓配置!$AM$4)^(('实盘净值数据(iFinD公式)'!$A157-'实盘净值数据(iFinD公式)'!$A$6)/365))</f>
        <v/>
      </c>
      <c r="C157" s="16" t="str">
        <f t="shared" si="21"/>
        <v/>
      </c>
      <c r="D157" s="16" t="str">
        <f>IF(B157="","",B157/MAX(B$5:B157)-1)</f>
        <v/>
      </c>
      <c r="E157" s="13" t="str">
        <f>IF(OR('实盘净值数据(iFinD公式)'!$A157="",'实盘净值数据(iFinD公式)'!$B157=""),"",分期持仓明细!$AO$18*SUMPRODUCT(分期持仓明细!$B$18:$Y$18,'实盘净值数据(iFinD公式)'!$B157:$Y157/'实盘净值数据(iFinD公式)'!$B$20:$Y$20)*(1-实盘持仓配置!$AM$5)^(('实盘净值数据(iFinD公式)'!$A157-'实盘净值数据(iFinD公式)'!$A$5)/365))</f>
        <v/>
      </c>
      <c r="F157" s="16" t="str">
        <f t="shared" si="22"/>
        <v/>
      </c>
      <c r="G157" s="16" t="str">
        <f>IF(E157="","",E157/MAX(E$5:E157)-1)</f>
        <v/>
      </c>
      <c r="H157" s="13" t="str">
        <f>IF(OR('实盘净值数据(iFinD公式)'!$A157="",'实盘净值数据(iFinD公式)'!$B157=""),"",分期持仓明细!$AO$19*SUMPRODUCT(分期持仓明细!$B$19:$Y$19,'实盘净值数据(iFinD公式)'!$B157:$Y157/'实盘净值数据(iFinD公式)'!$B$20:$Y$20)*(1-实盘持仓配置!$AM$6)^(('实盘净值数据(iFinD公式)'!$A157-'实盘净值数据(iFinD公式)'!$A$7)/365))</f>
        <v/>
      </c>
      <c r="I157" s="16" t="str">
        <f t="shared" si="23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O$23*(SUMPRODUCT(分期持仓明细!$B$23:$Y$23,'实盘净值数据(iFinD公式)'!$B157:$Y157/'实盘净值数据(iFinD公式)'!$B$65:$Y$65)+SUMPRODUCT(分期持仓明细!$Z$23:$AA$23,'实盘净值数据(iFinD公式)'!$Z157:$AA157/'实盘净值数据(iFinD公式)'!$Z$65:$AA$65))*(1-实盘持仓配置!$AM$7)^(('实盘净值数据(iFinD公式)'!$A157-'实盘净值数据(iFinD公式)'!$A$8)/365))</f>
        <v/>
      </c>
      <c r="L157" s="16" t="str">
        <f t="shared" si="24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O$24*(SUMPRODUCT(分期持仓明细!$B$24:$Y$24,'实盘净值数据(iFinD公式)'!$B157:$Y157/'实盘净值数据(iFinD公式)'!$B$65:$Y$65)+SUMPRODUCT(分期持仓明细!$Z$24:$AA$24,'实盘净值数据(iFinD公式)'!$Z157:$AA157/'实盘净值数据(iFinD公式)'!$Z$65:$AA$65))*(1-实盘持仓配置!$AM$8)^(('实盘净值数据(iFinD公式)'!$A157-'实盘净值数据(iFinD公式)'!$A$5)/365))</f>
        <v/>
      </c>
      <c r="O157" s="16" t="str">
        <f t="shared" si="25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O$25*(SUMPRODUCT(分期持仓明细!$B$25:$Y$25,'实盘净值数据(iFinD公式)'!$B157:$Y157/'实盘净值数据(iFinD公式)'!$B$65:$Y$65)+SUMPRODUCT(分期持仓明细!$Z$25:$AA$25,'实盘净值数据(iFinD公式)'!$Z157:$AA157/'实盘净值数据(iFinD公式)'!$Z$65:$AA$65))*(1-实盘持仓配置!$AM$9)^(('实盘净值数据(iFinD公式)'!$A157-'实盘净值数据(iFinD公式)'!$A$8)/365))</f>
        <v/>
      </c>
      <c r="R157" s="16" t="str">
        <f t="shared" si="26"/>
        <v/>
      </c>
      <c r="S157" s="16" t="str">
        <f>IF(Q157="","",Q157/MAX(Q$5:Q157)-1)</f>
        <v/>
      </c>
      <c r="T157" s="13" t="str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Z$26:$AA$26,'实盘净值数据(iFinD公式)'!$Z157:$AA157/'实盘净值数据(iFinD公式)'!$Z$69:$AA$69)+SUMPRODUCT(分期持仓明细!$AB$26:$AL$26,'实盘净值数据(iFinD公式)'!$AB157:$AL157/'实盘净值数据(iFinD公式)'!$AB$69:$AL$69))*(1-实盘持仓配置!$AM$10)^(('实盘净值数据(iFinD公式)'!$A157-'实盘净值数据(iFinD公式)'!$A$69)/365))</f>
        <v/>
      </c>
      <c r="U157" s="16" t="str">
        <f t="shared" si="20"/>
        <v/>
      </c>
      <c r="V157" s="16" t="str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 t="str">
        <f>IF(OR('实盘净值数据(iFinD公式)'!$A158="",'实盘净值数据(iFinD公式)'!$B158=""),"",分期持仓明细!$AO$17*SUMPRODUCT(分期持仓明细!$B$17:$Y$17,'实盘净值数据(iFinD公式)'!$B158:$Y158/'实盘净值数据(iFinD公式)'!$B$20:$Y$20)*(1-实盘持仓配置!$AM$4)^(('实盘净值数据(iFinD公式)'!$A158-'实盘净值数据(iFinD公式)'!$A$6)/365))</f>
        <v/>
      </c>
      <c r="C158" s="16" t="str">
        <f t="shared" si="21"/>
        <v/>
      </c>
      <c r="D158" s="16" t="str">
        <f>IF(B158="","",B158/MAX(B$5:B158)-1)</f>
        <v/>
      </c>
      <c r="E158" s="13" t="str">
        <f>IF(OR('实盘净值数据(iFinD公式)'!$A158="",'实盘净值数据(iFinD公式)'!$B158=""),"",分期持仓明细!$AO$18*SUMPRODUCT(分期持仓明细!$B$18:$Y$18,'实盘净值数据(iFinD公式)'!$B158:$Y158/'实盘净值数据(iFinD公式)'!$B$20:$Y$20)*(1-实盘持仓配置!$AM$5)^(('实盘净值数据(iFinD公式)'!$A158-'实盘净值数据(iFinD公式)'!$A$5)/365))</f>
        <v/>
      </c>
      <c r="F158" s="16" t="str">
        <f t="shared" si="22"/>
        <v/>
      </c>
      <c r="G158" s="16" t="str">
        <f>IF(E158="","",E158/MAX(E$5:E158)-1)</f>
        <v/>
      </c>
      <c r="H158" s="13" t="str">
        <f>IF(OR('实盘净值数据(iFinD公式)'!$A158="",'实盘净值数据(iFinD公式)'!$B158=""),"",分期持仓明细!$AO$19*SUMPRODUCT(分期持仓明细!$B$19:$Y$19,'实盘净值数据(iFinD公式)'!$B158:$Y158/'实盘净值数据(iFinD公式)'!$B$20:$Y$20)*(1-实盘持仓配置!$AM$6)^(('实盘净值数据(iFinD公式)'!$A158-'实盘净值数据(iFinD公式)'!$A$7)/365))</f>
        <v/>
      </c>
      <c r="I158" s="16" t="str">
        <f t="shared" si="23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O$23*(SUMPRODUCT(分期持仓明细!$B$23:$Y$23,'实盘净值数据(iFinD公式)'!$B158:$Y158/'实盘净值数据(iFinD公式)'!$B$65:$Y$65)+SUMPRODUCT(分期持仓明细!$Z$23:$AA$23,'实盘净值数据(iFinD公式)'!$Z158:$AA158/'实盘净值数据(iFinD公式)'!$Z$65:$AA$65))*(1-实盘持仓配置!$AM$7)^(('实盘净值数据(iFinD公式)'!$A158-'实盘净值数据(iFinD公式)'!$A$8)/365))</f>
        <v/>
      </c>
      <c r="L158" s="16" t="str">
        <f t="shared" si="24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O$24*(SUMPRODUCT(分期持仓明细!$B$24:$Y$24,'实盘净值数据(iFinD公式)'!$B158:$Y158/'实盘净值数据(iFinD公式)'!$B$65:$Y$65)+SUMPRODUCT(分期持仓明细!$Z$24:$AA$24,'实盘净值数据(iFinD公式)'!$Z158:$AA158/'实盘净值数据(iFinD公式)'!$Z$65:$AA$65))*(1-实盘持仓配置!$AM$8)^(('实盘净值数据(iFinD公式)'!$A158-'实盘净值数据(iFinD公式)'!$A$5)/365))</f>
        <v/>
      </c>
      <c r="O158" s="16" t="str">
        <f t="shared" si="25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O$25*(SUMPRODUCT(分期持仓明细!$B$25:$Y$25,'实盘净值数据(iFinD公式)'!$B158:$Y158/'实盘净值数据(iFinD公式)'!$B$65:$Y$65)+SUMPRODUCT(分期持仓明细!$Z$25:$AA$25,'实盘净值数据(iFinD公式)'!$Z158:$AA158/'实盘净值数据(iFinD公式)'!$Z$65:$AA$65))*(1-实盘持仓配置!$AM$9)^(('实盘净值数据(iFinD公式)'!$A158-'实盘净值数据(iFinD公式)'!$A$8)/365))</f>
        <v/>
      </c>
      <c r="R158" s="16" t="str">
        <f t="shared" si="26"/>
        <v/>
      </c>
      <c r="S158" s="16" t="str">
        <f>IF(Q158="","",Q158/MAX(Q$5:Q158)-1)</f>
        <v/>
      </c>
      <c r="T158" s="13" t="str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Z$26:$AA$26,'实盘净值数据(iFinD公式)'!$Z158:$AA158/'实盘净值数据(iFinD公式)'!$Z$69:$AA$69)+SUMPRODUCT(分期持仓明细!$AB$26:$AL$26,'实盘净值数据(iFinD公式)'!$AB158:$AL158/'实盘净值数据(iFinD公式)'!$AB$69:$AL$69))*(1-实盘持仓配置!$AM$10)^(('实盘净值数据(iFinD公式)'!$A158-'实盘净值数据(iFinD公式)'!$A$69)/365))</f>
        <v/>
      </c>
      <c r="U158" s="16" t="str">
        <f t="shared" si="20"/>
        <v/>
      </c>
      <c r="V158" s="16" t="str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 t="str">
        <f>IF(OR('实盘净值数据(iFinD公式)'!$A159="",'实盘净值数据(iFinD公式)'!$B159=""),"",分期持仓明细!$AO$17*SUMPRODUCT(分期持仓明细!$B$17:$Y$17,'实盘净值数据(iFinD公式)'!$B159:$Y159/'实盘净值数据(iFinD公式)'!$B$20:$Y$20)*(1-实盘持仓配置!$AM$4)^(('实盘净值数据(iFinD公式)'!$A159-'实盘净值数据(iFinD公式)'!$A$6)/365))</f>
        <v/>
      </c>
      <c r="C159" s="16" t="str">
        <f t="shared" si="21"/>
        <v/>
      </c>
      <c r="D159" s="16" t="str">
        <f>IF(B159="","",B159/MAX(B$5:B159)-1)</f>
        <v/>
      </c>
      <c r="E159" s="13" t="str">
        <f>IF(OR('实盘净值数据(iFinD公式)'!$A159="",'实盘净值数据(iFinD公式)'!$B159=""),"",分期持仓明细!$AO$18*SUMPRODUCT(分期持仓明细!$B$18:$Y$18,'实盘净值数据(iFinD公式)'!$B159:$Y159/'实盘净值数据(iFinD公式)'!$B$20:$Y$20)*(1-实盘持仓配置!$AM$5)^(('实盘净值数据(iFinD公式)'!$A159-'实盘净值数据(iFinD公式)'!$A$5)/365))</f>
        <v/>
      </c>
      <c r="F159" s="16" t="str">
        <f t="shared" si="22"/>
        <v/>
      </c>
      <c r="G159" s="16" t="str">
        <f>IF(E159="","",E159/MAX(E$5:E159)-1)</f>
        <v/>
      </c>
      <c r="H159" s="13" t="str">
        <f>IF(OR('实盘净值数据(iFinD公式)'!$A159="",'实盘净值数据(iFinD公式)'!$B159=""),"",分期持仓明细!$AO$19*SUMPRODUCT(分期持仓明细!$B$19:$Y$19,'实盘净值数据(iFinD公式)'!$B159:$Y159/'实盘净值数据(iFinD公式)'!$B$20:$Y$20)*(1-实盘持仓配置!$AM$6)^(('实盘净值数据(iFinD公式)'!$A159-'实盘净值数据(iFinD公式)'!$A$7)/365))</f>
        <v/>
      </c>
      <c r="I159" s="16" t="str">
        <f t="shared" si="23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O$23*(SUMPRODUCT(分期持仓明细!$B$23:$Y$23,'实盘净值数据(iFinD公式)'!$B159:$Y159/'实盘净值数据(iFinD公式)'!$B$65:$Y$65)+SUMPRODUCT(分期持仓明细!$Z$23:$AA$23,'实盘净值数据(iFinD公式)'!$Z159:$AA159/'实盘净值数据(iFinD公式)'!$Z$65:$AA$65))*(1-实盘持仓配置!$AM$7)^(('实盘净值数据(iFinD公式)'!$A159-'实盘净值数据(iFinD公式)'!$A$8)/365))</f>
        <v/>
      </c>
      <c r="L159" s="16" t="str">
        <f t="shared" si="24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O$24*(SUMPRODUCT(分期持仓明细!$B$24:$Y$24,'实盘净值数据(iFinD公式)'!$B159:$Y159/'实盘净值数据(iFinD公式)'!$B$65:$Y$65)+SUMPRODUCT(分期持仓明细!$Z$24:$AA$24,'实盘净值数据(iFinD公式)'!$Z159:$AA159/'实盘净值数据(iFinD公式)'!$Z$65:$AA$65))*(1-实盘持仓配置!$AM$8)^(('实盘净值数据(iFinD公式)'!$A159-'实盘净值数据(iFinD公式)'!$A$5)/365))</f>
        <v/>
      </c>
      <c r="O159" s="16" t="str">
        <f t="shared" si="25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O$25*(SUMPRODUCT(分期持仓明细!$B$25:$Y$25,'实盘净值数据(iFinD公式)'!$B159:$Y159/'实盘净值数据(iFinD公式)'!$B$65:$Y$65)+SUMPRODUCT(分期持仓明细!$Z$25:$AA$25,'实盘净值数据(iFinD公式)'!$Z159:$AA159/'实盘净值数据(iFinD公式)'!$Z$65:$AA$65))*(1-实盘持仓配置!$AM$9)^(('实盘净值数据(iFinD公式)'!$A159-'实盘净值数据(iFinD公式)'!$A$8)/365))</f>
        <v/>
      </c>
      <c r="R159" s="16" t="str">
        <f t="shared" si="26"/>
        <v/>
      </c>
      <c r="S159" s="16" t="str">
        <f>IF(Q159="","",Q159/MAX(Q$5:Q159)-1)</f>
        <v/>
      </c>
      <c r="T159" s="13" t="str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Z$26:$AA$26,'实盘净值数据(iFinD公式)'!$Z159:$AA159/'实盘净值数据(iFinD公式)'!$Z$69:$AA$69)+SUMPRODUCT(分期持仓明细!$AB$26:$AL$26,'实盘净值数据(iFinD公式)'!$AB159:$AL159/'实盘净值数据(iFinD公式)'!$AB$69:$AL$69))*(1-实盘持仓配置!$AM$10)^(('实盘净值数据(iFinD公式)'!$A159-'实盘净值数据(iFinD公式)'!$A$69)/365))</f>
        <v/>
      </c>
      <c r="U159" s="16" t="str">
        <f t="shared" si="20"/>
        <v/>
      </c>
      <c r="V159" s="16" t="str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 t="str">
        <f>IF(OR('实盘净值数据(iFinD公式)'!$A160="",'实盘净值数据(iFinD公式)'!$B160=""),"",分期持仓明细!$AO$17*SUMPRODUCT(分期持仓明细!$B$17:$Y$17,'实盘净值数据(iFinD公式)'!$B160:$Y160/'实盘净值数据(iFinD公式)'!$B$20:$Y$20)*(1-实盘持仓配置!$AM$4)^(('实盘净值数据(iFinD公式)'!$A160-'实盘净值数据(iFinD公式)'!$A$6)/365))</f>
        <v/>
      </c>
      <c r="C160" s="16" t="str">
        <f t="shared" si="21"/>
        <v/>
      </c>
      <c r="D160" s="16" t="str">
        <f>IF(B160="","",B160/MAX(B$5:B160)-1)</f>
        <v/>
      </c>
      <c r="E160" s="13" t="str">
        <f>IF(OR('实盘净值数据(iFinD公式)'!$A160="",'实盘净值数据(iFinD公式)'!$B160=""),"",分期持仓明细!$AO$18*SUMPRODUCT(分期持仓明细!$B$18:$Y$18,'实盘净值数据(iFinD公式)'!$B160:$Y160/'实盘净值数据(iFinD公式)'!$B$20:$Y$20)*(1-实盘持仓配置!$AM$5)^(('实盘净值数据(iFinD公式)'!$A160-'实盘净值数据(iFinD公式)'!$A$5)/365))</f>
        <v/>
      </c>
      <c r="F160" s="16" t="str">
        <f t="shared" si="22"/>
        <v/>
      </c>
      <c r="G160" s="16" t="str">
        <f>IF(E160="","",E160/MAX(E$5:E160)-1)</f>
        <v/>
      </c>
      <c r="H160" s="13" t="str">
        <f>IF(OR('实盘净值数据(iFinD公式)'!$A160="",'实盘净值数据(iFinD公式)'!$B160=""),"",分期持仓明细!$AO$19*SUMPRODUCT(分期持仓明细!$B$19:$Y$19,'实盘净值数据(iFinD公式)'!$B160:$Y160/'实盘净值数据(iFinD公式)'!$B$20:$Y$20)*(1-实盘持仓配置!$AM$6)^(('实盘净值数据(iFinD公式)'!$A160-'实盘净值数据(iFinD公式)'!$A$7)/365))</f>
        <v/>
      </c>
      <c r="I160" s="16" t="str">
        <f t="shared" si="23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O$23*(SUMPRODUCT(分期持仓明细!$B$23:$Y$23,'实盘净值数据(iFinD公式)'!$B160:$Y160/'实盘净值数据(iFinD公式)'!$B$65:$Y$65)+SUMPRODUCT(分期持仓明细!$Z$23:$AA$23,'实盘净值数据(iFinD公式)'!$Z160:$AA160/'实盘净值数据(iFinD公式)'!$Z$65:$AA$65))*(1-实盘持仓配置!$AM$7)^(('实盘净值数据(iFinD公式)'!$A160-'实盘净值数据(iFinD公式)'!$A$8)/365))</f>
        <v/>
      </c>
      <c r="L160" s="16" t="str">
        <f t="shared" si="24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O$24*(SUMPRODUCT(分期持仓明细!$B$24:$Y$24,'实盘净值数据(iFinD公式)'!$B160:$Y160/'实盘净值数据(iFinD公式)'!$B$65:$Y$65)+SUMPRODUCT(分期持仓明细!$Z$24:$AA$24,'实盘净值数据(iFinD公式)'!$Z160:$AA160/'实盘净值数据(iFinD公式)'!$Z$65:$AA$65))*(1-实盘持仓配置!$AM$8)^(('实盘净值数据(iFinD公式)'!$A160-'实盘净值数据(iFinD公式)'!$A$5)/365))</f>
        <v/>
      </c>
      <c r="O160" s="16" t="str">
        <f t="shared" si="25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O$25*(SUMPRODUCT(分期持仓明细!$B$25:$Y$25,'实盘净值数据(iFinD公式)'!$B160:$Y160/'实盘净值数据(iFinD公式)'!$B$65:$Y$65)+SUMPRODUCT(分期持仓明细!$Z$25:$AA$25,'实盘净值数据(iFinD公式)'!$Z160:$AA160/'实盘净值数据(iFinD公式)'!$Z$65:$AA$65))*(1-实盘持仓配置!$AM$9)^(('实盘净值数据(iFinD公式)'!$A160-'实盘净值数据(iFinD公式)'!$A$8)/365))</f>
        <v/>
      </c>
      <c r="R160" s="16" t="str">
        <f t="shared" si="26"/>
        <v/>
      </c>
      <c r="S160" s="16" t="str">
        <f>IF(Q160="","",Q160/MAX(Q$5:Q160)-1)</f>
        <v/>
      </c>
      <c r="T160" s="13" t="str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Z$26:$AA$26,'实盘净值数据(iFinD公式)'!$Z160:$AA160/'实盘净值数据(iFinD公式)'!$Z$69:$AA$69)+SUMPRODUCT(分期持仓明细!$AB$26:$AL$26,'实盘净值数据(iFinD公式)'!$AB160:$AL160/'实盘净值数据(iFinD公式)'!$AB$69:$AL$69))*(1-实盘持仓配置!$AM$10)^(('实盘净值数据(iFinD公式)'!$A160-'实盘净值数据(iFinD公式)'!$A$69)/365))</f>
        <v/>
      </c>
      <c r="U160" s="16" t="str">
        <f t="shared" si="20"/>
        <v/>
      </c>
      <c r="V160" s="16" t="str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 t="str">
        <f>IF(OR('实盘净值数据(iFinD公式)'!$A161="",'实盘净值数据(iFinD公式)'!$B161=""),"",分期持仓明细!$AO$17*SUMPRODUCT(分期持仓明细!$B$17:$Y$17,'实盘净值数据(iFinD公式)'!$B161:$Y161/'实盘净值数据(iFinD公式)'!$B$20:$Y$20)*(1-实盘持仓配置!$AM$4)^(('实盘净值数据(iFinD公式)'!$A161-'实盘净值数据(iFinD公式)'!$A$6)/365))</f>
        <v/>
      </c>
      <c r="C161" s="16" t="str">
        <f t="shared" si="21"/>
        <v/>
      </c>
      <c r="D161" s="16" t="str">
        <f>IF(B161="","",B161/MAX(B$5:B161)-1)</f>
        <v/>
      </c>
      <c r="E161" s="13" t="str">
        <f>IF(OR('实盘净值数据(iFinD公式)'!$A161="",'实盘净值数据(iFinD公式)'!$B161=""),"",分期持仓明细!$AO$18*SUMPRODUCT(分期持仓明细!$B$18:$Y$18,'实盘净值数据(iFinD公式)'!$B161:$Y161/'实盘净值数据(iFinD公式)'!$B$20:$Y$20)*(1-实盘持仓配置!$AM$5)^(('实盘净值数据(iFinD公式)'!$A161-'实盘净值数据(iFinD公式)'!$A$5)/365))</f>
        <v/>
      </c>
      <c r="F161" s="16" t="str">
        <f t="shared" si="22"/>
        <v/>
      </c>
      <c r="G161" s="16" t="str">
        <f>IF(E161="","",E161/MAX(E$5:E161)-1)</f>
        <v/>
      </c>
      <c r="H161" s="13" t="str">
        <f>IF(OR('实盘净值数据(iFinD公式)'!$A161="",'实盘净值数据(iFinD公式)'!$B161=""),"",分期持仓明细!$AO$19*SUMPRODUCT(分期持仓明细!$B$19:$Y$19,'实盘净值数据(iFinD公式)'!$B161:$Y161/'实盘净值数据(iFinD公式)'!$B$20:$Y$20)*(1-实盘持仓配置!$AM$6)^(('实盘净值数据(iFinD公式)'!$A161-'实盘净值数据(iFinD公式)'!$A$7)/365))</f>
        <v/>
      </c>
      <c r="I161" s="16" t="str">
        <f t="shared" si="23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O$23*(SUMPRODUCT(分期持仓明细!$B$23:$Y$23,'实盘净值数据(iFinD公式)'!$B161:$Y161/'实盘净值数据(iFinD公式)'!$B$65:$Y$65)+SUMPRODUCT(分期持仓明细!$Z$23:$AA$23,'实盘净值数据(iFinD公式)'!$Z161:$AA161/'实盘净值数据(iFinD公式)'!$Z$65:$AA$65))*(1-实盘持仓配置!$AM$7)^(('实盘净值数据(iFinD公式)'!$A161-'实盘净值数据(iFinD公式)'!$A$8)/365))</f>
        <v/>
      </c>
      <c r="L161" s="16" t="str">
        <f t="shared" si="24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O$24*(SUMPRODUCT(分期持仓明细!$B$24:$Y$24,'实盘净值数据(iFinD公式)'!$B161:$Y161/'实盘净值数据(iFinD公式)'!$B$65:$Y$65)+SUMPRODUCT(分期持仓明细!$Z$24:$AA$24,'实盘净值数据(iFinD公式)'!$Z161:$AA161/'实盘净值数据(iFinD公式)'!$Z$65:$AA$65))*(1-实盘持仓配置!$AM$8)^(('实盘净值数据(iFinD公式)'!$A161-'实盘净值数据(iFinD公式)'!$A$5)/365))</f>
        <v/>
      </c>
      <c r="O161" s="16" t="str">
        <f t="shared" si="25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O$25*(SUMPRODUCT(分期持仓明细!$B$25:$Y$25,'实盘净值数据(iFinD公式)'!$B161:$Y161/'实盘净值数据(iFinD公式)'!$B$65:$Y$65)+SUMPRODUCT(分期持仓明细!$Z$25:$AA$25,'实盘净值数据(iFinD公式)'!$Z161:$AA161/'实盘净值数据(iFinD公式)'!$Z$65:$AA$65))*(1-实盘持仓配置!$AM$9)^(('实盘净值数据(iFinD公式)'!$A161-'实盘净值数据(iFinD公式)'!$A$8)/365))</f>
        <v/>
      </c>
      <c r="R161" s="16" t="str">
        <f t="shared" si="26"/>
        <v/>
      </c>
      <c r="S161" s="16" t="str">
        <f>IF(Q161="","",Q161/MAX(Q$5:Q161)-1)</f>
        <v/>
      </c>
      <c r="T161" s="13" t="str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Z$26:$AA$26,'实盘净值数据(iFinD公式)'!$Z161:$AA161/'实盘净值数据(iFinD公式)'!$Z$69:$AA$69)+SUMPRODUCT(分期持仓明细!$AB$26:$AL$26,'实盘净值数据(iFinD公式)'!$AB161:$AL161/'实盘净值数据(iFinD公式)'!$AB$69:$AL$69))*(1-实盘持仓配置!$AM$10)^(('实盘净值数据(iFinD公式)'!$A161-'实盘净值数据(iFinD公式)'!$A$69)/365))</f>
        <v/>
      </c>
      <c r="U161" s="16" t="str">
        <f t="shared" si="20"/>
        <v/>
      </c>
      <c r="V161" s="16" t="str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 t="str">
        <f>IF(OR('实盘净值数据(iFinD公式)'!$A162="",'实盘净值数据(iFinD公式)'!$B162=""),"",分期持仓明细!$AO$17*SUMPRODUCT(分期持仓明细!$B$17:$Y$17,'实盘净值数据(iFinD公式)'!$B162:$Y162/'实盘净值数据(iFinD公式)'!$B$20:$Y$20)*(1-实盘持仓配置!$AM$4)^(('实盘净值数据(iFinD公式)'!$A162-'实盘净值数据(iFinD公式)'!$A$6)/365))</f>
        <v/>
      </c>
      <c r="C162" s="16" t="str">
        <f t="shared" si="21"/>
        <v/>
      </c>
      <c r="D162" s="16" t="str">
        <f>IF(B162="","",B162/MAX(B$5:B162)-1)</f>
        <v/>
      </c>
      <c r="E162" s="13" t="str">
        <f>IF(OR('实盘净值数据(iFinD公式)'!$A162="",'实盘净值数据(iFinD公式)'!$B162=""),"",分期持仓明细!$AO$18*SUMPRODUCT(分期持仓明细!$B$18:$Y$18,'实盘净值数据(iFinD公式)'!$B162:$Y162/'实盘净值数据(iFinD公式)'!$B$20:$Y$20)*(1-实盘持仓配置!$AM$5)^(('实盘净值数据(iFinD公式)'!$A162-'实盘净值数据(iFinD公式)'!$A$5)/365))</f>
        <v/>
      </c>
      <c r="F162" s="16" t="str">
        <f t="shared" si="22"/>
        <v/>
      </c>
      <c r="G162" s="16" t="str">
        <f>IF(E162="","",E162/MAX(E$5:E162)-1)</f>
        <v/>
      </c>
      <c r="H162" s="13" t="str">
        <f>IF(OR('实盘净值数据(iFinD公式)'!$A162="",'实盘净值数据(iFinD公式)'!$B162=""),"",分期持仓明细!$AO$19*SUMPRODUCT(分期持仓明细!$B$19:$Y$19,'实盘净值数据(iFinD公式)'!$B162:$Y162/'实盘净值数据(iFinD公式)'!$B$20:$Y$20)*(1-实盘持仓配置!$AM$6)^(('实盘净值数据(iFinD公式)'!$A162-'实盘净值数据(iFinD公式)'!$A$7)/365))</f>
        <v/>
      </c>
      <c r="I162" s="16" t="str">
        <f t="shared" si="23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O$23*(SUMPRODUCT(分期持仓明细!$B$23:$Y$23,'实盘净值数据(iFinD公式)'!$B162:$Y162/'实盘净值数据(iFinD公式)'!$B$65:$Y$65)+SUMPRODUCT(分期持仓明细!$Z$23:$AA$23,'实盘净值数据(iFinD公式)'!$Z162:$AA162/'实盘净值数据(iFinD公式)'!$Z$65:$AA$65))*(1-实盘持仓配置!$AM$7)^(('实盘净值数据(iFinD公式)'!$A162-'实盘净值数据(iFinD公式)'!$A$8)/365))</f>
        <v/>
      </c>
      <c r="L162" s="16" t="str">
        <f t="shared" si="24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O$24*(SUMPRODUCT(分期持仓明细!$B$24:$Y$24,'实盘净值数据(iFinD公式)'!$B162:$Y162/'实盘净值数据(iFinD公式)'!$B$65:$Y$65)+SUMPRODUCT(分期持仓明细!$Z$24:$AA$24,'实盘净值数据(iFinD公式)'!$Z162:$AA162/'实盘净值数据(iFinD公式)'!$Z$65:$AA$65))*(1-实盘持仓配置!$AM$8)^(('实盘净值数据(iFinD公式)'!$A162-'实盘净值数据(iFinD公式)'!$A$5)/365))</f>
        <v/>
      </c>
      <c r="O162" s="16" t="str">
        <f t="shared" si="25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O$25*(SUMPRODUCT(分期持仓明细!$B$25:$Y$25,'实盘净值数据(iFinD公式)'!$B162:$Y162/'实盘净值数据(iFinD公式)'!$B$65:$Y$65)+SUMPRODUCT(分期持仓明细!$Z$25:$AA$25,'实盘净值数据(iFinD公式)'!$Z162:$AA162/'实盘净值数据(iFinD公式)'!$Z$65:$AA$65))*(1-实盘持仓配置!$AM$9)^(('实盘净值数据(iFinD公式)'!$A162-'实盘净值数据(iFinD公式)'!$A$8)/365))</f>
        <v/>
      </c>
      <c r="R162" s="16" t="str">
        <f t="shared" si="26"/>
        <v/>
      </c>
      <c r="S162" s="16" t="str">
        <f>IF(Q162="","",Q162/MAX(Q$5:Q162)-1)</f>
        <v/>
      </c>
      <c r="T162" s="13" t="str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Z$26:$AA$26,'实盘净值数据(iFinD公式)'!$Z162:$AA162/'实盘净值数据(iFinD公式)'!$Z$69:$AA$69)+SUMPRODUCT(分期持仓明细!$AB$26:$AL$26,'实盘净值数据(iFinD公式)'!$AB162:$AL162/'实盘净值数据(iFinD公式)'!$AB$69:$AL$69))*(1-实盘持仓配置!$AM$10)^(('实盘净值数据(iFinD公式)'!$A162-'实盘净值数据(iFinD公式)'!$A$69)/365))</f>
        <v/>
      </c>
      <c r="U162" s="16" t="str">
        <f t="shared" si="20"/>
        <v/>
      </c>
      <c r="V162" s="16" t="str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 t="str">
        <f>IF(OR('实盘净值数据(iFinD公式)'!$A163="",'实盘净值数据(iFinD公式)'!$B163=""),"",分期持仓明细!$AO$17*SUMPRODUCT(分期持仓明细!$B$17:$Y$17,'实盘净值数据(iFinD公式)'!$B163:$Y163/'实盘净值数据(iFinD公式)'!$B$20:$Y$20)*(1-实盘持仓配置!$AM$4)^(('实盘净值数据(iFinD公式)'!$A163-'实盘净值数据(iFinD公式)'!$A$6)/365))</f>
        <v/>
      </c>
      <c r="C163" s="16" t="str">
        <f t="shared" si="21"/>
        <v/>
      </c>
      <c r="D163" s="16" t="str">
        <f>IF(B163="","",B163/MAX(B$5:B163)-1)</f>
        <v/>
      </c>
      <c r="E163" s="13" t="str">
        <f>IF(OR('实盘净值数据(iFinD公式)'!$A163="",'实盘净值数据(iFinD公式)'!$B163=""),"",分期持仓明细!$AO$18*SUMPRODUCT(分期持仓明细!$B$18:$Y$18,'实盘净值数据(iFinD公式)'!$B163:$Y163/'实盘净值数据(iFinD公式)'!$B$20:$Y$20)*(1-实盘持仓配置!$AM$5)^(('实盘净值数据(iFinD公式)'!$A163-'实盘净值数据(iFinD公式)'!$A$5)/365))</f>
        <v/>
      </c>
      <c r="F163" s="16" t="str">
        <f t="shared" si="22"/>
        <v/>
      </c>
      <c r="G163" s="16" t="str">
        <f>IF(E163="","",E163/MAX(E$5:E163)-1)</f>
        <v/>
      </c>
      <c r="H163" s="13" t="str">
        <f>IF(OR('实盘净值数据(iFinD公式)'!$A163="",'实盘净值数据(iFinD公式)'!$B163=""),"",分期持仓明细!$AO$19*SUMPRODUCT(分期持仓明细!$B$19:$Y$19,'实盘净值数据(iFinD公式)'!$B163:$Y163/'实盘净值数据(iFinD公式)'!$B$20:$Y$20)*(1-实盘持仓配置!$AM$6)^(('实盘净值数据(iFinD公式)'!$A163-'实盘净值数据(iFinD公式)'!$A$7)/365))</f>
        <v/>
      </c>
      <c r="I163" s="16" t="str">
        <f t="shared" si="23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O$23*(SUMPRODUCT(分期持仓明细!$B$23:$Y$23,'实盘净值数据(iFinD公式)'!$B163:$Y163/'实盘净值数据(iFinD公式)'!$B$65:$Y$65)+SUMPRODUCT(分期持仓明细!$Z$23:$AA$23,'实盘净值数据(iFinD公式)'!$Z163:$AA163/'实盘净值数据(iFinD公式)'!$Z$65:$AA$65))*(1-实盘持仓配置!$AM$7)^(('实盘净值数据(iFinD公式)'!$A163-'实盘净值数据(iFinD公式)'!$A$8)/365))</f>
        <v/>
      </c>
      <c r="L163" s="16" t="str">
        <f t="shared" si="24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O$24*(SUMPRODUCT(分期持仓明细!$B$24:$Y$24,'实盘净值数据(iFinD公式)'!$B163:$Y163/'实盘净值数据(iFinD公式)'!$B$65:$Y$65)+SUMPRODUCT(分期持仓明细!$Z$24:$AA$24,'实盘净值数据(iFinD公式)'!$Z163:$AA163/'实盘净值数据(iFinD公式)'!$Z$65:$AA$65))*(1-实盘持仓配置!$AM$8)^(('实盘净值数据(iFinD公式)'!$A163-'实盘净值数据(iFinD公式)'!$A$5)/365))</f>
        <v/>
      </c>
      <c r="O163" s="16" t="str">
        <f t="shared" si="25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O$25*(SUMPRODUCT(分期持仓明细!$B$25:$Y$25,'实盘净值数据(iFinD公式)'!$B163:$Y163/'实盘净值数据(iFinD公式)'!$B$65:$Y$65)+SUMPRODUCT(分期持仓明细!$Z$25:$AA$25,'实盘净值数据(iFinD公式)'!$Z163:$AA163/'实盘净值数据(iFinD公式)'!$Z$65:$AA$65))*(1-实盘持仓配置!$AM$9)^(('实盘净值数据(iFinD公式)'!$A163-'实盘净值数据(iFinD公式)'!$A$8)/365))</f>
        <v/>
      </c>
      <c r="R163" s="16" t="str">
        <f t="shared" si="26"/>
        <v/>
      </c>
      <c r="S163" s="16" t="str">
        <f>IF(Q163="","",Q163/MAX(Q$5:Q163)-1)</f>
        <v/>
      </c>
      <c r="T163" s="13" t="str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Z$26:$AA$26,'实盘净值数据(iFinD公式)'!$Z163:$AA163/'实盘净值数据(iFinD公式)'!$Z$69:$AA$69)+SUMPRODUCT(分期持仓明细!$AB$26:$AL$26,'实盘净值数据(iFinD公式)'!$AB163:$AL163/'实盘净值数据(iFinD公式)'!$AB$69:$AL$69))*(1-实盘持仓配置!$AM$10)^(('实盘净值数据(iFinD公式)'!$A163-'实盘净值数据(iFinD公式)'!$A$69)/365))</f>
        <v/>
      </c>
      <c r="U163" s="16" t="str">
        <f t="shared" si="20"/>
        <v/>
      </c>
      <c r="V163" s="16" t="str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 t="str">
        <f>IF(OR('实盘净值数据(iFinD公式)'!$A164="",'实盘净值数据(iFinD公式)'!$B164=""),"",分期持仓明细!$AO$17*SUMPRODUCT(分期持仓明细!$B$17:$Y$17,'实盘净值数据(iFinD公式)'!$B164:$Y164/'实盘净值数据(iFinD公式)'!$B$20:$Y$20)*(1-实盘持仓配置!$AM$4)^(('实盘净值数据(iFinD公式)'!$A164-'实盘净值数据(iFinD公式)'!$A$6)/365))</f>
        <v/>
      </c>
      <c r="C164" s="16" t="str">
        <f t="shared" si="21"/>
        <v/>
      </c>
      <c r="D164" s="16" t="str">
        <f>IF(B164="","",B164/MAX(B$5:B164)-1)</f>
        <v/>
      </c>
      <c r="E164" s="13" t="str">
        <f>IF(OR('实盘净值数据(iFinD公式)'!$A164="",'实盘净值数据(iFinD公式)'!$B164=""),"",分期持仓明细!$AO$18*SUMPRODUCT(分期持仓明细!$B$18:$Y$18,'实盘净值数据(iFinD公式)'!$B164:$Y164/'实盘净值数据(iFinD公式)'!$B$20:$Y$20)*(1-实盘持仓配置!$AM$5)^(('实盘净值数据(iFinD公式)'!$A164-'实盘净值数据(iFinD公式)'!$A$5)/365))</f>
        <v/>
      </c>
      <c r="F164" s="16" t="str">
        <f t="shared" si="22"/>
        <v/>
      </c>
      <c r="G164" s="16" t="str">
        <f>IF(E164="","",E164/MAX(E$5:E164)-1)</f>
        <v/>
      </c>
      <c r="H164" s="13" t="str">
        <f>IF(OR('实盘净值数据(iFinD公式)'!$A164="",'实盘净值数据(iFinD公式)'!$B164=""),"",分期持仓明细!$AO$19*SUMPRODUCT(分期持仓明细!$B$19:$Y$19,'实盘净值数据(iFinD公式)'!$B164:$Y164/'实盘净值数据(iFinD公式)'!$B$20:$Y$20)*(1-实盘持仓配置!$AM$6)^(('实盘净值数据(iFinD公式)'!$A164-'实盘净值数据(iFinD公式)'!$A$7)/365))</f>
        <v/>
      </c>
      <c r="I164" s="16" t="str">
        <f t="shared" si="23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O$23*(SUMPRODUCT(分期持仓明细!$B$23:$Y$23,'实盘净值数据(iFinD公式)'!$B164:$Y164/'实盘净值数据(iFinD公式)'!$B$65:$Y$65)+SUMPRODUCT(分期持仓明细!$Z$23:$AA$23,'实盘净值数据(iFinD公式)'!$Z164:$AA164/'实盘净值数据(iFinD公式)'!$Z$65:$AA$65))*(1-实盘持仓配置!$AM$7)^(('实盘净值数据(iFinD公式)'!$A164-'实盘净值数据(iFinD公式)'!$A$8)/365))</f>
        <v/>
      </c>
      <c r="L164" s="16" t="str">
        <f t="shared" si="24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O$24*(SUMPRODUCT(分期持仓明细!$B$24:$Y$24,'实盘净值数据(iFinD公式)'!$B164:$Y164/'实盘净值数据(iFinD公式)'!$B$65:$Y$65)+SUMPRODUCT(分期持仓明细!$Z$24:$AA$24,'实盘净值数据(iFinD公式)'!$Z164:$AA164/'实盘净值数据(iFinD公式)'!$Z$65:$AA$65))*(1-实盘持仓配置!$AM$8)^(('实盘净值数据(iFinD公式)'!$A164-'实盘净值数据(iFinD公式)'!$A$5)/365))</f>
        <v/>
      </c>
      <c r="O164" s="16" t="str">
        <f t="shared" si="25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O$25*(SUMPRODUCT(分期持仓明细!$B$25:$Y$25,'实盘净值数据(iFinD公式)'!$B164:$Y164/'实盘净值数据(iFinD公式)'!$B$65:$Y$65)+SUMPRODUCT(分期持仓明细!$Z$25:$AA$25,'实盘净值数据(iFinD公式)'!$Z164:$AA164/'实盘净值数据(iFinD公式)'!$Z$65:$AA$65))*(1-实盘持仓配置!$AM$9)^(('实盘净值数据(iFinD公式)'!$A164-'实盘净值数据(iFinD公式)'!$A$8)/365))</f>
        <v/>
      </c>
      <c r="R164" s="16" t="str">
        <f t="shared" si="26"/>
        <v/>
      </c>
      <c r="S164" s="16" t="str">
        <f>IF(Q164="","",Q164/MAX(Q$5:Q164)-1)</f>
        <v/>
      </c>
      <c r="T164" s="13" t="str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Z$26:$AA$26,'实盘净值数据(iFinD公式)'!$Z164:$AA164/'实盘净值数据(iFinD公式)'!$Z$69:$AA$69)+SUMPRODUCT(分期持仓明细!$AB$26:$AL$26,'实盘净值数据(iFinD公式)'!$AB164:$AL164/'实盘净值数据(iFinD公式)'!$AB$69:$AL$69))*(1-实盘持仓配置!$AM$10)^(('实盘净值数据(iFinD公式)'!$A164-'实盘净值数据(iFinD公式)'!$A$69)/365))</f>
        <v/>
      </c>
      <c r="U164" s="16" t="str">
        <f t="shared" si="20"/>
        <v/>
      </c>
      <c r="V164" s="16" t="str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 t="str">
        <f>IF(OR('实盘净值数据(iFinD公式)'!$A165="",'实盘净值数据(iFinD公式)'!$B165=""),"",分期持仓明细!$AO$17*SUMPRODUCT(分期持仓明细!$B$17:$Y$17,'实盘净值数据(iFinD公式)'!$B165:$Y165/'实盘净值数据(iFinD公式)'!$B$20:$Y$20)*(1-实盘持仓配置!$AM$4)^(('实盘净值数据(iFinD公式)'!$A165-'实盘净值数据(iFinD公式)'!$A$6)/365))</f>
        <v/>
      </c>
      <c r="C165" s="16" t="str">
        <f t="shared" si="21"/>
        <v/>
      </c>
      <c r="D165" s="16" t="str">
        <f>IF(B165="","",B165/MAX(B$5:B165)-1)</f>
        <v/>
      </c>
      <c r="E165" s="13" t="str">
        <f>IF(OR('实盘净值数据(iFinD公式)'!$A165="",'实盘净值数据(iFinD公式)'!$B165=""),"",分期持仓明细!$AO$18*SUMPRODUCT(分期持仓明细!$B$18:$Y$18,'实盘净值数据(iFinD公式)'!$B165:$Y165/'实盘净值数据(iFinD公式)'!$B$20:$Y$20)*(1-实盘持仓配置!$AM$5)^(('实盘净值数据(iFinD公式)'!$A165-'实盘净值数据(iFinD公式)'!$A$5)/365))</f>
        <v/>
      </c>
      <c r="F165" s="16" t="str">
        <f t="shared" si="22"/>
        <v/>
      </c>
      <c r="G165" s="16" t="str">
        <f>IF(E165="","",E165/MAX(E$5:E165)-1)</f>
        <v/>
      </c>
      <c r="H165" s="13" t="str">
        <f>IF(OR('实盘净值数据(iFinD公式)'!$A165="",'实盘净值数据(iFinD公式)'!$B165=""),"",分期持仓明细!$AO$19*SUMPRODUCT(分期持仓明细!$B$19:$Y$19,'实盘净值数据(iFinD公式)'!$B165:$Y165/'实盘净值数据(iFinD公式)'!$B$20:$Y$20)*(1-实盘持仓配置!$AM$6)^(('实盘净值数据(iFinD公式)'!$A165-'实盘净值数据(iFinD公式)'!$A$7)/365))</f>
        <v/>
      </c>
      <c r="I165" s="16" t="str">
        <f t="shared" si="23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O$23*(SUMPRODUCT(分期持仓明细!$B$23:$Y$23,'实盘净值数据(iFinD公式)'!$B165:$Y165/'实盘净值数据(iFinD公式)'!$B$65:$Y$65)+SUMPRODUCT(分期持仓明细!$Z$23:$AA$23,'实盘净值数据(iFinD公式)'!$Z165:$AA165/'实盘净值数据(iFinD公式)'!$Z$65:$AA$65))*(1-实盘持仓配置!$AM$7)^(('实盘净值数据(iFinD公式)'!$A165-'实盘净值数据(iFinD公式)'!$A$8)/365))</f>
        <v/>
      </c>
      <c r="L165" s="16" t="str">
        <f t="shared" si="24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O$24*(SUMPRODUCT(分期持仓明细!$B$24:$Y$24,'实盘净值数据(iFinD公式)'!$B165:$Y165/'实盘净值数据(iFinD公式)'!$B$65:$Y$65)+SUMPRODUCT(分期持仓明细!$Z$24:$AA$24,'实盘净值数据(iFinD公式)'!$Z165:$AA165/'实盘净值数据(iFinD公式)'!$Z$65:$AA$65))*(1-实盘持仓配置!$AM$8)^(('实盘净值数据(iFinD公式)'!$A165-'实盘净值数据(iFinD公式)'!$A$5)/365))</f>
        <v/>
      </c>
      <c r="O165" s="16" t="str">
        <f t="shared" si="25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O$25*(SUMPRODUCT(分期持仓明细!$B$25:$Y$25,'实盘净值数据(iFinD公式)'!$B165:$Y165/'实盘净值数据(iFinD公式)'!$B$65:$Y$65)+SUMPRODUCT(分期持仓明细!$Z$25:$AA$25,'实盘净值数据(iFinD公式)'!$Z165:$AA165/'实盘净值数据(iFinD公式)'!$Z$65:$AA$65))*(1-实盘持仓配置!$AM$9)^(('实盘净值数据(iFinD公式)'!$A165-'实盘净值数据(iFinD公式)'!$A$8)/365))</f>
        <v/>
      </c>
      <c r="R165" s="16" t="str">
        <f t="shared" si="26"/>
        <v/>
      </c>
      <c r="S165" s="16" t="str">
        <f>IF(Q165="","",Q165/MAX(Q$5:Q165)-1)</f>
        <v/>
      </c>
      <c r="T165" s="13" t="str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Z$26:$AA$26,'实盘净值数据(iFinD公式)'!$Z165:$AA165/'实盘净值数据(iFinD公式)'!$Z$69:$AA$69)+SUMPRODUCT(分期持仓明细!$AB$26:$AL$26,'实盘净值数据(iFinD公式)'!$AB165:$AL165/'实盘净值数据(iFinD公式)'!$AB$69:$AL$69))*(1-实盘持仓配置!$AM$10)^(('实盘净值数据(iFinD公式)'!$A165-'实盘净值数据(iFinD公式)'!$A$69)/365))</f>
        <v/>
      </c>
      <c r="U165" s="16" t="str">
        <f t="shared" ref="U165:U196" si="27">IF(OR(T164="",T165=""),"",T165/T164-1)</f>
        <v/>
      </c>
      <c r="V165" s="16" t="str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 t="str">
        <f>IF(OR('实盘净值数据(iFinD公式)'!$A166="",'实盘净值数据(iFinD公式)'!$B166=""),"",分期持仓明细!$AO$17*SUMPRODUCT(分期持仓明细!$B$17:$Y$17,'实盘净值数据(iFinD公式)'!$B166:$Y166/'实盘净值数据(iFinD公式)'!$B$20:$Y$20)*(1-实盘持仓配置!$AM$4)^(('实盘净值数据(iFinD公式)'!$A166-'实盘净值数据(iFinD公式)'!$A$6)/365))</f>
        <v/>
      </c>
      <c r="C166" s="16" t="str">
        <f t="shared" si="21"/>
        <v/>
      </c>
      <c r="D166" s="16" t="str">
        <f>IF(B166="","",B166/MAX(B$5:B166)-1)</f>
        <v/>
      </c>
      <c r="E166" s="13" t="str">
        <f>IF(OR('实盘净值数据(iFinD公式)'!$A166="",'实盘净值数据(iFinD公式)'!$B166=""),"",分期持仓明细!$AO$18*SUMPRODUCT(分期持仓明细!$B$18:$Y$18,'实盘净值数据(iFinD公式)'!$B166:$Y166/'实盘净值数据(iFinD公式)'!$B$20:$Y$20)*(1-实盘持仓配置!$AM$5)^(('实盘净值数据(iFinD公式)'!$A166-'实盘净值数据(iFinD公式)'!$A$5)/365))</f>
        <v/>
      </c>
      <c r="F166" s="16" t="str">
        <f t="shared" si="22"/>
        <v/>
      </c>
      <c r="G166" s="16" t="str">
        <f>IF(E166="","",E166/MAX(E$5:E166)-1)</f>
        <v/>
      </c>
      <c r="H166" s="13" t="str">
        <f>IF(OR('实盘净值数据(iFinD公式)'!$A166="",'实盘净值数据(iFinD公式)'!$B166=""),"",分期持仓明细!$AO$19*SUMPRODUCT(分期持仓明细!$B$19:$Y$19,'实盘净值数据(iFinD公式)'!$B166:$Y166/'实盘净值数据(iFinD公式)'!$B$20:$Y$20)*(1-实盘持仓配置!$AM$6)^(('实盘净值数据(iFinD公式)'!$A166-'实盘净值数据(iFinD公式)'!$A$7)/365))</f>
        <v/>
      </c>
      <c r="I166" s="16" t="str">
        <f t="shared" si="23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O$23*(SUMPRODUCT(分期持仓明细!$B$23:$Y$23,'实盘净值数据(iFinD公式)'!$B166:$Y166/'实盘净值数据(iFinD公式)'!$B$65:$Y$65)+SUMPRODUCT(分期持仓明细!$Z$23:$AA$23,'实盘净值数据(iFinD公式)'!$Z166:$AA166/'实盘净值数据(iFinD公式)'!$Z$65:$AA$65))*(1-实盘持仓配置!$AM$7)^(('实盘净值数据(iFinD公式)'!$A166-'实盘净值数据(iFinD公式)'!$A$8)/365))</f>
        <v/>
      </c>
      <c r="L166" s="16" t="str">
        <f t="shared" si="24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O$24*(SUMPRODUCT(分期持仓明细!$B$24:$Y$24,'实盘净值数据(iFinD公式)'!$B166:$Y166/'实盘净值数据(iFinD公式)'!$B$65:$Y$65)+SUMPRODUCT(分期持仓明细!$Z$24:$AA$24,'实盘净值数据(iFinD公式)'!$Z166:$AA166/'实盘净值数据(iFinD公式)'!$Z$65:$AA$65))*(1-实盘持仓配置!$AM$8)^(('实盘净值数据(iFinD公式)'!$A166-'实盘净值数据(iFinD公式)'!$A$5)/365))</f>
        <v/>
      </c>
      <c r="O166" s="16" t="str">
        <f t="shared" si="25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O$25*(SUMPRODUCT(分期持仓明细!$B$25:$Y$25,'实盘净值数据(iFinD公式)'!$B166:$Y166/'实盘净值数据(iFinD公式)'!$B$65:$Y$65)+SUMPRODUCT(分期持仓明细!$Z$25:$AA$25,'实盘净值数据(iFinD公式)'!$Z166:$AA166/'实盘净值数据(iFinD公式)'!$Z$65:$AA$65))*(1-实盘持仓配置!$AM$9)^(('实盘净值数据(iFinD公式)'!$A166-'实盘净值数据(iFinD公式)'!$A$8)/365))</f>
        <v/>
      </c>
      <c r="R166" s="16" t="str">
        <f t="shared" si="26"/>
        <v/>
      </c>
      <c r="S166" s="16" t="str">
        <f>IF(Q166="","",Q166/MAX(Q$5:Q166)-1)</f>
        <v/>
      </c>
      <c r="T166" s="13" t="str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Z$26:$AA$26,'实盘净值数据(iFinD公式)'!$Z166:$AA166/'实盘净值数据(iFinD公式)'!$Z$69:$AA$69)+SUMPRODUCT(分期持仓明细!$AB$26:$AL$26,'实盘净值数据(iFinD公式)'!$AB166:$AL166/'实盘净值数据(iFinD公式)'!$AB$69:$AL$69))*(1-实盘持仓配置!$AM$10)^(('实盘净值数据(iFinD公式)'!$A166-'实盘净值数据(iFinD公式)'!$A$69)/365))</f>
        <v/>
      </c>
      <c r="U166" s="16" t="str">
        <f t="shared" si="27"/>
        <v/>
      </c>
      <c r="V166" s="16" t="str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 t="str">
        <f>IF(OR('实盘净值数据(iFinD公式)'!$A167="",'实盘净值数据(iFinD公式)'!$B167=""),"",分期持仓明细!$AO$17*SUMPRODUCT(分期持仓明细!$B$17:$Y$17,'实盘净值数据(iFinD公式)'!$B167:$Y167/'实盘净值数据(iFinD公式)'!$B$20:$Y$20)*(1-实盘持仓配置!$AM$4)^(('实盘净值数据(iFinD公式)'!$A167-'实盘净值数据(iFinD公式)'!$A$6)/365))</f>
        <v/>
      </c>
      <c r="C167" s="16" t="str">
        <f t="shared" si="21"/>
        <v/>
      </c>
      <c r="D167" s="16" t="str">
        <f>IF(B167="","",B167/MAX(B$5:B167)-1)</f>
        <v/>
      </c>
      <c r="E167" s="13" t="str">
        <f>IF(OR('实盘净值数据(iFinD公式)'!$A167="",'实盘净值数据(iFinD公式)'!$B167=""),"",分期持仓明细!$AO$18*SUMPRODUCT(分期持仓明细!$B$18:$Y$18,'实盘净值数据(iFinD公式)'!$B167:$Y167/'实盘净值数据(iFinD公式)'!$B$20:$Y$20)*(1-实盘持仓配置!$AM$5)^(('实盘净值数据(iFinD公式)'!$A167-'实盘净值数据(iFinD公式)'!$A$5)/365))</f>
        <v/>
      </c>
      <c r="F167" s="16" t="str">
        <f t="shared" si="22"/>
        <v/>
      </c>
      <c r="G167" s="16" t="str">
        <f>IF(E167="","",E167/MAX(E$5:E167)-1)</f>
        <v/>
      </c>
      <c r="H167" s="13" t="str">
        <f>IF(OR('实盘净值数据(iFinD公式)'!$A167="",'实盘净值数据(iFinD公式)'!$B167=""),"",分期持仓明细!$AO$19*SUMPRODUCT(分期持仓明细!$B$19:$Y$19,'实盘净值数据(iFinD公式)'!$B167:$Y167/'实盘净值数据(iFinD公式)'!$B$20:$Y$20)*(1-实盘持仓配置!$AM$6)^(('实盘净值数据(iFinD公式)'!$A167-'实盘净值数据(iFinD公式)'!$A$7)/365))</f>
        <v/>
      </c>
      <c r="I167" s="16" t="str">
        <f t="shared" si="23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O$23*(SUMPRODUCT(分期持仓明细!$B$23:$Y$23,'实盘净值数据(iFinD公式)'!$B167:$Y167/'实盘净值数据(iFinD公式)'!$B$65:$Y$65)+SUMPRODUCT(分期持仓明细!$Z$23:$AA$23,'实盘净值数据(iFinD公式)'!$Z167:$AA167/'实盘净值数据(iFinD公式)'!$Z$65:$AA$65))*(1-实盘持仓配置!$AM$7)^(('实盘净值数据(iFinD公式)'!$A167-'实盘净值数据(iFinD公式)'!$A$8)/365))</f>
        <v/>
      </c>
      <c r="L167" s="16" t="str">
        <f t="shared" si="24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O$24*(SUMPRODUCT(分期持仓明细!$B$24:$Y$24,'实盘净值数据(iFinD公式)'!$B167:$Y167/'实盘净值数据(iFinD公式)'!$B$65:$Y$65)+SUMPRODUCT(分期持仓明细!$Z$24:$AA$24,'实盘净值数据(iFinD公式)'!$Z167:$AA167/'实盘净值数据(iFinD公式)'!$Z$65:$AA$65))*(1-实盘持仓配置!$AM$8)^(('实盘净值数据(iFinD公式)'!$A167-'实盘净值数据(iFinD公式)'!$A$5)/365))</f>
        <v/>
      </c>
      <c r="O167" s="16" t="str">
        <f t="shared" si="25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O$25*(SUMPRODUCT(分期持仓明细!$B$25:$Y$25,'实盘净值数据(iFinD公式)'!$B167:$Y167/'实盘净值数据(iFinD公式)'!$B$65:$Y$65)+SUMPRODUCT(分期持仓明细!$Z$25:$AA$25,'实盘净值数据(iFinD公式)'!$Z167:$AA167/'实盘净值数据(iFinD公式)'!$Z$65:$AA$65))*(1-实盘持仓配置!$AM$9)^(('实盘净值数据(iFinD公式)'!$A167-'实盘净值数据(iFinD公式)'!$A$8)/365))</f>
        <v/>
      </c>
      <c r="R167" s="16" t="str">
        <f t="shared" si="26"/>
        <v/>
      </c>
      <c r="S167" s="16" t="str">
        <f>IF(Q167="","",Q167/MAX(Q$5:Q167)-1)</f>
        <v/>
      </c>
      <c r="T167" s="13" t="str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Z$26:$AA$26,'实盘净值数据(iFinD公式)'!$Z167:$AA167/'实盘净值数据(iFinD公式)'!$Z$69:$AA$69)+SUMPRODUCT(分期持仓明细!$AB$26:$AL$26,'实盘净值数据(iFinD公式)'!$AB167:$AL167/'实盘净值数据(iFinD公式)'!$AB$69:$AL$69))*(1-实盘持仓配置!$AM$10)^(('实盘净值数据(iFinD公式)'!$A167-'实盘净值数据(iFinD公式)'!$A$69)/365))</f>
        <v/>
      </c>
      <c r="U167" s="16" t="str">
        <f t="shared" si="27"/>
        <v/>
      </c>
      <c r="V167" s="16" t="str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 t="str">
        <f>IF(OR('实盘净值数据(iFinD公式)'!$A168="",'实盘净值数据(iFinD公式)'!$B168=""),"",分期持仓明细!$AO$17*SUMPRODUCT(分期持仓明细!$B$17:$Y$17,'实盘净值数据(iFinD公式)'!$B168:$Y168/'实盘净值数据(iFinD公式)'!$B$20:$Y$20)*(1-实盘持仓配置!$AM$4)^(('实盘净值数据(iFinD公式)'!$A168-'实盘净值数据(iFinD公式)'!$A$6)/365))</f>
        <v/>
      </c>
      <c r="C168" s="16" t="str">
        <f t="shared" si="21"/>
        <v/>
      </c>
      <c r="D168" s="16" t="str">
        <f>IF(B168="","",B168/MAX(B$5:B168)-1)</f>
        <v/>
      </c>
      <c r="E168" s="13" t="str">
        <f>IF(OR('实盘净值数据(iFinD公式)'!$A168="",'实盘净值数据(iFinD公式)'!$B168=""),"",分期持仓明细!$AO$18*SUMPRODUCT(分期持仓明细!$B$18:$Y$18,'实盘净值数据(iFinD公式)'!$B168:$Y168/'实盘净值数据(iFinD公式)'!$B$20:$Y$20)*(1-实盘持仓配置!$AM$5)^(('实盘净值数据(iFinD公式)'!$A168-'实盘净值数据(iFinD公式)'!$A$5)/365))</f>
        <v/>
      </c>
      <c r="F168" s="16" t="str">
        <f t="shared" si="22"/>
        <v/>
      </c>
      <c r="G168" s="16" t="str">
        <f>IF(E168="","",E168/MAX(E$5:E168)-1)</f>
        <v/>
      </c>
      <c r="H168" s="13" t="str">
        <f>IF(OR('实盘净值数据(iFinD公式)'!$A168="",'实盘净值数据(iFinD公式)'!$B168=""),"",分期持仓明细!$AO$19*SUMPRODUCT(分期持仓明细!$B$19:$Y$19,'实盘净值数据(iFinD公式)'!$B168:$Y168/'实盘净值数据(iFinD公式)'!$B$20:$Y$20)*(1-实盘持仓配置!$AM$6)^(('实盘净值数据(iFinD公式)'!$A168-'实盘净值数据(iFinD公式)'!$A$7)/365))</f>
        <v/>
      </c>
      <c r="I168" s="16" t="str">
        <f t="shared" si="23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O$23*(SUMPRODUCT(分期持仓明细!$B$23:$Y$23,'实盘净值数据(iFinD公式)'!$B168:$Y168/'实盘净值数据(iFinD公式)'!$B$65:$Y$65)+SUMPRODUCT(分期持仓明细!$Z$23:$AA$23,'实盘净值数据(iFinD公式)'!$Z168:$AA168/'实盘净值数据(iFinD公式)'!$Z$65:$AA$65))*(1-实盘持仓配置!$AM$7)^(('实盘净值数据(iFinD公式)'!$A168-'实盘净值数据(iFinD公式)'!$A$8)/365))</f>
        <v/>
      </c>
      <c r="L168" s="16" t="str">
        <f t="shared" si="24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O$24*(SUMPRODUCT(分期持仓明细!$B$24:$Y$24,'实盘净值数据(iFinD公式)'!$B168:$Y168/'实盘净值数据(iFinD公式)'!$B$65:$Y$65)+SUMPRODUCT(分期持仓明细!$Z$24:$AA$24,'实盘净值数据(iFinD公式)'!$Z168:$AA168/'实盘净值数据(iFinD公式)'!$Z$65:$AA$65))*(1-实盘持仓配置!$AM$8)^(('实盘净值数据(iFinD公式)'!$A168-'实盘净值数据(iFinD公式)'!$A$5)/365))</f>
        <v/>
      </c>
      <c r="O168" s="16" t="str">
        <f t="shared" si="25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O$25*(SUMPRODUCT(分期持仓明细!$B$25:$Y$25,'实盘净值数据(iFinD公式)'!$B168:$Y168/'实盘净值数据(iFinD公式)'!$B$65:$Y$65)+SUMPRODUCT(分期持仓明细!$Z$25:$AA$25,'实盘净值数据(iFinD公式)'!$Z168:$AA168/'实盘净值数据(iFinD公式)'!$Z$65:$AA$65))*(1-实盘持仓配置!$AM$9)^(('实盘净值数据(iFinD公式)'!$A168-'实盘净值数据(iFinD公式)'!$A$8)/365))</f>
        <v/>
      </c>
      <c r="R168" s="16" t="str">
        <f t="shared" si="26"/>
        <v/>
      </c>
      <c r="S168" s="16" t="str">
        <f>IF(Q168="","",Q168/MAX(Q$5:Q168)-1)</f>
        <v/>
      </c>
      <c r="T168" s="13" t="str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Z$26:$AA$26,'实盘净值数据(iFinD公式)'!$Z168:$AA168/'实盘净值数据(iFinD公式)'!$Z$69:$AA$69)+SUMPRODUCT(分期持仓明细!$AB$26:$AL$26,'实盘净值数据(iFinD公式)'!$AB168:$AL168/'实盘净值数据(iFinD公式)'!$AB$69:$AL$69))*(1-实盘持仓配置!$AM$10)^(('实盘净值数据(iFinD公式)'!$A168-'实盘净值数据(iFinD公式)'!$A$69)/365))</f>
        <v/>
      </c>
      <c r="U168" s="16" t="str">
        <f t="shared" si="27"/>
        <v/>
      </c>
      <c r="V168" s="16" t="str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 t="str">
        <f>IF(OR('实盘净值数据(iFinD公式)'!$A169="",'实盘净值数据(iFinD公式)'!$B169=""),"",分期持仓明细!$AO$17*SUMPRODUCT(分期持仓明细!$B$17:$Y$17,'实盘净值数据(iFinD公式)'!$B169:$Y169/'实盘净值数据(iFinD公式)'!$B$20:$Y$20)*(1-实盘持仓配置!$AM$4)^(('实盘净值数据(iFinD公式)'!$A169-'实盘净值数据(iFinD公式)'!$A$6)/365))</f>
        <v/>
      </c>
      <c r="C169" s="16" t="str">
        <f t="shared" si="21"/>
        <v/>
      </c>
      <c r="D169" s="16" t="str">
        <f>IF(B169="","",B169/MAX(B$5:B169)-1)</f>
        <v/>
      </c>
      <c r="E169" s="13" t="str">
        <f>IF(OR('实盘净值数据(iFinD公式)'!$A169="",'实盘净值数据(iFinD公式)'!$B169=""),"",分期持仓明细!$AO$18*SUMPRODUCT(分期持仓明细!$B$18:$Y$18,'实盘净值数据(iFinD公式)'!$B169:$Y169/'实盘净值数据(iFinD公式)'!$B$20:$Y$20)*(1-实盘持仓配置!$AM$5)^(('实盘净值数据(iFinD公式)'!$A169-'实盘净值数据(iFinD公式)'!$A$5)/365))</f>
        <v/>
      </c>
      <c r="F169" s="16" t="str">
        <f t="shared" si="22"/>
        <v/>
      </c>
      <c r="G169" s="16" t="str">
        <f>IF(E169="","",E169/MAX(E$5:E169)-1)</f>
        <v/>
      </c>
      <c r="H169" s="13" t="str">
        <f>IF(OR('实盘净值数据(iFinD公式)'!$A169="",'实盘净值数据(iFinD公式)'!$B169=""),"",分期持仓明细!$AO$19*SUMPRODUCT(分期持仓明细!$B$19:$Y$19,'实盘净值数据(iFinD公式)'!$B169:$Y169/'实盘净值数据(iFinD公式)'!$B$20:$Y$20)*(1-实盘持仓配置!$AM$6)^(('实盘净值数据(iFinD公式)'!$A169-'实盘净值数据(iFinD公式)'!$A$7)/365))</f>
        <v/>
      </c>
      <c r="I169" s="16" t="str">
        <f t="shared" si="23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O$23*(SUMPRODUCT(分期持仓明细!$B$23:$Y$23,'实盘净值数据(iFinD公式)'!$B169:$Y169/'实盘净值数据(iFinD公式)'!$B$65:$Y$65)+SUMPRODUCT(分期持仓明细!$Z$23:$AA$23,'实盘净值数据(iFinD公式)'!$Z169:$AA169/'实盘净值数据(iFinD公式)'!$Z$65:$AA$65))*(1-实盘持仓配置!$AM$7)^(('实盘净值数据(iFinD公式)'!$A169-'实盘净值数据(iFinD公式)'!$A$8)/365))</f>
        <v/>
      </c>
      <c r="L169" s="16" t="str">
        <f t="shared" si="24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O$24*(SUMPRODUCT(分期持仓明细!$B$24:$Y$24,'实盘净值数据(iFinD公式)'!$B169:$Y169/'实盘净值数据(iFinD公式)'!$B$65:$Y$65)+SUMPRODUCT(分期持仓明细!$Z$24:$AA$24,'实盘净值数据(iFinD公式)'!$Z169:$AA169/'实盘净值数据(iFinD公式)'!$Z$65:$AA$65))*(1-实盘持仓配置!$AM$8)^(('实盘净值数据(iFinD公式)'!$A169-'实盘净值数据(iFinD公式)'!$A$5)/365))</f>
        <v/>
      </c>
      <c r="O169" s="16" t="str">
        <f t="shared" si="25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O$25*(SUMPRODUCT(分期持仓明细!$B$25:$Y$25,'实盘净值数据(iFinD公式)'!$B169:$Y169/'实盘净值数据(iFinD公式)'!$B$65:$Y$65)+SUMPRODUCT(分期持仓明细!$Z$25:$AA$25,'实盘净值数据(iFinD公式)'!$Z169:$AA169/'实盘净值数据(iFinD公式)'!$Z$65:$AA$65))*(1-实盘持仓配置!$AM$9)^(('实盘净值数据(iFinD公式)'!$A169-'实盘净值数据(iFinD公式)'!$A$8)/365))</f>
        <v/>
      </c>
      <c r="R169" s="16" t="str">
        <f t="shared" si="26"/>
        <v/>
      </c>
      <c r="S169" s="16" t="str">
        <f>IF(Q169="","",Q169/MAX(Q$5:Q169)-1)</f>
        <v/>
      </c>
      <c r="T169" s="13" t="str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Z$26:$AA$26,'实盘净值数据(iFinD公式)'!$Z169:$AA169/'实盘净值数据(iFinD公式)'!$Z$69:$AA$69)+SUMPRODUCT(分期持仓明细!$AB$26:$AL$26,'实盘净值数据(iFinD公式)'!$AB169:$AL169/'实盘净值数据(iFinD公式)'!$AB$69:$AL$69))*(1-实盘持仓配置!$AM$10)^(('实盘净值数据(iFinD公式)'!$A169-'实盘净值数据(iFinD公式)'!$A$69)/365))</f>
        <v/>
      </c>
      <c r="U169" s="16" t="str">
        <f t="shared" si="27"/>
        <v/>
      </c>
      <c r="V169" s="16" t="str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 t="str">
        <f>IF(OR('实盘净值数据(iFinD公式)'!$A170="",'实盘净值数据(iFinD公式)'!$B170=""),"",分期持仓明细!$AO$17*SUMPRODUCT(分期持仓明细!$B$17:$Y$17,'实盘净值数据(iFinD公式)'!$B170:$Y170/'实盘净值数据(iFinD公式)'!$B$20:$Y$20)*(1-实盘持仓配置!$AM$4)^(('实盘净值数据(iFinD公式)'!$A170-'实盘净值数据(iFinD公式)'!$A$6)/365))</f>
        <v/>
      </c>
      <c r="C170" s="16" t="str">
        <f t="shared" si="21"/>
        <v/>
      </c>
      <c r="D170" s="16" t="str">
        <f>IF(B170="","",B170/MAX(B$5:B170)-1)</f>
        <v/>
      </c>
      <c r="E170" s="13" t="str">
        <f>IF(OR('实盘净值数据(iFinD公式)'!$A170="",'实盘净值数据(iFinD公式)'!$B170=""),"",分期持仓明细!$AO$18*SUMPRODUCT(分期持仓明细!$B$18:$Y$18,'实盘净值数据(iFinD公式)'!$B170:$Y170/'实盘净值数据(iFinD公式)'!$B$20:$Y$20)*(1-实盘持仓配置!$AM$5)^(('实盘净值数据(iFinD公式)'!$A170-'实盘净值数据(iFinD公式)'!$A$5)/365))</f>
        <v/>
      </c>
      <c r="F170" s="16" t="str">
        <f t="shared" si="22"/>
        <v/>
      </c>
      <c r="G170" s="16" t="str">
        <f>IF(E170="","",E170/MAX(E$5:E170)-1)</f>
        <v/>
      </c>
      <c r="H170" s="13" t="str">
        <f>IF(OR('实盘净值数据(iFinD公式)'!$A170="",'实盘净值数据(iFinD公式)'!$B170=""),"",分期持仓明细!$AO$19*SUMPRODUCT(分期持仓明细!$B$19:$Y$19,'实盘净值数据(iFinD公式)'!$B170:$Y170/'实盘净值数据(iFinD公式)'!$B$20:$Y$20)*(1-实盘持仓配置!$AM$6)^(('实盘净值数据(iFinD公式)'!$A170-'实盘净值数据(iFinD公式)'!$A$7)/365))</f>
        <v/>
      </c>
      <c r="I170" s="16" t="str">
        <f t="shared" si="23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O$23*(SUMPRODUCT(分期持仓明细!$B$23:$Y$23,'实盘净值数据(iFinD公式)'!$B170:$Y170/'实盘净值数据(iFinD公式)'!$B$65:$Y$65)+SUMPRODUCT(分期持仓明细!$Z$23:$AA$23,'实盘净值数据(iFinD公式)'!$Z170:$AA170/'实盘净值数据(iFinD公式)'!$Z$65:$AA$65))*(1-实盘持仓配置!$AM$7)^(('实盘净值数据(iFinD公式)'!$A170-'实盘净值数据(iFinD公式)'!$A$8)/365))</f>
        <v/>
      </c>
      <c r="L170" s="16" t="str">
        <f t="shared" si="24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O$24*(SUMPRODUCT(分期持仓明细!$B$24:$Y$24,'实盘净值数据(iFinD公式)'!$B170:$Y170/'实盘净值数据(iFinD公式)'!$B$65:$Y$65)+SUMPRODUCT(分期持仓明细!$Z$24:$AA$24,'实盘净值数据(iFinD公式)'!$Z170:$AA170/'实盘净值数据(iFinD公式)'!$Z$65:$AA$65))*(1-实盘持仓配置!$AM$8)^(('实盘净值数据(iFinD公式)'!$A170-'实盘净值数据(iFinD公式)'!$A$5)/365))</f>
        <v/>
      </c>
      <c r="O170" s="16" t="str">
        <f t="shared" si="25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O$25*(SUMPRODUCT(分期持仓明细!$B$25:$Y$25,'实盘净值数据(iFinD公式)'!$B170:$Y170/'实盘净值数据(iFinD公式)'!$B$65:$Y$65)+SUMPRODUCT(分期持仓明细!$Z$25:$AA$25,'实盘净值数据(iFinD公式)'!$Z170:$AA170/'实盘净值数据(iFinD公式)'!$Z$65:$AA$65))*(1-实盘持仓配置!$AM$9)^(('实盘净值数据(iFinD公式)'!$A170-'实盘净值数据(iFinD公式)'!$A$8)/365))</f>
        <v/>
      </c>
      <c r="R170" s="16" t="str">
        <f t="shared" si="26"/>
        <v/>
      </c>
      <c r="S170" s="16" t="str">
        <f>IF(Q170="","",Q170/MAX(Q$5:Q170)-1)</f>
        <v/>
      </c>
      <c r="T170" s="13" t="str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Z$26:$AA$26,'实盘净值数据(iFinD公式)'!$Z170:$AA170/'实盘净值数据(iFinD公式)'!$Z$69:$AA$69)+SUMPRODUCT(分期持仓明细!$AB$26:$AL$26,'实盘净值数据(iFinD公式)'!$AB170:$AL170/'实盘净值数据(iFinD公式)'!$AB$69:$AL$69))*(1-实盘持仓配置!$AM$10)^(('实盘净值数据(iFinD公式)'!$A170-'实盘净值数据(iFinD公式)'!$A$69)/365))</f>
        <v/>
      </c>
      <c r="U170" s="16" t="str">
        <f t="shared" si="27"/>
        <v/>
      </c>
      <c r="V170" s="16" t="str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 t="str">
        <f>IF(OR('实盘净值数据(iFinD公式)'!$A171="",'实盘净值数据(iFinD公式)'!$B171=""),"",分期持仓明细!$AO$17*SUMPRODUCT(分期持仓明细!$B$17:$Y$17,'实盘净值数据(iFinD公式)'!$B171:$Y171/'实盘净值数据(iFinD公式)'!$B$20:$Y$20)*(1-实盘持仓配置!$AM$4)^(('实盘净值数据(iFinD公式)'!$A171-'实盘净值数据(iFinD公式)'!$A$6)/365))</f>
        <v/>
      </c>
      <c r="C171" s="16" t="str">
        <f t="shared" si="21"/>
        <v/>
      </c>
      <c r="D171" s="16" t="str">
        <f>IF(B171="","",B171/MAX(B$5:B171)-1)</f>
        <v/>
      </c>
      <c r="E171" s="13" t="str">
        <f>IF(OR('实盘净值数据(iFinD公式)'!$A171="",'实盘净值数据(iFinD公式)'!$B171=""),"",分期持仓明细!$AO$18*SUMPRODUCT(分期持仓明细!$B$18:$Y$18,'实盘净值数据(iFinD公式)'!$B171:$Y171/'实盘净值数据(iFinD公式)'!$B$20:$Y$20)*(1-实盘持仓配置!$AM$5)^(('实盘净值数据(iFinD公式)'!$A171-'实盘净值数据(iFinD公式)'!$A$5)/365))</f>
        <v/>
      </c>
      <c r="F171" s="16" t="str">
        <f t="shared" si="22"/>
        <v/>
      </c>
      <c r="G171" s="16" t="str">
        <f>IF(E171="","",E171/MAX(E$5:E171)-1)</f>
        <v/>
      </c>
      <c r="H171" s="13" t="str">
        <f>IF(OR('实盘净值数据(iFinD公式)'!$A171="",'实盘净值数据(iFinD公式)'!$B171=""),"",分期持仓明细!$AO$19*SUMPRODUCT(分期持仓明细!$B$19:$Y$19,'实盘净值数据(iFinD公式)'!$B171:$Y171/'实盘净值数据(iFinD公式)'!$B$20:$Y$20)*(1-实盘持仓配置!$AM$6)^(('实盘净值数据(iFinD公式)'!$A171-'实盘净值数据(iFinD公式)'!$A$7)/365))</f>
        <v/>
      </c>
      <c r="I171" s="16" t="str">
        <f t="shared" si="23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O$23*(SUMPRODUCT(分期持仓明细!$B$23:$Y$23,'实盘净值数据(iFinD公式)'!$B171:$Y171/'实盘净值数据(iFinD公式)'!$B$65:$Y$65)+SUMPRODUCT(分期持仓明细!$Z$23:$AA$23,'实盘净值数据(iFinD公式)'!$Z171:$AA171/'实盘净值数据(iFinD公式)'!$Z$65:$AA$65))*(1-实盘持仓配置!$AM$7)^(('实盘净值数据(iFinD公式)'!$A171-'实盘净值数据(iFinD公式)'!$A$8)/365))</f>
        <v/>
      </c>
      <c r="L171" s="16" t="str">
        <f t="shared" si="24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O$24*(SUMPRODUCT(分期持仓明细!$B$24:$Y$24,'实盘净值数据(iFinD公式)'!$B171:$Y171/'实盘净值数据(iFinD公式)'!$B$65:$Y$65)+SUMPRODUCT(分期持仓明细!$Z$24:$AA$24,'实盘净值数据(iFinD公式)'!$Z171:$AA171/'实盘净值数据(iFinD公式)'!$Z$65:$AA$65))*(1-实盘持仓配置!$AM$8)^(('实盘净值数据(iFinD公式)'!$A171-'实盘净值数据(iFinD公式)'!$A$5)/365))</f>
        <v/>
      </c>
      <c r="O171" s="16" t="str">
        <f t="shared" si="25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O$25*(SUMPRODUCT(分期持仓明细!$B$25:$Y$25,'实盘净值数据(iFinD公式)'!$B171:$Y171/'实盘净值数据(iFinD公式)'!$B$65:$Y$65)+SUMPRODUCT(分期持仓明细!$Z$25:$AA$25,'实盘净值数据(iFinD公式)'!$Z171:$AA171/'实盘净值数据(iFinD公式)'!$Z$65:$AA$65))*(1-实盘持仓配置!$AM$9)^(('实盘净值数据(iFinD公式)'!$A171-'实盘净值数据(iFinD公式)'!$A$8)/365))</f>
        <v/>
      </c>
      <c r="R171" s="16" t="str">
        <f t="shared" si="26"/>
        <v/>
      </c>
      <c r="S171" s="16" t="str">
        <f>IF(Q171="","",Q171/MAX(Q$5:Q171)-1)</f>
        <v/>
      </c>
      <c r="T171" s="13" t="str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Z$26:$AA$26,'实盘净值数据(iFinD公式)'!$Z171:$AA171/'实盘净值数据(iFinD公式)'!$Z$69:$AA$69)+SUMPRODUCT(分期持仓明细!$AB$26:$AL$26,'实盘净值数据(iFinD公式)'!$AB171:$AL171/'实盘净值数据(iFinD公式)'!$AB$69:$AL$69))*(1-实盘持仓配置!$AM$10)^(('实盘净值数据(iFinD公式)'!$A171-'实盘净值数据(iFinD公式)'!$A$69)/365))</f>
        <v/>
      </c>
      <c r="U171" s="16" t="str">
        <f t="shared" si="27"/>
        <v/>
      </c>
      <c r="V171" s="16" t="str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 t="str">
        <f>IF(OR('实盘净值数据(iFinD公式)'!$A172="",'实盘净值数据(iFinD公式)'!$B172=""),"",分期持仓明细!$AO$17*SUMPRODUCT(分期持仓明细!$B$17:$Y$17,'实盘净值数据(iFinD公式)'!$B172:$Y172/'实盘净值数据(iFinD公式)'!$B$20:$Y$20)*(1-实盘持仓配置!$AM$4)^(('实盘净值数据(iFinD公式)'!$A172-'实盘净值数据(iFinD公式)'!$A$6)/365))</f>
        <v/>
      </c>
      <c r="C172" s="16" t="str">
        <f t="shared" si="21"/>
        <v/>
      </c>
      <c r="D172" s="16" t="str">
        <f>IF(B172="","",B172/MAX(B$5:B172)-1)</f>
        <v/>
      </c>
      <c r="E172" s="13" t="str">
        <f>IF(OR('实盘净值数据(iFinD公式)'!$A172="",'实盘净值数据(iFinD公式)'!$B172=""),"",分期持仓明细!$AO$18*SUMPRODUCT(分期持仓明细!$B$18:$Y$18,'实盘净值数据(iFinD公式)'!$B172:$Y172/'实盘净值数据(iFinD公式)'!$B$20:$Y$20)*(1-实盘持仓配置!$AM$5)^(('实盘净值数据(iFinD公式)'!$A172-'实盘净值数据(iFinD公式)'!$A$5)/365))</f>
        <v/>
      </c>
      <c r="F172" s="16" t="str">
        <f t="shared" si="22"/>
        <v/>
      </c>
      <c r="G172" s="16" t="str">
        <f>IF(E172="","",E172/MAX(E$5:E172)-1)</f>
        <v/>
      </c>
      <c r="H172" s="13" t="str">
        <f>IF(OR('实盘净值数据(iFinD公式)'!$A172="",'实盘净值数据(iFinD公式)'!$B172=""),"",分期持仓明细!$AO$19*SUMPRODUCT(分期持仓明细!$B$19:$Y$19,'实盘净值数据(iFinD公式)'!$B172:$Y172/'实盘净值数据(iFinD公式)'!$B$20:$Y$20)*(1-实盘持仓配置!$AM$6)^(('实盘净值数据(iFinD公式)'!$A172-'实盘净值数据(iFinD公式)'!$A$7)/365))</f>
        <v/>
      </c>
      <c r="I172" s="16" t="str">
        <f t="shared" si="23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O$23*(SUMPRODUCT(分期持仓明细!$B$23:$Y$23,'实盘净值数据(iFinD公式)'!$B172:$Y172/'实盘净值数据(iFinD公式)'!$B$65:$Y$65)+SUMPRODUCT(分期持仓明细!$Z$23:$AA$23,'实盘净值数据(iFinD公式)'!$Z172:$AA172/'实盘净值数据(iFinD公式)'!$Z$65:$AA$65))*(1-实盘持仓配置!$AM$7)^(('实盘净值数据(iFinD公式)'!$A172-'实盘净值数据(iFinD公式)'!$A$8)/365))</f>
        <v/>
      </c>
      <c r="L172" s="16" t="str">
        <f t="shared" si="24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O$24*(SUMPRODUCT(分期持仓明细!$B$24:$Y$24,'实盘净值数据(iFinD公式)'!$B172:$Y172/'实盘净值数据(iFinD公式)'!$B$65:$Y$65)+SUMPRODUCT(分期持仓明细!$Z$24:$AA$24,'实盘净值数据(iFinD公式)'!$Z172:$AA172/'实盘净值数据(iFinD公式)'!$Z$65:$AA$65))*(1-实盘持仓配置!$AM$8)^(('实盘净值数据(iFinD公式)'!$A172-'实盘净值数据(iFinD公式)'!$A$5)/365))</f>
        <v/>
      </c>
      <c r="O172" s="16" t="str">
        <f t="shared" si="25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O$25*(SUMPRODUCT(分期持仓明细!$B$25:$Y$25,'实盘净值数据(iFinD公式)'!$B172:$Y172/'实盘净值数据(iFinD公式)'!$B$65:$Y$65)+SUMPRODUCT(分期持仓明细!$Z$25:$AA$25,'实盘净值数据(iFinD公式)'!$Z172:$AA172/'实盘净值数据(iFinD公式)'!$Z$65:$AA$65))*(1-实盘持仓配置!$AM$9)^(('实盘净值数据(iFinD公式)'!$A172-'实盘净值数据(iFinD公式)'!$A$8)/365))</f>
        <v/>
      </c>
      <c r="R172" s="16" t="str">
        <f t="shared" si="26"/>
        <v/>
      </c>
      <c r="S172" s="16" t="str">
        <f>IF(Q172="","",Q172/MAX(Q$5:Q172)-1)</f>
        <v/>
      </c>
      <c r="T172" s="13" t="str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Z$26:$AA$26,'实盘净值数据(iFinD公式)'!$Z172:$AA172/'实盘净值数据(iFinD公式)'!$Z$69:$AA$69)+SUMPRODUCT(分期持仓明细!$AB$26:$AL$26,'实盘净值数据(iFinD公式)'!$AB172:$AL172/'实盘净值数据(iFinD公式)'!$AB$69:$AL$69))*(1-实盘持仓配置!$AM$10)^(('实盘净值数据(iFinD公式)'!$A172-'实盘净值数据(iFinD公式)'!$A$69)/365))</f>
        <v/>
      </c>
      <c r="U172" s="16" t="str">
        <f t="shared" si="27"/>
        <v/>
      </c>
      <c r="V172" s="16" t="str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 t="str">
        <f>IF(OR('实盘净值数据(iFinD公式)'!$A173="",'实盘净值数据(iFinD公式)'!$B173=""),"",分期持仓明细!$AO$17*SUMPRODUCT(分期持仓明细!$B$17:$Y$17,'实盘净值数据(iFinD公式)'!$B173:$Y173/'实盘净值数据(iFinD公式)'!$B$20:$Y$20)*(1-实盘持仓配置!$AM$4)^(('实盘净值数据(iFinD公式)'!$A173-'实盘净值数据(iFinD公式)'!$A$6)/365))</f>
        <v/>
      </c>
      <c r="C173" s="16" t="str">
        <f t="shared" si="21"/>
        <v/>
      </c>
      <c r="D173" s="16" t="str">
        <f>IF(B173="","",B173/MAX(B$5:B173)-1)</f>
        <v/>
      </c>
      <c r="E173" s="13" t="str">
        <f>IF(OR('实盘净值数据(iFinD公式)'!$A173="",'实盘净值数据(iFinD公式)'!$B173=""),"",分期持仓明细!$AO$18*SUMPRODUCT(分期持仓明细!$B$18:$Y$18,'实盘净值数据(iFinD公式)'!$B173:$Y173/'实盘净值数据(iFinD公式)'!$B$20:$Y$20)*(1-实盘持仓配置!$AM$5)^(('实盘净值数据(iFinD公式)'!$A173-'实盘净值数据(iFinD公式)'!$A$5)/365))</f>
        <v/>
      </c>
      <c r="F173" s="16" t="str">
        <f t="shared" si="22"/>
        <v/>
      </c>
      <c r="G173" s="16" t="str">
        <f>IF(E173="","",E173/MAX(E$5:E173)-1)</f>
        <v/>
      </c>
      <c r="H173" s="13" t="str">
        <f>IF(OR('实盘净值数据(iFinD公式)'!$A173="",'实盘净值数据(iFinD公式)'!$B173=""),"",分期持仓明细!$AO$19*SUMPRODUCT(分期持仓明细!$B$19:$Y$19,'实盘净值数据(iFinD公式)'!$B173:$Y173/'实盘净值数据(iFinD公式)'!$B$20:$Y$20)*(1-实盘持仓配置!$AM$6)^(('实盘净值数据(iFinD公式)'!$A173-'实盘净值数据(iFinD公式)'!$A$7)/365))</f>
        <v/>
      </c>
      <c r="I173" s="16" t="str">
        <f t="shared" si="23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O$23*(SUMPRODUCT(分期持仓明细!$B$23:$Y$23,'实盘净值数据(iFinD公式)'!$B173:$Y173/'实盘净值数据(iFinD公式)'!$B$65:$Y$65)+SUMPRODUCT(分期持仓明细!$Z$23:$AA$23,'实盘净值数据(iFinD公式)'!$Z173:$AA173/'实盘净值数据(iFinD公式)'!$Z$65:$AA$65))*(1-实盘持仓配置!$AM$7)^(('实盘净值数据(iFinD公式)'!$A173-'实盘净值数据(iFinD公式)'!$A$8)/365))</f>
        <v/>
      </c>
      <c r="L173" s="16" t="str">
        <f t="shared" si="24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O$24*(SUMPRODUCT(分期持仓明细!$B$24:$Y$24,'实盘净值数据(iFinD公式)'!$B173:$Y173/'实盘净值数据(iFinD公式)'!$B$65:$Y$65)+SUMPRODUCT(分期持仓明细!$Z$24:$AA$24,'实盘净值数据(iFinD公式)'!$Z173:$AA173/'实盘净值数据(iFinD公式)'!$Z$65:$AA$65))*(1-实盘持仓配置!$AM$8)^(('实盘净值数据(iFinD公式)'!$A173-'实盘净值数据(iFinD公式)'!$A$5)/365))</f>
        <v/>
      </c>
      <c r="O173" s="16" t="str">
        <f t="shared" si="25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O$25*(SUMPRODUCT(分期持仓明细!$B$25:$Y$25,'实盘净值数据(iFinD公式)'!$B173:$Y173/'实盘净值数据(iFinD公式)'!$B$65:$Y$65)+SUMPRODUCT(分期持仓明细!$Z$25:$AA$25,'实盘净值数据(iFinD公式)'!$Z173:$AA173/'实盘净值数据(iFinD公式)'!$Z$65:$AA$65))*(1-实盘持仓配置!$AM$9)^(('实盘净值数据(iFinD公式)'!$A173-'实盘净值数据(iFinD公式)'!$A$8)/365))</f>
        <v/>
      </c>
      <c r="R173" s="16" t="str">
        <f t="shared" si="26"/>
        <v/>
      </c>
      <c r="S173" s="16" t="str">
        <f>IF(Q173="","",Q173/MAX(Q$5:Q173)-1)</f>
        <v/>
      </c>
      <c r="T173" s="13" t="str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Z$26:$AA$26,'实盘净值数据(iFinD公式)'!$Z173:$AA173/'实盘净值数据(iFinD公式)'!$Z$69:$AA$69)+SUMPRODUCT(分期持仓明细!$AB$26:$AL$26,'实盘净值数据(iFinD公式)'!$AB173:$AL173/'实盘净值数据(iFinD公式)'!$AB$69:$AL$69))*(1-实盘持仓配置!$AM$10)^(('实盘净值数据(iFinD公式)'!$A173-'实盘净值数据(iFinD公式)'!$A$69)/365))</f>
        <v/>
      </c>
      <c r="U173" s="16" t="str">
        <f t="shared" si="27"/>
        <v/>
      </c>
      <c r="V173" s="16" t="str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 t="str">
        <f>IF(OR('实盘净值数据(iFinD公式)'!$A174="",'实盘净值数据(iFinD公式)'!$B174=""),"",分期持仓明细!$AO$17*SUMPRODUCT(分期持仓明细!$B$17:$Y$17,'实盘净值数据(iFinD公式)'!$B174:$Y174/'实盘净值数据(iFinD公式)'!$B$20:$Y$20)*(1-实盘持仓配置!$AM$4)^(('实盘净值数据(iFinD公式)'!$A174-'实盘净值数据(iFinD公式)'!$A$6)/365))</f>
        <v/>
      </c>
      <c r="C174" s="16" t="str">
        <f t="shared" si="21"/>
        <v/>
      </c>
      <c r="D174" s="16" t="str">
        <f>IF(B174="","",B174/MAX(B$5:B174)-1)</f>
        <v/>
      </c>
      <c r="E174" s="13" t="str">
        <f>IF(OR('实盘净值数据(iFinD公式)'!$A174="",'实盘净值数据(iFinD公式)'!$B174=""),"",分期持仓明细!$AO$18*SUMPRODUCT(分期持仓明细!$B$18:$Y$18,'实盘净值数据(iFinD公式)'!$B174:$Y174/'实盘净值数据(iFinD公式)'!$B$20:$Y$20)*(1-实盘持仓配置!$AM$5)^(('实盘净值数据(iFinD公式)'!$A174-'实盘净值数据(iFinD公式)'!$A$5)/365))</f>
        <v/>
      </c>
      <c r="F174" s="16" t="str">
        <f t="shared" si="22"/>
        <v/>
      </c>
      <c r="G174" s="16" t="str">
        <f>IF(E174="","",E174/MAX(E$5:E174)-1)</f>
        <v/>
      </c>
      <c r="H174" s="13" t="str">
        <f>IF(OR('实盘净值数据(iFinD公式)'!$A174="",'实盘净值数据(iFinD公式)'!$B174=""),"",分期持仓明细!$AO$19*SUMPRODUCT(分期持仓明细!$B$19:$Y$19,'实盘净值数据(iFinD公式)'!$B174:$Y174/'实盘净值数据(iFinD公式)'!$B$20:$Y$20)*(1-实盘持仓配置!$AM$6)^(('实盘净值数据(iFinD公式)'!$A174-'实盘净值数据(iFinD公式)'!$A$7)/365))</f>
        <v/>
      </c>
      <c r="I174" s="16" t="str">
        <f t="shared" si="23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O$23*(SUMPRODUCT(分期持仓明细!$B$23:$Y$23,'实盘净值数据(iFinD公式)'!$B174:$Y174/'实盘净值数据(iFinD公式)'!$B$65:$Y$65)+SUMPRODUCT(分期持仓明细!$Z$23:$AA$23,'实盘净值数据(iFinD公式)'!$Z174:$AA174/'实盘净值数据(iFinD公式)'!$Z$65:$AA$65))*(1-实盘持仓配置!$AM$7)^(('实盘净值数据(iFinD公式)'!$A174-'实盘净值数据(iFinD公式)'!$A$8)/365))</f>
        <v/>
      </c>
      <c r="L174" s="16" t="str">
        <f t="shared" si="24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O$24*(SUMPRODUCT(分期持仓明细!$B$24:$Y$24,'实盘净值数据(iFinD公式)'!$B174:$Y174/'实盘净值数据(iFinD公式)'!$B$65:$Y$65)+SUMPRODUCT(分期持仓明细!$Z$24:$AA$24,'实盘净值数据(iFinD公式)'!$Z174:$AA174/'实盘净值数据(iFinD公式)'!$Z$65:$AA$65))*(1-实盘持仓配置!$AM$8)^(('实盘净值数据(iFinD公式)'!$A174-'实盘净值数据(iFinD公式)'!$A$5)/365))</f>
        <v/>
      </c>
      <c r="O174" s="16" t="str">
        <f t="shared" si="25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O$25*(SUMPRODUCT(分期持仓明细!$B$25:$Y$25,'实盘净值数据(iFinD公式)'!$B174:$Y174/'实盘净值数据(iFinD公式)'!$B$65:$Y$65)+SUMPRODUCT(分期持仓明细!$Z$25:$AA$25,'实盘净值数据(iFinD公式)'!$Z174:$AA174/'实盘净值数据(iFinD公式)'!$Z$65:$AA$65))*(1-实盘持仓配置!$AM$9)^(('实盘净值数据(iFinD公式)'!$A174-'实盘净值数据(iFinD公式)'!$A$8)/365))</f>
        <v/>
      </c>
      <c r="R174" s="16" t="str">
        <f t="shared" si="26"/>
        <v/>
      </c>
      <c r="S174" s="16" t="str">
        <f>IF(Q174="","",Q174/MAX(Q$5:Q174)-1)</f>
        <v/>
      </c>
      <c r="T174" s="13" t="str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Z$26:$AA$26,'实盘净值数据(iFinD公式)'!$Z174:$AA174/'实盘净值数据(iFinD公式)'!$Z$69:$AA$69)+SUMPRODUCT(分期持仓明细!$AB$26:$AL$26,'实盘净值数据(iFinD公式)'!$AB174:$AL174/'实盘净值数据(iFinD公式)'!$AB$69:$AL$69))*(1-实盘持仓配置!$AM$10)^(('实盘净值数据(iFinD公式)'!$A174-'实盘净值数据(iFinD公式)'!$A$69)/365))</f>
        <v/>
      </c>
      <c r="U174" s="16" t="str">
        <f t="shared" si="27"/>
        <v/>
      </c>
      <c r="V174" s="16" t="str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 t="str">
        <f>IF(OR('实盘净值数据(iFinD公式)'!$A175="",'实盘净值数据(iFinD公式)'!$B175=""),"",分期持仓明细!$AO$17*SUMPRODUCT(分期持仓明细!$B$17:$Y$17,'实盘净值数据(iFinD公式)'!$B175:$Y175/'实盘净值数据(iFinD公式)'!$B$20:$Y$20)*(1-实盘持仓配置!$AM$4)^(('实盘净值数据(iFinD公式)'!$A175-'实盘净值数据(iFinD公式)'!$A$6)/365))</f>
        <v/>
      </c>
      <c r="C175" s="16" t="str">
        <f t="shared" si="21"/>
        <v/>
      </c>
      <c r="D175" s="16" t="str">
        <f>IF(B175="","",B175/MAX(B$5:B175)-1)</f>
        <v/>
      </c>
      <c r="E175" s="13" t="str">
        <f>IF(OR('实盘净值数据(iFinD公式)'!$A175="",'实盘净值数据(iFinD公式)'!$B175=""),"",分期持仓明细!$AO$18*SUMPRODUCT(分期持仓明细!$B$18:$Y$18,'实盘净值数据(iFinD公式)'!$B175:$Y175/'实盘净值数据(iFinD公式)'!$B$20:$Y$20)*(1-实盘持仓配置!$AM$5)^(('实盘净值数据(iFinD公式)'!$A175-'实盘净值数据(iFinD公式)'!$A$5)/365))</f>
        <v/>
      </c>
      <c r="F175" s="16" t="str">
        <f t="shared" si="22"/>
        <v/>
      </c>
      <c r="G175" s="16" t="str">
        <f>IF(E175="","",E175/MAX(E$5:E175)-1)</f>
        <v/>
      </c>
      <c r="H175" s="13" t="str">
        <f>IF(OR('实盘净值数据(iFinD公式)'!$A175="",'实盘净值数据(iFinD公式)'!$B175=""),"",分期持仓明细!$AO$19*SUMPRODUCT(分期持仓明细!$B$19:$Y$19,'实盘净值数据(iFinD公式)'!$B175:$Y175/'实盘净值数据(iFinD公式)'!$B$20:$Y$20)*(1-实盘持仓配置!$AM$6)^(('实盘净值数据(iFinD公式)'!$A175-'实盘净值数据(iFinD公式)'!$A$7)/365))</f>
        <v/>
      </c>
      <c r="I175" s="16" t="str">
        <f t="shared" si="23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O$23*(SUMPRODUCT(分期持仓明细!$B$23:$Y$23,'实盘净值数据(iFinD公式)'!$B175:$Y175/'实盘净值数据(iFinD公式)'!$B$65:$Y$65)+SUMPRODUCT(分期持仓明细!$Z$23:$AA$23,'实盘净值数据(iFinD公式)'!$Z175:$AA175/'实盘净值数据(iFinD公式)'!$Z$65:$AA$65))*(1-实盘持仓配置!$AM$7)^(('实盘净值数据(iFinD公式)'!$A175-'实盘净值数据(iFinD公式)'!$A$8)/365))</f>
        <v/>
      </c>
      <c r="L175" s="16" t="str">
        <f t="shared" si="24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O$24*(SUMPRODUCT(分期持仓明细!$B$24:$Y$24,'实盘净值数据(iFinD公式)'!$B175:$Y175/'实盘净值数据(iFinD公式)'!$B$65:$Y$65)+SUMPRODUCT(分期持仓明细!$Z$24:$AA$24,'实盘净值数据(iFinD公式)'!$Z175:$AA175/'实盘净值数据(iFinD公式)'!$Z$65:$AA$65))*(1-实盘持仓配置!$AM$8)^(('实盘净值数据(iFinD公式)'!$A175-'实盘净值数据(iFinD公式)'!$A$5)/365))</f>
        <v/>
      </c>
      <c r="O175" s="16" t="str">
        <f t="shared" si="25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O$25*(SUMPRODUCT(分期持仓明细!$B$25:$Y$25,'实盘净值数据(iFinD公式)'!$B175:$Y175/'实盘净值数据(iFinD公式)'!$B$65:$Y$65)+SUMPRODUCT(分期持仓明细!$Z$25:$AA$25,'实盘净值数据(iFinD公式)'!$Z175:$AA175/'实盘净值数据(iFinD公式)'!$Z$65:$AA$65))*(1-实盘持仓配置!$AM$9)^(('实盘净值数据(iFinD公式)'!$A175-'实盘净值数据(iFinD公式)'!$A$8)/365))</f>
        <v/>
      </c>
      <c r="R175" s="16" t="str">
        <f t="shared" si="26"/>
        <v/>
      </c>
      <c r="S175" s="16" t="str">
        <f>IF(Q175="","",Q175/MAX(Q$5:Q175)-1)</f>
        <v/>
      </c>
      <c r="T175" s="13" t="str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Z$26:$AA$26,'实盘净值数据(iFinD公式)'!$Z175:$AA175/'实盘净值数据(iFinD公式)'!$Z$69:$AA$69)+SUMPRODUCT(分期持仓明细!$AB$26:$AL$26,'实盘净值数据(iFinD公式)'!$AB175:$AL175/'实盘净值数据(iFinD公式)'!$AB$69:$AL$69))*(1-实盘持仓配置!$AM$10)^(('实盘净值数据(iFinD公式)'!$A175-'实盘净值数据(iFinD公式)'!$A$69)/365))</f>
        <v/>
      </c>
      <c r="U175" s="16" t="str">
        <f t="shared" si="27"/>
        <v/>
      </c>
      <c r="V175" s="16" t="str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 t="str">
        <f>IF(OR('实盘净值数据(iFinD公式)'!$A176="",'实盘净值数据(iFinD公式)'!$B176=""),"",分期持仓明细!$AO$17*SUMPRODUCT(分期持仓明细!$B$17:$Y$17,'实盘净值数据(iFinD公式)'!$B176:$Y176/'实盘净值数据(iFinD公式)'!$B$20:$Y$20)*(1-实盘持仓配置!$AM$4)^(('实盘净值数据(iFinD公式)'!$A176-'实盘净值数据(iFinD公式)'!$A$6)/365))</f>
        <v/>
      </c>
      <c r="C176" s="16" t="str">
        <f t="shared" si="21"/>
        <v/>
      </c>
      <c r="D176" s="16" t="str">
        <f>IF(B176="","",B176/MAX(B$5:B176)-1)</f>
        <v/>
      </c>
      <c r="E176" s="13" t="str">
        <f>IF(OR('实盘净值数据(iFinD公式)'!$A176="",'实盘净值数据(iFinD公式)'!$B176=""),"",分期持仓明细!$AO$18*SUMPRODUCT(分期持仓明细!$B$18:$Y$18,'实盘净值数据(iFinD公式)'!$B176:$Y176/'实盘净值数据(iFinD公式)'!$B$20:$Y$20)*(1-实盘持仓配置!$AM$5)^(('实盘净值数据(iFinD公式)'!$A176-'实盘净值数据(iFinD公式)'!$A$5)/365))</f>
        <v/>
      </c>
      <c r="F176" s="16" t="str">
        <f t="shared" si="22"/>
        <v/>
      </c>
      <c r="G176" s="16" t="str">
        <f>IF(E176="","",E176/MAX(E$5:E176)-1)</f>
        <v/>
      </c>
      <c r="H176" s="13" t="str">
        <f>IF(OR('实盘净值数据(iFinD公式)'!$A176="",'实盘净值数据(iFinD公式)'!$B176=""),"",分期持仓明细!$AO$19*SUMPRODUCT(分期持仓明细!$B$19:$Y$19,'实盘净值数据(iFinD公式)'!$B176:$Y176/'实盘净值数据(iFinD公式)'!$B$20:$Y$20)*(1-实盘持仓配置!$AM$6)^(('实盘净值数据(iFinD公式)'!$A176-'实盘净值数据(iFinD公式)'!$A$7)/365))</f>
        <v/>
      </c>
      <c r="I176" s="16" t="str">
        <f t="shared" si="23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O$23*(SUMPRODUCT(分期持仓明细!$B$23:$Y$23,'实盘净值数据(iFinD公式)'!$B176:$Y176/'实盘净值数据(iFinD公式)'!$B$65:$Y$65)+SUMPRODUCT(分期持仓明细!$Z$23:$AA$23,'实盘净值数据(iFinD公式)'!$Z176:$AA176/'实盘净值数据(iFinD公式)'!$Z$65:$AA$65))*(1-实盘持仓配置!$AM$7)^(('实盘净值数据(iFinD公式)'!$A176-'实盘净值数据(iFinD公式)'!$A$8)/365))</f>
        <v/>
      </c>
      <c r="L176" s="16" t="str">
        <f t="shared" si="24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O$24*(SUMPRODUCT(分期持仓明细!$B$24:$Y$24,'实盘净值数据(iFinD公式)'!$B176:$Y176/'实盘净值数据(iFinD公式)'!$B$65:$Y$65)+SUMPRODUCT(分期持仓明细!$Z$24:$AA$24,'实盘净值数据(iFinD公式)'!$Z176:$AA176/'实盘净值数据(iFinD公式)'!$Z$65:$AA$65))*(1-实盘持仓配置!$AM$8)^(('实盘净值数据(iFinD公式)'!$A176-'实盘净值数据(iFinD公式)'!$A$5)/365))</f>
        <v/>
      </c>
      <c r="O176" s="16" t="str">
        <f t="shared" si="25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O$25*(SUMPRODUCT(分期持仓明细!$B$25:$Y$25,'实盘净值数据(iFinD公式)'!$B176:$Y176/'实盘净值数据(iFinD公式)'!$B$65:$Y$65)+SUMPRODUCT(分期持仓明细!$Z$25:$AA$25,'实盘净值数据(iFinD公式)'!$Z176:$AA176/'实盘净值数据(iFinD公式)'!$Z$65:$AA$65))*(1-实盘持仓配置!$AM$9)^(('实盘净值数据(iFinD公式)'!$A176-'实盘净值数据(iFinD公式)'!$A$8)/365))</f>
        <v/>
      </c>
      <c r="R176" s="16" t="str">
        <f t="shared" si="26"/>
        <v/>
      </c>
      <c r="S176" s="16" t="str">
        <f>IF(Q176="","",Q176/MAX(Q$5:Q176)-1)</f>
        <v/>
      </c>
      <c r="T176" s="13" t="str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Z$26:$AA$26,'实盘净值数据(iFinD公式)'!$Z176:$AA176/'实盘净值数据(iFinD公式)'!$Z$69:$AA$69)+SUMPRODUCT(分期持仓明细!$AB$26:$AL$26,'实盘净值数据(iFinD公式)'!$AB176:$AL176/'实盘净值数据(iFinD公式)'!$AB$69:$AL$69))*(1-实盘持仓配置!$AM$10)^(('实盘净值数据(iFinD公式)'!$A176-'实盘净值数据(iFinD公式)'!$A$69)/365))</f>
        <v/>
      </c>
      <c r="U176" s="16" t="str">
        <f t="shared" si="27"/>
        <v/>
      </c>
      <c r="V176" s="16" t="str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 t="str">
        <f>IF(OR('实盘净值数据(iFinD公式)'!$A177="",'实盘净值数据(iFinD公式)'!$B177=""),"",分期持仓明细!$AO$17*SUMPRODUCT(分期持仓明细!$B$17:$Y$17,'实盘净值数据(iFinD公式)'!$B177:$Y177/'实盘净值数据(iFinD公式)'!$B$20:$Y$20)*(1-实盘持仓配置!$AM$4)^(('实盘净值数据(iFinD公式)'!$A177-'实盘净值数据(iFinD公式)'!$A$6)/365))</f>
        <v/>
      </c>
      <c r="C177" s="16" t="str">
        <f t="shared" si="21"/>
        <v/>
      </c>
      <c r="D177" s="16" t="str">
        <f>IF(B177="","",B177/MAX(B$5:B177)-1)</f>
        <v/>
      </c>
      <c r="E177" s="13" t="str">
        <f>IF(OR('实盘净值数据(iFinD公式)'!$A177="",'实盘净值数据(iFinD公式)'!$B177=""),"",分期持仓明细!$AO$18*SUMPRODUCT(分期持仓明细!$B$18:$Y$18,'实盘净值数据(iFinD公式)'!$B177:$Y177/'实盘净值数据(iFinD公式)'!$B$20:$Y$20)*(1-实盘持仓配置!$AM$5)^(('实盘净值数据(iFinD公式)'!$A177-'实盘净值数据(iFinD公式)'!$A$5)/365))</f>
        <v/>
      </c>
      <c r="F177" s="16" t="str">
        <f t="shared" si="22"/>
        <v/>
      </c>
      <c r="G177" s="16" t="str">
        <f>IF(E177="","",E177/MAX(E$5:E177)-1)</f>
        <v/>
      </c>
      <c r="H177" s="13" t="str">
        <f>IF(OR('实盘净值数据(iFinD公式)'!$A177="",'实盘净值数据(iFinD公式)'!$B177=""),"",分期持仓明细!$AO$19*SUMPRODUCT(分期持仓明细!$B$19:$Y$19,'实盘净值数据(iFinD公式)'!$B177:$Y177/'实盘净值数据(iFinD公式)'!$B$20:$Y$20)*(1-实盘持仓配置!$AM$6)^(('实盘净值数据(iFinD公式)'!$A177-'实盘净值数据(iFinD公式)'!$A$7)/365))</f>
        <v/>
      </c>
      <c r="I177" s="16" t="str">
        <f t="shared" si="23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O$23*(SUMPRODUCT(分期持仓明细!$B$23:$Y$23,'实盘净值数据(iFinD公式)'!$B177:$Y177/'实盘净值数据(iFinD公式)'!$B$65:$Y$65)+SUMPRODUCT(分期持仓明细!$Z$23:$AA$23,'实盘净值数据(iFinD公式)'!$Z177:$AA177/'实盘净值数据(iFinD公式)'!$Z$65:$AA$65))*(1-实盘持仓配置!$AM$7)^(('实盘净值数据(iFinD公式)'!$A177-'实盘净值数据(iFinD公式)'!$A$8)/365))</f>
        <v/>
      </c>
      <c r="L177" s="16" t="str">
        <f t="shared" si="24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O$24*(SUMPRODUCT(分期持仓明细!$B$24:$Y$24,'实盘净值数据(iFinD公式)'!$B177:$Y177/'实盘净值数据(iFinD公式)'!$B$65:$Y$65)+SUMPRODUCT(分期持仓明细!$Z$24:$AA$24,'实盘净值数据(iFinD公式)'!$Z177:$AA177/'实盘净值数据(iFinD公式)'!$Z$65:$AA$65))*(1-实盘持仓配置!$AM$8)^(('实盘净值数据(iFinD公式)'!$A177-'实盘净值数据(iFinD公式)'!$A$5)/365))</f>
        <v/>
      </c>
      <c r="O177" s="16" t="str">
        <f t="shared" si="25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O$25*(SUMPRODUCT(分期持仓明细!$B$25:$Y$25,'实盘净值数据(iFinD公式)'!$B177:$Y177/'实盘净值数据(iFinD公式)'!$B$65:$Y$65)+SUMPRODUCT(分期持仓明细!$Z$25:$AA$25,'实盘净值数据(iFinD公式)'!$Z177:$AA177/'实盘净值数据(iFinD公式)'!$Z$65:$AA$65))*(1-实盘持仓配置!$AM$9)^(('实盘净值数据(iFinD公式)'!$A177-'实盘净值数据(iFinD公式)'!$A$8)/365))</f>
        <v/>
      </c>
      <c r="R177" s="16" t="str">
        <f t="shared" si="26"/>
        <v/>
      </c>
      <c r="S177" s="16" t="str">
        <f>IF(Q177="","",Q177/MAX(Q$5:Q177)-1)</f>
        <v/>
      </c>
      <c r="T177" s="13" t="str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Z$26:$AA$26,'实盘净值数据(iFinD公式)'!$Z177:$AA177/'实盘净值数据(iFinD公式)'!$Z$69:$AA$69)+SUMPRODUCT(分期持仓明细!$AB$26:$AL$26,'实盘净值数据(iFinD公式)'!$AB177:$AL177/'实盘净值数据(iFinD公式)'!$AB$69:$AL$69))*(1-实盘持仓配置!$AM$10)^(('实盘净值数据(iFinD公式)'!$A177-'实盘净值数据(iFinD公式)'!$A$69)/365))</f>
        <v/>
      </c>
      <c r="U177" s="16" t="str">
        <f t="shared" si="27"/>
        <v/>
      </c>
      <c r="V177" s="16" t="str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 t="str">
        <f>IF(OR('实盘净值数据(iFinD公式)'!$A178="",'实盘净值数据(iFinD公式)'!$B178=""),"",分期持仓明细!$AO$17*SUMPRODUCT(分期持仓明细!$B$17:$Y$17,'实盘净值数据(iFinD公式)'!$B178:$Y178/'实盘净值数据(iFinD公式)'!$B$20:$Y$20)*(1-实盘持仓配置!$AM$4)^(('实盘净值数据(iFinD公式)'!$A178-'实盘净值数据(iFinD公式)'!$A$6)/365))</f>
        <v/>
      </c>
      <c r="C178" s="16" t="str">
        <f t="shared" si="21"/>
        <v/>
      </c>
      <c r="D178" s="16" t="str">
        <f>IF(B178="","",B178/MAX(B$5:B178)-1)</f>
        <v/>
      </c>
      <c r="E178" s="13" t="str">
        <f>IF(OR('实盘净值数据(iFinD公式)'!$A178="",'实盘净值数据(iFinD公式)'!$B178=""),"",分期持仓明细!$AO$18*SUMPRODUCT(分期持仓明细!$B$18:$Y$18,'实盘净值数据(iFinD公式)'!$B178:$Y178/'实盘净值数据(iFinD公式)'!$B$20:$Y$20)*(1-实盘持仓配置!$AM$5)^(('实盘净值数据(iFinD公式)'!$A178-'实盘净值数据(iFinD公式)'!$A$5)/365))</f>
        <v/>
      </c>
      <c r="F178" s="16" t="str">
        <f t="shared" si="22"/>
        <v/>
      </c>
      <c r="G178" s="16" t="str">
        <f>IF(E178="","",E178/MAX(E$5:E178)-1)</f>
        <v/>
      </c>
      <c r="H178" s="13" t="str">
        <f>IF(OR('实盘净值数据(iFinD公式)'!$A178="",'实盘净值数据(iFinD公式)'!$B178=""),"",分期持仓明细!$AO$19*SUMPRODUCT(分期持仓明细!$B$19:$Y$19,'实盘净值数据(iFinD公式)'!$B178:$Y178/'实盘净值数据(iFinD公式)'!$B$20:$Y$20)*(1-实盘持仓配置!$AM$6)^(('实盘净值数据(iFinD公式)'!$A178-'实盘净值数据(iFinD公式)'!$A$7)/365))</f>
        <v/>
      </c>
      <c r="I178" s="16" t="str">
        <f t="shared" si="23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O$23*(SUMPRODUCT(分期持仓明细!$B$23:$Y$23,'实盘净值数据(iFinD公式)'!$B178:$Y178/'实盘净值数据(iFinD公式)'!$B$65:$Y$65)+SUMPRODUCT(分期持仓明细!$Z$23:$AA$23,'实盘净值数据(iFinD公式)'!$Z178:$AA178/'实盘净值数据(iFinD公式)'!$Z$65:$AA$65))*(1-实盘持仓配置!$AM$7)^(('实盘净值数据(iFinD公式)'!$A178-'实盘净值数据(iFinD公式)'!$A$8)/365))</f>
        <v/>
      </c>
      <c r="L178" s="16" t="str">
        <f t="shared" si="24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O$24*(SUMPRODUCT(分期持仓明细!$B$24:$Y$24,'实盘净值数据(iFinD公式)'!$B178:$Y178/'实盘净值数据(iFinD公式)'!$B$65:$Y$65)+SUMPRODUCT(分期持仓明细!$Z$24:$AA$24,'实盘净值数据(iFinD公式)'!$Z178:$AA178/'实盘净值数据(iFinD公式)'!$Z$65:$AA$65))*(1-实盘持仓配置!$AM$8)^(('实盘净值数据(iFinD公式)'!$A178-'实盘净值数据(iFinD公式)'!$A$5)/365))</f>
        <v/>
      </c>
      <c r="O178" s="16" t="str">
        <f t="shared" si="25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O$25*(SUMPRODUCT(分期持仓明细!$B$25:$Y$25,'实盘净值数据(iFinD公式)'!$B178:$Y178/'实盘净值数据(iFinD公式)'!$B$65:$Y$65)+SUMPRODUCT(分期持仓明细!$Z$25:$AA$25,'实盘净值数据(iFinD公式)'!$Z178:$AA178/'实盘净值数据(iFinD公式)'!$Z$65:$AA$65))*(1-实盘持仓配置!$AM$9)^(('实盘净值数据(iFinD公式)'!$A178-'实盘净值数据(iFinD公式)'!$A$8)/365))</f>
        <v/>
      </c>
      <c r="R178" s="16" t="str">
        <f t="shared" si="26"/>
        <v/>
      </c>
      <c r="S178" s="16" t="str">
        <f>IF(Q178="","",Q178/MAX(Q$5:Q178)-1)</f>
        <v/>
      </c>
      <c r="T178" s="13" t="str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Z$26:$AA$26,'实盘净值数据(iFinD公式)'!$Z178:$AA178/'实盘净值数据(iFinD公式)'!$Z$69:$AA$69)+SUMPRODUCT(分期持仓明细!$AB$26:$AL$26,'实盘净值数据(iFinD公式)'!$AB178:$AL178/'实盘净值数据(iFinD公式)'!$AB$69:$AL$69))*(1-实盘持仓配置!$AM$10)^(('实盘净值数据(iFinD公式)'!$A178-'实盘净值数据(iFinD公式)'!$A$69)/365))</f>
        <v/>
      </c>
      <c r="U178" s="16" t="str">
        <f t="shared" si="27"/>
        <v/>
      </c>
      <c r="V178" s="16" t="str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 t="str">
        <f>IF(OR('实盘净值数据(iFinD公式)'!$A179="",'实盘净值数据(iFinD公式)'!$B179=""),"",分期持仓明细!$AO$17*SUMPRODUCT(分期持仓明细!$B$17:$Y$17,'实盘净值数据(iFinD公式)'!$B179:$Y179/'实盘净值数据(iFinD公式)'!$B$20:$Y$20)*(1-实盘持仓配置!$AM$4)^(('实盘净值数据(iFinD公式)'!$A179-'实盘净值数据(iFinD公式)'!$A$6)/365))</f>
        <v/>
      </c>
      <c r="C179" s="16" t="str">
        <f t="shared" si="21"/>
        <v/>
      </c>
      <c r="D179" s="16" t="str">
        <f>IF(B179="","",B179/MAX(B$5:B179)-1)</f>
        <v/>
      </c>
      <c r="E179" s="13" t="str">
        <f>IF(OR('实盘净值数据(iFinD公式)'!$A179="",'实盘净值数据(iFinD公式)'!$B179=""),"",分期持仓明细!$AO$18*SUMPRODUCT(分期持仓明细!$B$18:$Y$18,'实盘净值数据(iFinD公式)'!$B179:$Y179/'实盘净值数据(iFinD公式)'!$B$20:$Y$20)*(1-实盘持仓配置!$AM$5)^(('实盘净值数据(iFinD公式)'!$A179-'实盘净值数据(iFinD公式)'!$A$5)/365))</f>
        <v/>
      </c>
      <c r="F179" s="16" t="str">
        <f t="shared" si="22"/>
        <v/>
      </c>
      <c r="G179" s="16" t="str">
        <f>IF(E179="","",E179/MAX(E$5:E179)-1)</f>
        <v/>
      </c>
      <c r="H179" s="13" t="str">
        <f>IF(OR('实盘净值数据(iFinD公式)'!$A179="",'实盘净值数据(iFinD公式)'!$B179=""),"",分期持仓明细!$AO$19*SUMPRODUCT(分期持仓明细!$B$19:$Y$19,'实盘净值数据(iFinD公式)'!$B179:$Y179/'实盘净值数据(iFinD公式)'!$B$20:$Y$20)*(1-实盘持仓配置!$AM$6)^(('实盘净值数据(iFinD公式)'!$A179-'实盘净值数据(iFinD公式)'!$A$7)/365))</f>
        <v/>
      </c>
      <c r="I179" s="16" t="str">
        <f t="shared" si="23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O$23*(SUMPRODUCT(分期持仓明细!$B$23:$Y$23,'实盘净值数据(iFinD公式)'!$B179:$Y179/'实盘净值数据(iFinD公式)'!$B$65:$Y$65)+SUMPRODUCT(分期持仓明细!$Z$23:$AA$23,'实盘净值数据(iFinD公式)'!$Z179:$AA179/'实盘净值数据(iFinD公式)'!$Z$65:$AA$65))*(1-实盘持仓配置!$AM$7)^(('实盘净值数据(iFinD公式)'!$A179-'实盘净值数据(iFinD公式)'!$A$8)/365))</f>
        <v/>
      </c>
      <c r="L179" s="16" t="str">
        <f t="shared" si="24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O$24*(SUMPRODUCT(分期持仓明细!$B$24:$Y$24,'实盘净值数据(iFinD公式)'!$B179:$Y179/'实盘净值数据(iFinD公式)'!$B$65:$Y$65)+SUMPRODUCT(分期持仓明细!$Z$24:$AA$24,'实盘净值数据(iFinD公式)'!$Z179:$AA179/'实盘净值数据(iFinD公式)'!$Z$65:$AA$65))*(1-实盘持仓配置!$AM$8)^(('实盘净值数据(iFinD公式)'!$A179-'实盘净值数据(iFinD公式)'!$A$5)/365))</f>
        <v/>
      </c>
      <c r="O179" s="16" t="str">
        <f t="shared" si="25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O$25*(SUMPRODUCT(分期持仓明细!$B$25:$Y$25,'实盘净值数据(iFinD公式)'!$B179:$Y179/'实盘净值数据(iFinD公式)'!$B$65:$Y$65)+SUMPRODUCT(分期持仓明细!$Z$25:$AA$25,'实盘净值数据(iFinD公式)'!$Z179:$AA179/'实盘净值数据(iFinD公式)'!$Z$65:$AA$65))*(1-实盘持仓配置!$AM$9)^(('实盘净值数据(iFinD公式)'!$A179-'实盘净值数据(iFinD公式)'!$A$8)/365))</f>
        <v/>
      </c>
      <c r="R179" s="16" t="str">
        <f t="shared" si="26"/>
        <v/>
      </c>
      <c r="S179" s="16" t="str">
        <f>IF(Q179="","",Q179/MAX(Q$5:Q179)-1)</f>
        <v/>
      </c>
      <c r="T179" s="13" t="str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Z$26:$AA$26,'实盘净值数据(iFinD公式)'!$Z179:$AA179/'实盘净值数据(iFinD公式)'!$Z$69:$AA$69)+SUMPRODUCT(分期持仓明细!$AB$26:$AL$26,'实盘净值数据(iFinD公式)'!$AB179:$AL179/'实盘净值数据(iFinD公式)'!$AB$69:$AL$69))*(1-实盘持仓配置!$AM$10)^(('实盘净值数据(iFinD公式)'!$A179-'实盘净值数据(iFinD公式)'!$A$69)/365))</f>
        <v/>
      </c>
      <c r="U179" s="16" t="str">
        <f t="shared" si="27"/>
        <v/>
      </c>
      <c r="V179" s="16" t="str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 t="str">
        <f>IF(OR('实盘净值数据(iFinD公式)'!$A180="",'实盘净值数据(iFinD公式)'!$B180=""),"",分期持仓明细!$AO$17*SUMPRODUCT(分期持仓明细!$B$17:$Y$17,'实盘净值数据(iFinD公式)'!$B180:$Y180/'实盘净值数据(iFinD公式)'!$B$20:$Y$20)*(1-实盘持仓配置!$AM$4)^(('实盘净值数据(iFinD公式)'!$A180-'实盘净值数据(iFinD公式)'!$A$6)/365))</f>
        <v/>
      </c>
      <c r="C180" s="16" t="str">
        <f t="shared" si="21"/>
        <v/>
      </c>
      <c r="D180" s="16" t="str">
        <f>IF(B180="","",B180/MAX(B$5:B180)-1)</f>
        <v/>
      </c>
      <c r="E180" s="13" t="str">
        <f>IF(OR('实盘净值数据(iFinD公式)'!$A180="",'实盘净值数据(iFinD公式)'!$B180=""),"",分期持仓明细!$AO$18*SUMPRODUCT(分期持仓明细!$B$18:$Y$18,'实盘净值数据(iFinD公式)'!$B180:$Y180/'实盘净值数据(iFinD公式)'!$B$20:$Y$20)*(1-实盘持仓配置!$AM$5)^(('实盘净值数据(iFinD公式)'!$A180-'实盘净值数据(iFinD公式)'!$A$5)/365))</f>
        <v/>
      </c>
      <c r="F180" s="16" t="str">
        <f t="shared" si="22"/>
        <v/>
      </c>
      <c r="G180" s="16" t="str">
        <f>IF(E180="","",E180/MAX(E$5:E180)-1)</f>
        <v/>
      </c>
      <c r="H180" s="13" t="str">
        <f>IF(OR('实盘净值数据(iFinD公式)'!$A180="",'实盘净值数据(iFinD公式)'!$B180=""),"",分期持仓明细!$AO$19*SUMPRODUCT(分期持仓明细!$B$19:$Y$19,'实盘净值数据(iFinD公式)'!$B180:$Y180/'实盘净值数据(iFinD公式)'!$B$20:$Y$20)*(1-实盘持仓配置!$AM$6)^(('实盘净值数据(iFinD公式)'!$A180-'实盘净值数据(iFinD公式)'!$A$7)/365))</f>
        <v/>
      </c>
      <c r="I180" s="16" t="str">
        <f t="shared" si="23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O$23*(SUMPRODUCT(分期持仓明细!$B$23:$Y$23,'实盘净值数据(iFinD公式)'!$B180:$Y180/'实盘净值数据(iFinD公式)'!$B$65:$Y$65)+SUMPRODUCT(分期持仓明细!$Z$23:$AA$23,'实盘净值数据(iFinD公式)'!$Z180:$AA180/'实盘净值数据(iFinD公式)'!$Z$65:$AA$65))*(1-实盘持仓配置!$AM$7)^(('实盘净值数据(iFinD公式)'!$A180-'实盘净值数据(iFinD公式)'!$A$8)/365))</f>
        <v/>
      </c>
      <c r="L180" s="16" t="str">
        <f t="shared" si="24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O$24*(SUMPRODUCT(分期持仓明细!$B$24:$Y$24,'实盘净值数据(iFinD公式)'!$B180:$Y180/'实盘净值数据(iFinD公式)'!$B$65:$Y$65)+SUMPRODUCT(分期持仓明细!$Z$24:$AA$24,'实盘净值数据(iFinD公式)'!$Z180:$AA180/'实盘净值数据(iFinD公式)'!$Z$65:$AA$65))*(1-实盘持仓配置!$AM$8)^(('实盘净值数据(iFinD公式)'!$A180-'实盘净值数据(iFinD公式)'!$A$5)/365))</f>
        <v/>
      </c>
      <c r="O180" s="16" t="str">
        <f t="shared" si="25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O$25*(SUMPRODUCT(分期持仓明细!$B$25:$Y$25,'实盘净值数据(iFinD公式)'!$B180:$Y180/'实盘净值数据(iFinD公式)'!$B$65:$Y$65)+SUMPRODUCT(分期持仓明细!$Z$25:$AA$25,'实盘净值数据(iFinD公式)'!$Z180:$AA180/'实盘净值数据(iFinD公式)'!$Z$65:$AA$65))*(1-实盘持仓配置!$AM$9)^(('实盘净值数据(iFinD公式)'!$A180-'实盘净值数据(iFinD公式)'!$A$8)/365))</f>
        <v/>
      </c>
      <c r="R180" s="16" t="str">
        <f t="shared" si="26"/>
        <v/>
      </c>
      <c r="S180" s="16" t="str">
        <f>IF(Q180="","",Q180/MAX(Q$5:Q180)-1)</f>
        <v/>
      </c>
      <c r="T180" s="13" t="str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Z$26:$AA$26,'实盘净值数据(iFinD公式)'!$Z180:$AA180/'实盘净值数据(iFinD公式)'!$Z$69:$AA$69)+SUMPRODUCT(分期持仓明细!$AB$26:$AL$26,'实盘净值数据(iFinD公式)'!$AB180:$AL180/'实盘净值数据(iFinD公式)'!$AB$69:$AL$69))*(1-实盘持仓配置!$AM$10)^(('实盘净值数据(iFinD公式)'!$A180-'实盘净值数据(iFinD公式)'!$A$69)/365))</f>
        <v/>
      </c>
      <c r="U180" s="16" t="str">
        <f t="shared" si="27"/>
        <v/>
      </c>
      <c r="V180" s="16" t="str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 t="str">
        <f>IF(OR('实盘净值数据(iFinD公式)'!$A181="",'实盘净值数据(iFinD公式)'!$B181=""),"",分期持仓明细!$AO$17*SUMPRODUCT(分期持仓明细!$B$17:$Y$17,'实盘净值数据(iFinD公式)'!$B181:$Y181/'实盘净值数据(iFinD公式)'!$B$20:$Y$20)*(1-实盘持仓配置!$AM$4)^(('实盘净值数据(iFinD公式)'!$A181-'实盘净值数据(iFinD公式)'!$A$6)/365))</f>
        <v/>
      </c>
      <c r="C181" s="16" t="str">
        <f t="shared" si="21"/>
        <v/>
      </c>
      <c r="D181" s="16" t="str">
        <f>IF(B181="","",B181/MAX(B$5:B181)-1)</f>
        <v/>
      </c>
      <c r="E181" s="13" t="str">
        <f>IF(OR('实盘净值数据(iFinD公式)'!$A181="",'实盘净值数据(iFinD公式)'!$B181=""),"",分期持仓明细!$AO$18*SUMPRODUCT(分期持仓明细!$B$18:$Y$18,'实盘净值数据(iFinD公式)'!$B181:$Y181/'实盘净值数据(iFinD公式)'!$B$20:$Y$20)*(1-实盘持仓配置!$AM$5)^(('实盘净值数据(iFinD公式)'!$A181-'实盘净值数据(iFinD公式)'!$A$5)/365))</f>
        <v/>
      </c>
      <c r="F181" s="16" t="str">
        <f t="shared" si="22"/>
        <v/>
      </c>
      <c r="G181" s="16" t="str">
        <f>IF(E181="","",E181/MAX(E$5:E181)-1)</f>
        <v/>
      </c>
      <c r="H181" s="13" t="str">
        <f>IF(OR('实盘净值数据(iFinD公式)'!$A181="",'实盘净值数据(iFinD公式)'!$B181=""),"",分期持仓明细!$AO$19*SUMPRODUCT(分期持仓明细!$B$19:$Y$19,'实盘净值数据(iFinD公式)'!$B181:$Y181/'实盘净值数据(iFinD公式)'!$B$20:$Y$20)*(1-实盘持仓配置!$AM$6)^(('实盘净值数据(iFinD公式)'!$A181-'实盘净值数据(iFinD公式)'!$A$7)/365))</f>
        <v/>
      </c>
      <c r="I181" s="16" t="str">
        <f t="shared" si="23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O$23*(SUMPRODUCT(分期持仓明细!$B$23:$Y$23,'实盘净值数据(iFinD公式)'!$B181:$Y181/'实盘净值数据(iFinD公式)'!$B$65:$Y$65)+SUMPRODUCT(分期持仓明细!$Z$23:$AA$23,'实盘净值数据(iFinD公式)'!$Z181:$AA181/'实盘净值数据(iFinD公式)'!$Z$65:$AA$65))*(1-实盘持仓配置!$AM$7)^(('实盘净值数据(iFinD公式)'!$A181-'实盘净值数据(iFinD公式)'!$A$8)/365))</f>
        <v/>
      </c>
      <c r="L181" s="16" t="str">
        <f t="shared" si="24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O$24*(SUMPRODUCT(分期持仓明细!$B$24:$Y$24,'实盘净值数据(iFinD公式)'!$B181:$Y181/'实盘净值数据(iFinD公式)'!$B$65:$Y$65)+SUMPRODUCT(分期持仓明细!$Z$24:$AA$24,'实盘净值数据(iFinD公式)'!$Z181:$AA181/'实盘净值数据(iFinD公式)'!$Z$65:$AA$65))*(1-实盘持仓配置!$AM$8)^(('实盘净值数据(iFinD公式)'!$A181-'实盘净值数据(iFinD公式)'!$A$5)/365))</f>
        <v/>
      </c>
      <c r="O181" s="16" t="str">
        <f t="shared" si="25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O$25*(SUMPRODUCT(分期持仓明细!$B$25:$Y$25,'实盘净值数据(iFinD公式)'!$B181:$Y181/'实盘净值数据(iFinD公式)'!$B$65:$Y$65)+SUMPRODUCT(分期持仓明细!$Z$25:$AA$25,'实盘净值数据(iFinD公式)'!$Z181:$AA181/'实盘净值数据(iFinD公式)'!$Z$65:$AA$65))*(1-实盘持仓配置!$AM$9)^(('实盘净值数据(iFinD公式)'!$A181-'实盘净值数据(iFinD公式)'!$A$8)/365))</f>
        <v/>
      </c>
      <c r="R181" s="16" t="str">
        <f t="shared" si="26"/>
        <v/>
      </c>
      <c r="S181" s="16" t="str">
        <f>IF(Q181="","",Q181/MAX(Q$5:Q181)-1)</f>
        <v/>
      </c>
      <c r="T181" s="13" t="str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Z$26:$AA$26,'实盘净值数据(iFinD公式)'!$Z181:$AA181/'实盘净值数据(iFinD公式)'!$Z$69:$AA$69)+SUMPRODUCT(分期持仓明细!$AB$26:$AL$26,'实盘净值数据(iFinD公式)'!$AB181:$AL181/'实盘净值数据(iFinD公式)'!$AB$69:$AL$69))*(1-实盘持仓配置!$AM$10)^(('实盘净值数据(iFinD公式)'!$A181-'实盘净值数据(iFinD公式)'!$A$69)/365))</f>
        <v/>
      </c>
      <c r="U181" s="16" t="str">
        <f t="shared" si="27"/>
        <v/>
      </c>
      <c r="V181" s="16" t="str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 t="str">
        <f>IF(OR('实盘净值数据(iFinD公式)'!$A182="",'实盘净值数据(iFinD公式)'!$B182=""),"",分期持仓明细!$AO$17*SUMPRODUCT(分期持仓明细!$B$17:$Y$17,'实盘净值数据(iFinD公式)'!$B182:$Y182/'实盘净值数据(iFinD公式)'!$B$20:$Y$20)*(1-实盘持仓配置!$AM$4)^(('实盘净值数据(iFinD公式)'!$A182-'实盘净值数据(iFinD公式)'!$A$6)/365))</f>
        <v/>
      </c>
      <c r="C182" s="16" t="str">
        <f t="shared" si="21"/>
        <v/>
      </c>
      <c r="D182" s="16" t="str">
        <f>IF(B182="","",B182/MAX(B$5:B182)-1)</f>
        <v/>
      </c>
      <c r="E182" s="13" t="str">
        <f>IF(OR('实盘净值数据(iFinD公式)'!$A182="",'实盘净值数据(iFinD公式)'!$B182=""),"",分期持仓明细!$AO$18*SUMPRODUCT(分期持仓明细!$B$18:$Y$18,'实盘净值数据(iFinD公式)'!$B182:$Y182/'实盘净值数据(iFinD公式)'!$B$20:$Y$20)*(1-实盘持仓配置!$AM$5)^(('实盘净值数据(iFinD公式)'!$A182-'实盘净值数据(iFinD公式)'!$A$5)/365))</f>
        <v/>
      </c>
      <c r="F182" s="16" t="str">
        <f t="shared" si="22"/>
        <v/>
      </c>
      <c r="G182" s="16" t="str">
        <f>IF(E182="","",E182/MAX(E$5:E182)-1)</f>
        <v/>
      </c>
      <c r="H182" s="13" t="str">
        <f>IF(OR('实盘净值数据(iFinD公式)'!$A182="",'实盘净值数据(iFinD公式)'!$B182=""),"",分期持仓明细!$AO$19*SUMPRODUCT(分期持仓明细!$B$19:$Y$19,'实盘净值数据(iFinD公式)'!$B182:$Y182/'实盘净值数据(iFinD公式)'!$B$20:$Y$20)*(1-实盘持仓配置!$AM$6)^(('实盘净值数据(iFinD公式)'!$A182-'实盘净值数据(iFinD公式)'!$A$7)/365))</f>
        <v/>
      </c>
      <c r="I182" s="16" t="str">
        <f t="shared" si="23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O$23*(SUMPRODUCT(分期持仓明细!$B$23:$Y$23,'实盘净值数据(iFinD公式)'!$B182:$Y182/'实盘净值数据(iFinD公式)'!$B$65:$Y$65)+SUMPRODUCT(分期持仓明细!$Z$23:$AA$23,'实盘净值数据(iFinD公式)'!$Z182:$AA182/'实盘净值数据(iFinD公式)'!$Z$65:$AA$65))*(1-实盘持仓配置!$AM$7)^(('实盘净值数据(iFinD公式)'!$A182-'实盘净值数据(iFinD公式)'!$A$8)/365))</f>
        <v/>
      </c>
      <c r="L182" s="16" t="str">
        <f t="shared" si="24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O$24*(SUMPRODUCT(分期持仓明细!$B$24:$Y$24,'实盘净值数据(iFinD公式)'!$B182:$Y182/'实盘净值数据(iFinD公式)'!$B$65:$Y$65)+SUMPRODUCT(分期持仓明细!$Z$24:$AA$24,'实盘净值数据(iFinD公式)'!$Z182:$AA182/'实盘净值数据(iFinD公式)'!$Z$65:$AA$65))*(1-实盘持仓配置!$AM$8)^(('实盘净值数据(iFinD公式)'!$A182-'实盘净值数据(iFinD公式)'!$A$5)/365))</f>
        <v/>
      </c>
      <c r="O182" s="16" t="str">
        <f t="shared" si="25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O$25*(SUMPRODUCT(分期持仓明细!$B$25:$Y$25,'实盘净值数据(iFinD公式)'!$B182:$Y182/'实盘净值数据(iFinD公式)'!$B$65:$Y$65)+SUMPRODUCT(分期持仓明细!$Z$25:$AA$25,'实盘净值数据(iFinD公式)'!$Z182:$AA182/'实盘净值数据(iFinD公式)'!$Z$65:$AA$65))*(1-实盘持仓配置!$AM$9)^(('实盘净值数据(iFinD公式)'!$A182-'实盘净值数据(iFinD公式)'!$A$8)/365))</f>
        <v/>
      </c>
      <c r="R182" s="16" t="str">
        <f t="shared" si="26"/>
        <v/>
      </c>
      <c r="S182" s="16" t="str">
        <f>IF(Q182="","",Q182/MAX(Q$5:Q182)-1)</f>
        <v/>
      </c>
      <c r="T182" s="13" t="str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Z$26:$AA$26,'实盘净值数据(iFinD公式)'!$Z182:$AA182/'实盘净值数据(iFinD公式)'!$Z$69:$AA$69)+SUMPRODUCT(分期持仓明细!$AB$26:$AL$26,'实盘净值数据(iFinD公式)'!$AB182:$AL182/'实盘净值数据(iFinD公式)'!$AB$69:$AL$69))*(1-实盘持仓配置!$AM$10)^(('实盘净值数据(iFinD公式)'!$A182-'实盘净值数据(iFinD公式)'!$A$69)/365))</f>
        <v/>
      </c>
      <c r="U182" s="16" t="str">
        <f t="shared" si="27"/>
        <v/>
      </c>
      <c r="V182" s="16" t="str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 t="str">
        <f>IF(OR('实盘净值数据(iFinD公式)'!$A183="",'实盘净值数据(iFinD公式)'!$B183=""),"",分期持仓明细!$AO$17*SUMPRODUCT(分期持仓明细!$B$17:$Y$17,'实盘净值数据(iFinD公式)'!$B183:$Y183/'实盘净值数据(iFinD公式)'!$B$20:$Y$20)*(1-实盘持仓配置!$AM$4)^(('实盘净值数据(iFinD公式)'!$A183-'实盘净值数据(iFinD公式)'!$A$6)/365))</f>
        <v/>
      </c>
      <c r="C183" s="16" t="str">
        <f t="shared" si="21"/>
        <v/>
      </c>
      <c r="D183" s="16" t="str">
        <f>IF(B183="","",B183/MAX(B$5:B183)-1)</f>
        <v/>
      </c>
      <c r="E183" s="13" t="str">
        <f>IF(OR('实盘净值数据(iFinD公式)'!$A183="",'实盘净值数据(iFinD公式)'!$B183=""),"",分期持仓明细!$AO$18*SUMPRODUCT(分期持仓明细!$B$18:$Y$18,'实盘净值数据(iFinD公式)'!$B183:$Y183/'实盘净值数据(iFinD公式)'!$B$20:$Y$20)*(1-实盘持仓配置!$AM$5)^(('实盘净值数据(iFinD公式)'!$A183-'实盘净值数据(iFinD公式)'!$A$5)/365))</f>
        <v/>
      </c>
      <c r="F183" s="16" t="str">
        <f t="shared" si="22"/>
        <v/>
      </c>
      <c r="G183" s="16" t="str">
        <f>IF(E183="","",E183/MAX(E$5:E183)-1)</f>
        <v/>
      </c>
      <c r="H183" s="13" t="str">
        <f>IF(OR('实盘净值数据(iFinD公式)'!$A183="",'实盘净值数据(iFinD公式)'!$B183=""),"",分期持仓明细!$AO$19*SUMPRODUCT(分期持仓明细!$B$19:$Y$19,'实盘净值数据(iFinD公式)'!$B183:$Y183/'实盘净值数据(iFinD公式)'!$B$20:$Y$20)*(1-实盘持仓配置!$AM$6)^(('实盘净值数据(iFinD公式)'!$A183-'实盘净值数据(iFinD公式)'!$A$7)/365))</f>
        <v/>
      </c>
      <c r="I183" s="16" t="str">
        <f t="shared" si="23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O$23*(SUMPRODUCT(分期持仓明细!$B$23:$Y$23,'实盘净值数据(iFinD公式)'!$B183:$Y183/'实盘净值数据(iFinD公式)'!$B$65:$Y$65)+SUMPRODUCT(分期持仓明细!$Z$23:$AA$23,'实盘净值数据(iFinD公式)'!$Z183:$AA183/'实盘净值数据(iFinD公式)'!$Z$65:$AA$65))*(1-实盘持仓配置!$AM$7)^(('实盘净值数据(iFinD公式)'!$A183-'实盘净值数据(iFinD公式)'!$A$8)/365))</f>
        <v/>
      </c>
      <c r="L183" s="16" t="str">
        <f t="shared" si="24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O$24*(SUMPRODUCT(分期持仓明细!$B$24:$Y$24,'实盘净值数据(iFinD公式)'!$B183:$Y183/'实盘净值数据(iFinD公式)'!$B$65:$Y$65)+SUMPRODUCT(分期持仓明细!$Z$24:$AA$24,'实盘净值数据(iFinD公式)'!$Z183:$AA183/'实盘净值数据(iFinD公式)'!$Z$65:$AA$65))*(1-实盘持仓配置!$AM$8)^(('实盘净值数据(iFinD公式)'!$A183-'实盘净值数据(iFinD公式)'!$A$5)/365))</f>
        <v/>
      </c>
      <c r="O183" s="16" t="str">
        <f t="shared" si="25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O$25*(SUMPRODUCT(分期持仓明细!$B$25:$Y$25,'实盘净值数据(iFinD公式)'!$B183:$Y183/'实盘净值数据(iFinD公式)'!$B$65:$Y$65)+SUMPRODUCT(分期持仓明细!$Z$25:$AA$25,'实盘净值数据(iFinD公式)'!$Z183:$AA183/'实盘净值数据(iFinD公式)'!$Z$65:$AA$65))*(1-实盘持仓配置!$AM$9)^(('实盘净值数据(iFinD公式)'!$A183-'实盘净值数据(iFinD公式)'!$A$8)/365))</f>
        <v/>
      </c>
      <c r="R183" s="16" t="str">
        <f t="shared" si="26"/>
        <v/>
      </c>
      <c r="S183" s="16" t="str">
        <f>IF(Q183="","",Q183/MAX(Q$5:Q183)-1)</f>
        <v/>
      </c>
      <c r="T183" s="13" t="str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Z$26:$AA$26,'实盘净值数据(iFinD公式)'!$Z183:$AA183/'实盘净值数据(iFinD公式)'!$Z$69:$AA$69)+SUMPRODUCT(分期持仓明细!$AB$26:$AL$26,'实盘净值数据(iFinD公式)'!$AB183:$AL183/'实盘净值数据(iFinD公式)'!$AB$69:$AL$69))*(1-实盘持仓配置!$AM$10)^(('实盘净值数据(iFinD公式)'!$A183-'实盘净值数据(iFinD公式)'!$A$69)/365))</f>
        <v/>
      </c>
      <c r="U183" s="16" t="str">
        <f t="shared" si="27"/>
        <v/>
      </c>
      <c r="V183" s="16" t="str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 t="str">
        <f>IF(OR('实盘净值数据(iFinD公式)'!$A184="",'实盘净值数据(iFinD公式)'!$B184=""),"",分期持仓明细!$AO$17*SUMPRODUCT(分期持仓明细!$B$17:$Y$17,'实盘净值数据(iFinD公式)'!$B184:$Y184/'实盘净值数据(iFinD公式)'!$B$20:$Y$20)*(1-实盘持仓配置!$AM$4)^(('实盘净值数据(iFinD公式)'!$A184-'实盘净值数据(iFinD公式)'!$A$6)/365))</f>
        <v/>
      </c>
      <c r="C184" s="16" t="str">
        <f t="shared" si="21"/>
        <v/>
      </c>
      <c r="D184" s="16" t="str">
        <f>IF(B184="","",B184/MAX(B$5:B184)-1)</f>
        <v/>
      </c>
      <c r="E184" s="13" t="str">
        <f>IF(OR('实盘净值数据(iFinD公式)'!$A184="",'实盘净值数据(iFinD公式)'!$B184=""),"",分期持仓明细!$AO$18*SUMPRODUCT(分期持仓明细!$B$18:$Y$18,'实盘净值数据(iFinD公式)'!$B184:$Y184/'实盘净值数据(iFinD公式)'!$B$20:$Y$20)*(1-实盘持仓配置!$AM$5)^(('实盘净值数据(iFinD公式)'!$A184-'实盘净值数据(iFinD公式)'!$A$5)/365))</f>
        <v/>
      </c>
      <c r="F184" s="16" t="str">
        <f t="shared" si="22"/>
        <v/>
      </c>
      <c r="G184" s="16" t="str">
        <f>IF(E184="","",E184/MAX(E$5:E184)-1)</f>
        <v/>
      </c>
      <c r="H184" s="13" t="str">
        <f>IF(OR('实盘净值数据(iFinD公式)'!$A184="",'实盘净值数据(iFinD公式)'!$B184=""),"",分期持仓明细!$AO$19*SUMPRODUCT(分期持仓明细!$B$19:$Y$19,'实盘净值数据(iFinD公式)'!$B184:$Y184/'实盘净值数据(iFinD公式)'!$B$20:$Y$20)*(1-实盘持仓配置!$AM$6)^(('实盘净值数据(iFinD公式)'!$A184-'实盘净值数据(iFinD公式)'!$A$7)/365))</f>
        <v/>
      </c>
      <c r="I184" s="16" t="str">
        <f t="shared" si="23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O$23*(SUMPRODUCT(分期持仓明细!$B$23:$Y$23,'实盘净值数据(iFinD公式)'!$B184:$Y184/'实盘净值数据(iFinD公式)'!$B$65:$Y$65)+SUMPRODUCT(分期持仓明细!$Z$23:$AA$23,'实盘净值数据(iFinD公式)'!$Z184:$AA184/'实盘净值数据(iFinD公式)'!$Z$65:$AA$65))*(1-实盘持仓配置!$AM$7)^(('实盘净值数据(iFinD公式)'!$A184-'实盘净值数据(iFinD公式)'!$A$8)/365))</f>
        <v/>
      </c>
      <c r="L184" s="16" t="str">
        <f t="shared" si="24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O$24*(SUMPRODUCT(分期持仓明细!$B$24:$Y$24,'实盘净值数据(iFinD公式)'!$B184:$Y184/'实盘净值数据(iFinD公式)'!$B$65:$Y$65)+SUMPRODUCT(分期持仓明细!$Z$24:$AA$24,'实盘净值数据(iFinD公式)'!$Z184:$AA184/'实盘净值数据(iFinD公式)'!$Z$65:$AA$65))*(1-实盘持仓配置!$AM$8)^(('实盘净值数据(iFinD公式)'!$A184-'实盘净值数据(iFinD公式)'!$A$5)/365))</f>
        <v/>
      </c>
      <c r="O184" s="16" t="str">
        <f t="shared" si="25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O$25*(SUMPRODUCT(分期持仓明细!$B$25:$Y$25,'实盘净值数据(iFinD公式)'!$B184:$Y184/'实盘净值数据(iFinD公式)'!$B$65:$Y$65)+SUMPRODUCT(分期持仓明细!$Z$25:$AA$25,'实盘净值数据(iFinD公式)'!$Z184:$AA184/'实盘净值数据(iFinD公式)'!$Z$65:$AA$65))*(1-实盘持仓配置!$AM$9)^(('实盘净值数据(iFinD公式)'!$A184-'实盘净值数据(iFinD公式)'!$A$8)/365))</f>
        <v/>
      </c>
      <c r="R184" s="16" t="str">
        <f t="shared" si="26"/>
        <v/>
      </c>
      <c r="S184" s="16" t="str">
        <f>IF(Q184="","",Q184/MAX(Q$5:Q184)-1)</f>
        <v/>
      </c>
      <c r="T184" s="13" t="str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Z$26:$AA$26,'实盘净值数据(iFinD公式)'!$Z184:$AA184/'实盘净值数据(iFinD公式)'!$Z$69:$AA$69)+SUMPRODUCT(分期持仓明细!$AB$26:$AL$26,'实盘净值数据(iFinD公式)'!$AB184:$AL184/'实盘净值数据(iFinD公式)'!$AB$69:$AL$69))*(1-实盘持仓配置!$AM$10)^(('实盘净值数据(iFinD公式)'!$A184-'实盘净值数据(iFinD公式)'!$A$69)/365))</f>
        <v/>
      </c>
      <c r="U184" s="16" t="str">
        <f t="shared" si="27"/>
        <v/>
      </c>
      <c r="V184" s="16" t="str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 t="str">
        <f>IF(OR('实盘净值数据(iFinD公式)'!$A185="",'实盘净值数据(iFinD公式)'!$B185=""),"",分期持仓明细!$AO$17*SUMPRODUCT(分期持仓明细!$B$17:$Y$17,'实盘净值数据(iFinD公式)'!$B185:$Y185/'实盘净值数据(iFinD公式)'!$B$20:$Y$20)*(1-实盘持仓配置!$AM$4)^(('实盘净值数据(iFinD公式)'!$A185-'实盘净值数据(iFinD公式)'!$A$6)/365))</f>
        <v/>
      </c>
      <c r="C185" s="16" t="str">
        <f t="shared" si="21"/>
        <v/>
      </c>
      <c r="D185" s="16" t="str">
        <f>IF(B185="","",B185/MAX(B$5:B185)-1)</f>
        <v/>
      </c>
      <c r="E185" s="13" t="str">
        <f>IF(OR('实盘净值数据(iFinD公式)'!$A185="",'实盘净值数据(iFinD公式)'!$B185=""),"",分期持仓明细!$AO$18*SUMPRODUCT(分期持仓明细!$B$18:$Y$18,'实盘净值数据(iFinD公式)'!$B185:$Y185/'实盘净值数据(iFinD公式)'!$B$20:$Y$20)*(1-实盘持仓配置!$AM$5)^(('实盘净值数据(iFinD公式)'!$A185-'实盘净值数据(iFinD公式)'!$A$5)/365))</f>
        <v/>
      </c>
      <c r="F185" s="16" t="str">
        <f t="shared" si="22"/>
        <v/>
      </c>
      <c r="G185" s="16" t="str">
        <f>IF(E185="","",E185/MAX(E$5:E185)-1)</f>
        <v/>
      </c>
      <c r="H185" s="13" t="str">
        <f>IF(OR('实盘净值数据(iFinD公式)'!$A185="",'实盘净值数据(iFinD公式)'!$B185=""),"",分期持仓明细!$AO$19*SUMPRODUCT(分期持仓明细!$B$19:$Y$19,'实盘净值数据(iFinD公式)'!$B185:$Y185/'实盘净值数据(iFinD公式)'!$B$20:$Y$20)*(1-实盘持仓配置!$AM$6)^(('实盘净值数据(iFinD公式)'!$A185-'实盘净值数据(iFinD公式)'!$A$7)/365))</f>
        <v/>
      </c>
      <c r="I185" s="16" t="str">
        <f t="shared" si="23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O$23*(SUMPRODUCT(分期持仓明细!$B$23:$Y$23,'实盘净值数据(iFinD公式)'!$B185:$Y185/'实盘净值数据(iFinD公式)'!$B$65:$Y$65)+SUMPRODUCT(分期持仓明细!$Z$23:$AA$23,'实盘净值数据(iFinD公式)'!$Z185:$AA185/'实盘净值数据(iFinD公式)'!$Z$65:$AA$65))*(1-实盘持仓配置!$AM$7)^(('实盘净值数据(iFinD公式)'!$A185-'实盘净值数据(iFinD公式)'!$A$8)/365))</f>
        <v/>
      </c>
      <c r="L185" s="16" t="str">
        <f t="shared" si="24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O$24*(SUMPRODUCT(分期持仓明细!$B$24:$Y$24,'实盘净值数据(iFinD公式)'!$B185:$Y185/'实盘净值数据(iFinD公式)'!$B$65:$Y$65)+SUMPRODUCT(分期持仓明细!$Z$24:$AA$24,'实盘净值数据(iFinD公式)'!$Z185:$AA185/'实盘净值数据(iFinD公式)'!$Z$65:$AA$65))*(1-实盘持仓配置!$AM$8)^(('实盘净值数据(iFinD公式)'!$A185-'实盘净值数据(iFinD公式)'!$A$5)/365))</f>
        <v/>
      </c>
      <c r="O185" s="16" t="str">
        <f t="shared" si="25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O$25*(SUMPRODUCT(分期持仓明细!$B$25:$Y$25,'实盘净值数据(iFinD公式)'!$B185:$Y185/'实盘净值数据(iFinD公式)'!$B$65:$Y$65)+SUMPRODUCT(分期持仓明细!$Z$25:$AA$25,'实盘净值数据(iFinD公式)'!$Z185:$AA185/'实盘净值数据(iFinD公式)'!$Z$65:$AA$65))*(1-实盘持仓配置!$AM$9)^(('实盘净值数据(iFinD公式)'!$A185-'实盘净值数据(iFinD公式)'!$A$8)/365))</f>
        <v/>
      </c>
      <c r="R185" s="16" t="str">
        <f t="shared" si="26"/>
        <v/>
      </c>
      <c r="S185" s="16" t="str">
        <f>IF(Q185="","",Q185/MAX(Q$5:Q185)-1)</f>
        <v/>
      </c>
      <c r="T185" s="13" t="str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Z$26:$AA$26,'实盘净值数据(iFinD公式)'!$Z185:$AA185/'实盘净值数据(iFinD公式)'!$Z$69:$AA$69)+SUMPRODUCT(分期持仓明细!$AB$26:$AL$26,'实盘净值数据(iFinD公式)'!$AB185:$AL185/'实盘净值数据(iFinD公式)'!$AB$69:$AL$69))*(1-实盘持仓配置!$AM$10)^(('实盘净值数据(iFinD公式)'!$A185-'实盘净值数据(iFinD公式)'!$A$69)/365))</f>
        <v/>
      </c>
      <c r="U185" s="16" t="str">
        <f t="shared" si="27"/>
        <v/>
      </c>
      <c r="V185" s="16" t="str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 t="str">
        <f>IF(OR('实盘净值数据(iFinD公式)'!$A186="",'实盘净值数据(iFinD公式)'!$B186=""),"",分期持仓明细!$AO$17*SUMPRODUCT(分期持仓明细!$B$17:$Y$17,'实盘净值数据(iFinD公式)'!$B186:$Y186/'实盘净值数据(iFinD公式)'!$B$20:$Y$20)*(1-实盘持仓配置!$AM$4)^(('实盘净值数据(iFinD公式)'!$A186-'实盘净值数据(iFinD公式)'!$A$6)/365))</f>
        <v/>
      </c>
      <c r="C186" s="16" t="str">
        <f t="shared" si="21"/>
        <v/>
      </c>
      <c r="D186" s="16" t="str">
        <f>IF(B186="","",B186/MAX(B$5:B186)-1)</f>
        <v/>
      </c>
      <c r="E186" s="13" t="str">
        <f>IF(OR('实盘净值数据(iFinD公式)'!$A186="",'实盘净值数据(iFinD公式)'!$B186=""),"",分期持仓明细!$AO$18*SUMPRODUCT(分期持仓明细!$B$18:$Y$18,'实盘净值数据(iFinD公式)'!$B186:$Y186/'实盘净值数据(iFinD公式)'!$B$20:$Y$20)*(1-实盘持仓配置!$AM$5)^(('实盘净值数据(iFinD公式)'!$A186-'实盘净值数据(iFinD公式)'!$A$5)/365))</f>
        <v/>
      </c>
      <c r="F186" s="16" t="str">
        <f t="shared" si="22"/>
        <v/>
      </c>
      <c r="G186" s="16" t="str">
        <f>IF(E186="","",E186/MAX(E$5:E186)-1)</f>
        <v/>
      </c>
      <c r="H186" s="13" t="str">
        <f>IF(OR('实盘净值数据(iFinD公式)'!$A186="",'实盘净值数据(iFinD公式)'!$B186=""),"",分期持仓明细!$AO$19*SUMPRODUCT(分期持仓明细!$B$19:$Y$19,'实盘净值数据(iFinD公式)'!$B186:$Y186/'实盘净值数据(iFinD公式)'!$B$20:$Y$20)*(1-实盘持仓配置!$AM$6)^(('实盘净值数据(iFinD公式)'!$A186-'实盘净值数据(iFinD公式)'!$A$7)/365))</f>
        <v/>
      </c>
      <c r="I186" s="16" t="str">
        <f t="shared" si="23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O$23*(SUMPRODUCT(分期持仓明细!$B$23:$Y$23,'实盘净值数据(iFinD公式)'!$B186:$Y186/'实盘净值数据(iFinD公式)'!$B$65:$Y$65)+SUMPRODUCT(分期持仓明细!$Z$23:$AA$23,'实盘净值数据(iFinD公式)'!$Z186:$AA186/'实盘净值数据(iFinD公式)'!$Z$65:$AA$65))*(1-实盘持仓配置!$AM$7)^(('实盘净值数据(iFinD公式)'!$A186-'实盘净值数据(iFinD公式)'!$A$8)/365))</f>
        <v/>
      </c>
      <c r="L186" s="16" t="str">
        <f t="shared" si="24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O$24*(SUMPRODUCT(分期持仓明细!$B$24:$Y$24,'实盘净值数据(iFinD公式)'!$B186:$Y186/'实盘净值数据(iFinD公式)'!$B$65:$Y$65)+SUMPRODUCT(分期持仓明细!$Z$24:$AA$24,'实盘净值数据(iFinD公式)'!$Z186:$AA186/'实盘净值数据(iFinD公式)'!$Z$65:$AA$65))*(1-实盘持仓配置!$AM$8)^(('实盘净值数据(iFinD公式)'!$A186-'实盘净值数据(iFinD公式)'!$A$5)/365))</f>
        <v/>
      </c>
      <c r="O186" s="16" t="str">
        <f t="shared" si="25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O$25*(SUMPRODUCT(分期持仓明细!$B$25:$Y$25,'实盘净值数据(iFinD公式)'!$B186:$Y186/'实盘净值数据(iFinD公式)'!$B$65:$Y$65)+SUMPRODUCT(分期持仓明细!$Z$25:$AA$25,'实盘净值数据(iFinD公式)'!$Z186:$AA186/'实盘净值数据(iFinD公式)'!$Z$65:$AA$65))*(1-实盘持仓配置!$AM$9)^(('实盘净值数据(iFinD公式)'!$A186-'实盘净值数据(iFinD公式)'!$A$8)/365))</f>
        <v/>
      </c>
      <c r="R186" s="16" t="str">
        <f t="shared" si="26"/>
        <v/>
      </c>
      <c r="S186" s="16" t="str">
        <f>IF(Q186="","",Q186/MAX(Q$5:Q186)-1)</f>
        <v/>
      </c>
      <c r="T186" s="13" t="str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Z$26:$AA$26,'实盘净值数据(iFinD公式)'!$Z186:$AA186/'实盘净值数据(iFinD公式)'!$Z$69:$AA$69)+SUMPRODUCT(分期持仓明细!$AB$26:$AL$26,'实盘净值数据(iFinD公式)'!$AB186:$AL186/'实盘净值数据(iFinD公式)'!$AB$69:$AL$69))*(1-实盘持仓配置!$AM$10)^(('实盘净值数据(iFinD公式)'!$A186-'实盘净值数据(iFinD公式)'!$A$69)/365))</f>
        <v/>
      </c>
      <c r="U186" s="16" t="str">
        <f t="shared" si="27"/>
        <v/>
      </c>
      <c r="V186" s="16" t="str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 t="str">
        <f>IF(OR('实盘净值数据(iFinD公式)'!$A187="",'实盘净值数据(iFinD公式)'!$B187=""),"",分期持仓明细!$AO$17*SUMPRODUCT(分期持仓明细!$B$17:$Y$17,'实盘净值数据(iFinD公式)'!$B187:$Y187/'实盘净值数据(iFinD公式)'!$B$20:$Y$20)*(1-实盘持仓配置!$AM$4)^(('实盘净值数据(iFinD公式)'!$A187-'实盘净值数据(iFinD公式)'!$A$6)/365))</f>
        <v/>
      </c>
      <c r="C187" s="16" t="str">
        <f t="shared" si="21"/>
        <v/>
      </c>
      <c r="D187" s="16" t="str">
        <f>IF(B187="","",B187/MAX(B$5:B187)-1)</f>
        <v/>
      </c>
      <c r="E187" s="13" t="str">
        <f>IF(OR('实盘净值数据(iFinD公式)'!$A187="",'实盘净值数据(iFinD公式)'!$B187=""),"",分期持仓明细!$AO$18*SUMPRODUCT(分期持仓明细!$B$18:$Y$18,'实盘净值数据(iFinD公式)'!$B187:$Y187/'实盘净值数据(iFinD公式)'!$B$20:$Y$20)*(1-实盘持仓配置!$AM$5)^(('实盘净值数据(iFinD公式)'!$A187-'实盘净值数据(iFinD公式)'!$A$5)/365))</f>
        <v/>
      </c>
      <c r="F187" s="16" t="str">
        <f t="shared" si="22"/>
        <v/>
      </c>
      <c r="G187" s="16" t="str">
        <f>IF(E187="","",E187/MAX(E$5:E187)-1)</f>
        <v/>
      </c>
      <c r="H187" s="13" t="str">
        <f>IF(OR('实盘净值数据(iFinD公式)'!$A187="",'实盘净值数据(iFinD公式)'!$B187=""),"",分期持仓明细!$AO$19*SUMPRODUCT(分期持仓明细!$B$19:$Y$19,'实盘净值数据(iFinD公式)'!$B187:$Y187/'实盘净值数据(iFinD公式)'!$B$20:$Y$20)*(1-实盘持仓配置!$AM$6)^(('实盘净值数据(iFinD公式)'!$A187-'实盘净值数据(iFinD公式)'!$A$7)/365))</f>
        <v/>
      </c>
      <c r="I187" s="16" t="str">
        <f t="shared" si="23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O$23*(SUMPRODUCT(分期持仓明细!$B$23:$Y$23,'实盘净值数据(iFinD公式)'!$B187:$Y187/'实盘净值数据(iFinD公式)'!$B$65:$Y$65)+SUMPRODUCT(分期持仓明细!$Z$23:$AA$23,'实盘净值数据(iFinD公式)'!$Z187:$AA187/'实盘净值数据(iFinD公式)'!$Z$65:$AA$65))*(1-实盘持仓配置!$AM$7)^(('实盘净值数据(iFinD公式)'!$A187-'实盘净值数据(iFinD公式)'!$A$8)/365))</f>
        <v/>
      </c>
      <c r="L187" s="16" t="str">
        <f t="shared" si="24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O$24*(SUMPRODUCT(分期持仓明细!$B$24:$Y$24,'实盘净值数据(iFinD公式)'!$B187:$Y187/'实盘净值数据(iFinD公式)'!$B$65:$Y$65)+SUMPRODUCT(分期持仓明细!$Z$24:$AA$24,'实盘净值数据(iFinD公式)'!$Z187:$AA187/'实盘净值数据(iFinD公式)'!$Z$65:$AA$65))*(1-实盘持仓配置!$AM$8)^(('实盘净值数据(iFinD公式)'!$A187-'实盘净值数据(iFinD公式)'!$A$5)/365))</f>
        <v/>
      </c>
      <c r="O187" s="16" t="str">
        <f t="shared" si="25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O$25*(SUMPRODUCT(分期持仓明细!$B$25:$Y$25,'实盘净值数据(iFinD公式)'!$B187:$Y187/'实盘净值数据(iFinD公式)'!$B$65:$Y$65)+SUMPRODUCT(分期持仓明细!$Z$25:$AA$25,'实盘净值数据(iFinD公式)'!$Z187:$AA187/'实盘净值数据(iFinD公式)'!$Z$65:$AA$65))*(1-实盘持仓配置!$AM$9)^(('实盘净值数据(iFinD公式)'!$A187-'实盘净值数据(iFinD公式)'!$A$8)/365))</f>
        <v/>
      </c>
      <c r="R187" s="16" t="str">
        <f t="shared" si="26"/>
        <v/>
      </c>
      <c r="S187" s="16" t="str">
        <f>IF(Q187="","",Q187/MAX(Q$5:Q187)-1)</f>
        <v/>
      </c>
      <c r="T187" s="13" t="str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Z$26:$AA$26,'实盘净值数据(iFinD公式)'!$Z187:$AA187/'实盘净值数据(iFinD公式)'!$Z$69:$AA$69)+SUMPRODUCT(分期持仓明细!$AB$26:$AL$26,'实盘净值数据(iFinD公式)'!$AB187:$AL187/'实盘净值数据(iFinD公式)'!$AB$69:$AL$69))*(1-实盘持仓配置!$AM$10)^(('实盘净值数据(iFinD公式)'!$A187-'实盘净值数据(iFinD公式)'!$A$69)/365))</f>
        <v/>
      </c>
      <c r="U187" s="16" t="str">
        <f t="shared" si="27"/>
        <v/>
      </c>
      <c r="V187" s="16" t="str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 t="str">
        <f>IF(OR('实盘净值数据(iFinD公式)'!$A188="",'实盘净值数据(iFinD公式)'!$B188=""),"",分期持仓明细!$AO$17*SUMPRODUCT(分期持仓明细!$B$17:$Y$17,'实盘净值数据(iFinD公式)'!$B188:$Y188/'实盘净值数据(iFinD公式)'!$B$20:$Y$20)*(1-实盘持仓配置!$AM$4)^(('实盘净值数据(iFinD公式)'!$A188-'实盘净值数据(iFinD公式)'!$A$6)/365))</f>
        <v/>
      </c>
      <c r="C188" s="16" t="str">
        <f t="shared" si="21"/>
        <v/>
      </c>
      <c r="D188" s="16" t="str">
        <f>IF(B188="","",B188/MAX(B$5:B188)-1)</f>
        <v/>
      </c>
      <c r="E188" s="13" t="str">
        <f>IF(OR('实盘净值数据(iFinD公式)'!$A188="",'实盘净值数据(iFinD公式)'!$B188=""),"",分期持仓明细!$AO$18*SUMPRODUCT(分期持仓明细!$B$18:$Y$18,'实盘净值数据(iFinD公式)'!$B188:$Y188/'实盘净值数据(iFinD公式)'!$B$20:$Y$20)*(1-实盘持仓配置!$AM$5)^(('实盘净值数据(iFinD公式)'!$A188-'实盘净值数据(iFinD公式)'!$A$5)/365))</f>
        <v/>
      </c>
      <c r="F188" s="16" t="str">
        <f t="shared" si="22"/>
        <v/>
      </c>
      <c r="G188" s="16" t="str">
        <f>IF(E188="","",E188/MAX(E$5:E188)-1)</f>
        <v/>
      </c>
      <c r="H188" s="13" t="str">
        <f>IF(OR('实盘净值数据(iFinD公式)'!$A188="",'实盘净值数据(iFinD公式)'!$B188=""),"",分期持仓明细!$AO$19*SUMPRODUCT(分期持仓明细!$B$19:$Y$19,'实盘净值数据(iFinD公式)'!$B188:$Y188/'实盘净值数据(iFinD公式)'!$B$20:$Y$20)*(1-实盘持仓配置!$AM$6)^(('实盘净值数据(iFinD公式)'!$A188-'实盘净值数据(iFinD公式)'!$A$7)/365))</f>
        <v/>
      </c>
      <c r="I188" s="16" t="str">
        <f t="shared" si="23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O$23*(SUMPRODUCT(分期持仓明细!$B$23:$Y$23,'实盘净值数据(iFinD公式)'!$B188:$Y188/'实盘净值数据(iFinD公式)'!$B$65:$Y$65)+SUMPRODUCT(分期持仓明细!$Z$23:$AA$23,'实盘净值数据(iFinD公式)'!$Z188:$AA188/'实盘净值数据(iFinD公式)'!$Z$65:$AA$65))*(1-实盘持仓配置!$AM$7)^(('实盘净值数据(iFinD公式)'!$A188-'实盘净值数据(iFinD公式)'!$A$8)/365))</f>
        <v/>
      </c>
      <c r="L188" s="16" t="str">
        <f t="shared" si="24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O$24*(SUMPRODUCT(分期持仓明细!$B$24:$Y$24,'实盘净值数据(iFinD公式)'!$B188:$Y188/'实盘净值数据(iFinD公式)'!$B$65:$Y$65)+SUMPRODUCT(分期持仓明细!$Z$24:$AA$24,'实盘净值数据(iFinD公式)'!$Z188:$AA188/'实盘净值数据(iFinD公式)'!$Z$65:$AA$65))*(1-实盘持仓配置!$AM$8)^(('实盘净值数据(iFinD公式)'!$A188-'实盘净值数据(iFinD公式)'!$A$5)/365))</f>
        <v/>
      </c>
      <c r="O188" s="16" t="str">
        <f t="shared" si="25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O$25*(SUMPRODUCT(分期持仓明细!$B$25:$Y$25,'实盘净值数据(iFinD公式)'!$B188:$Y188/'实盘净值数据(iFinD公式)'!$B$65:$Y$65)+SUMPRODUCT(分期持仓明细!$Z$25:$AA$25,'实盘净值数据(iFinD公式)'!$Z188:$AA188/'实盘净值数据(iFinD公式)'!$Z$65:$AA$65))*(1-实盘持仓配置!$AM$9)^(('实盘净值数据(iFinD公式)'!$A188-'实盘净值数据(iFinD公式)'!$A$8)/365))</f>
        <v/>
      </c>
      <c r="R188" s="16" t="str">
        <f t="shared" si="26"/>
        <v/>
      </c>
      <c r="S188" s="16" t="str">
        <f>IF(Q188="","",Q188/MAX(Q$5:Q188)-1)</f>
        <v/>
      </c>
      <c r="T188" s="13" t="str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Z$26:$AA$26,'实盘净值数据(iFinD公式)'!$Z188:$AA188/'实盘净值数据(iFinD公式)'!$Z$69:$AA$69)+SUMPRODUCT(分期持仓明细!$AB$26:$AL$26,'实盘净值数据(iFinD公式)'!$AB188:$AL188/'实盘净值数据(iFinD公式)'!$AB$69:$AL$69))*(1-实盘持仓配置!$AM$10)^(('实盘净值数据(iFinD公式)'!$A188-'实盘净值数据(iFinD公式)'!$A$69)/365))</f>
        <v/>
      </c>
      <c r="U188" s="16" t="str">
        <f t="shared" si="27"/>
        <v/>
      </c>
      <c r="V188" s="16" t="str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 t="str">
        <f>IF(OR('实盘净值数据(iFinD公式)'!$A189="",'实盘净值数据(iFinD公式)'!$B189=""),"",分期持仓明细!$AO$17*SUMPRODUCT(分期持仓明细!$B$17:$Y$17,'实盘净值数据(iFinD公式)'!$B189:$Y189/'实盘净值数据(iFinD公式)'!$B$20:$Y$20)*(1-实盘持仓配置!$AM$4)^(('实盘净值数据(iFinD公式)'!$A189-'实盘净值数据(iFinD公式)'!$A$6)/365))</f>
        <v/>
      </c>
      <c r="C189" s="16" t="str">
        <f t="shared" si="21"/>
        <v/>
      </c>
      <c r="D189" s="16" t="str">
        <f>IF(B189="","",B189/MAX(B$5:B189)-1)</f>
        <v/>
      </c>
      <c r="E189" s="13" t="str">
        <f>IF(OR('实盘净值数据(iFinD公式)'!$A189="",'实盘净值数据(iFinD公式)'!$B189=""),"",分期持仓明细!$AO$18*SUMPRODUCT(分期持仓明细!$B$18:$Y$18,'实盘净值数据(iFinD公式)'!$B189:$Y189/'实盘净值数据(iFinD公式)'!$B$20:$Y$20)*(1-实盘持仓配置!$AM$5)^(('实盘净值数据(iFinD公式)'!$A189-'实盘净值数据(iFinD公式)'!$A$5)/365))</f>
        <v/>
      </c>
      <c r="F189" s="16" t="str">
        <f t="shared" si="22"/>
        <v/>
      </c>
      <c r="G189" s="16" t="str">
        <f>IF(E189="","",E189/MAX(E$5:E189)-1)</f>
        <v/>
      </c>
      <c r="H189" s="13" t="str">
        <f>IF(OR('实盘净值数据(iFinD公式)'!$A189="",'实盘净值数据(iFinD公式)'!$B189=""),"",分期持仓明细!$AO$19*SUMPRODUCT(分期持仓明细!$B$19:$Y$19,'实盘净值数据(iFinD公式)'!$B189:$Y189/'实盘净值数据(iFinD公式)'!$B$20:$Y$20)*(1-实盘持仓配置!$AM$6)^(('实盘净值数据(iFinD公式)'!$A189-'实盘净值数据(iFinD公式)'!$A$7)/365))</f>
        <v/>
      </c>
      <c r="I189" s="16" t="str">
        <f t="shared" si="23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O$23*(SUMPRODUCT(分期持仓明细!$B$23:$Y$23,'实盘净值数据(iFinD公式)'!$B189:$Y189/'实盘净值数据(iFinD公式)'!$B$65:$Y$65)+SUMPRODUCT(分期持仓明细!$Z$23:$AA$23,'实盘净值数据(iFinD公式)'!$Z189:$AA189/'实盘净值数据(iFinD公式)'!$Z$65:$AA$65))*(1-实盘持仓配置!$AM$7)^(('实盘净值数据(iFinD公式)'!$A189-'实盘净值数据(iFinD公式)'!$A$8)/365))</f>
        <v/>
      </c>
      <c r="L189" s="16" t="str">
        <f t="shared" si="24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O$24*(SUMPRODUCT(分期持仓明细!$B$24:$Y$24,'实盘净值数据(iFinD公式)'!$B189:$Y189/'实盘净值数据(iFinD公式)'!$B$65:$Y$65)+SUMPRODUCT(分期持仓明细!$Z$24:$AA$24,'实盘净值数据(iFinD公式)'!$Z189:$AA189/'实盘净值数据(iFinD公式)'!$Z$65:$AA$65))*(1-实盘持仓配置!$AM$8)^(('实盘净值数据(iFinD公式)'!$A189-'实盘净值数据(iFinD公式)'!$A$5)/365))</f>
        <v/>
      </c>
      <c r="O189" s="16" t="str">
        <f t="shared" si="25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O$25*(SUMPRODUCT(分期持仓明细!$B$25:$Y$25,'实盘净值数据(iFinD公式)'!$B189:$Y189/'实盘净值数据(iFinD公式)'!$B$65:$Y$65)+SUMPRODUCT(分期持仓明细!$Z$25:$AA$25,'实盘净值数据(iFinD公式)'!$Z189:$AA189/'实盘净值数据(iFinD公式)'!$Z$65:$AA$65))*(1-实盘持仓配置!$AM$9)^(('实盘净值数据(iFinD公式)'!$A189-'实盘净值数据(iFinD公式)'!$A$8)/365))</f>
        <v/>
      </c>
      <c r="R189" s="16" t="str">
        <f t="shared" si="26"/>
        <v/>
      </c>
      <c r="S189" s="16" t="str">
        <f>IF(Q189="","",Q189/MAX(Q$5:Q189)-1)</f>
        <v/>
      </c>
      <c r="T189" s="13" t="str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Z$26:$AA$26,'实盘净值数据(iFinD公式)'!$Z189:$AA189/'实盘净值数据(iFinD公式)'!$Z$69:$AA$69)+SUMPRODUCT(分期持仓明细!$AB$26:$AL$26,'实盘净值数据(iFinD公式)'!$AB189:$AL189/'实盘净值数据(iFinD公式)'!$AB$69:$AL$69))*(1-实盘持仓配置!$AM$10)^(('实盘净值数据(iFinD公式)'!$A189-'实盘净值数据(iFinD公式)'!$A$69)/365))</f>
        <v/>
      </c>
      <c r="U189" s="16" t="str">
        <f t="shared" si="27"/>
        <v/>
      </c>
      <c r="V189" s="16" t="str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 t="str">
        <f>IF(OR('实盘净值数据(iFinD公式)'!$A190="",'实盘净值数据(iFinD公式)'!$B190=""),"",分期持仓明细!$AO$17*SUMPRODUCT(分期持仓明细!$B$17:$Y$17,'实盘净值数据(iFinD公式)'!$B190:$Y190/'实盘净值数据(iFinD公式)'!$B$20:$Y$20)*(1-实盘持仓配置!$AM$4)^(('实盘净值数据(iFinD公式)'!$A190-'实盘净值数据(iFinD公式)'!$A$6)/365))</f>
        <v/>
      </c>
      <c r="C190" s="16" t="str">
        <f t="shared" si="21"/>
        <v/>
      </c>
      <c r="D190" s="16" t="str">
        <f>IF(B190="","",B190/MAX(B$5:B190)-1)</f>
        <v/>
      </c>
      <c r="E190" s="13" t="str">
        <f>IF(OR('实盘净值数据(iFinD公式)'!$A190="",'实盘净值数据(iFinD公式)'!$B190=""),"",分期持仓明细!$AO$18*SUMPRODUCT(分期持仓明细!$B$18:$Y$18,'实盘净值数据(iFinD公式)'!$B190:$Y190/'实盘净值数据(iFinD公式)'!$B$20:$Y$20)*(1-实盘持仓配置!$AM$5)^(('实盘净值数据(iFinD公式)'!$A190-'实盘净值数据(iFinD公式)'!$A$5)/365))</f>
        <v/>
      </c>
      <c r="F190" s="16" t="str">
        <f t="shared" si="22"/>
        <v/>
      </c>
      <c r="G190" s="16" t="str">
        <f>IF(E190="","",E190/MAX(E$5:E190)-1)</f>
        <v/>
      </c>
      <c r="H190" s="13" t="str">
        <f>IF(OR('实盘净值数据(iFinD公式)'!$A190="",'实盘净值数据(iFinD公式)'!$B190=""),"",分期持仓明细!$AO$19*SUMPRODUCT(分期持仓明细!$B$19:$Y$19,'实盘净值数据(iFinD公式)'!$B190:$Y190/'实盘净值数据(iFinD公式)'!$B$20:$Y$20)*(1-实盘持仓配置!$AM$6)^(('实盘净值数据(iFinD公式)'!$A190-'实盘净值数据(iFinD公式)'!$A$7)/365))</f>
        <v/>
      </c>
      <c r="I190" s="16" t="str">
        <f t="shared" si="23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O$23*(SUMPRODUCT(分期持仓明细!$B$23:$Y$23,'实盘净值数据(iFinD公式)'!$B190:$Y190/'实盘净值数据(iFinD公式)'!$B$65:$Y$65)+SUMPRODUCT(分期持仓明细!$Z$23:$AA$23,'实盘净值数据(iFinD公式)'!$Z190:$AA190/'实盘净值数据(iFinD公式)'!$Z$65:$AA$65))*(1-实盘持仓配置!$AM$7)^(('实盘净值数据(iFinD公式)'!$A190-'实盘净值数据(iFinD公式)'!$A$8)/365))</f>
        <v/>
      </c>
      <c r="L190" s="16" t="str">
        <f t="shared" si="24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O$24*(SUMPRODUCT(分期持仓明细!$B$24:$Y$24,'实盘净值数据(iFinD公式)'!$B190:$Y190/'实盘净值数据(iFinD公式)'!$B$65:$Y$65)+SUMPRODUCT(分期持仓明细!$Z$24:$AA$24,'实盘净值数据(iFinD公式)'!$Z190:$AA190/'实盘净值数据(iFinD公式)'!$Z$65:$AA$65))*(1-实盘持仓配置!$AM$8)^(('实盘净值数据(iFinD公式)'!$A190-'实盘净值数据(iFinD公式)'!$A$5)/365))</f>
        <v/>
      </c>
      <c r="O190" s="16" t="str">
        <f t="shared" si="25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O$25*(SUMPRODUCT(分期持仓明细!$B$25:$Y$25,'实盘净值数据(iFinD公式)'!$B190:$Y190/'实盘净值数据(iFinD公式)'!$B$65:$Y$65)+SUMPRODUCT(分期持仓明细!$Z$25:$AA$25,'实盘净值数据(iFinD公式)'!$Z190:$AA190/'实盘净值数据(iFinD公式)'!$Z$65:$AA$65))*(1-实盘持仓配置!$AM$9)^(('实盘净值数据(iFinD公式)'!$A190-'实盘净值数据(iFinD公式)'!$A$8)/365))</f>
        <v/>
      </c>
      <c r="R190" s="16" t="str">
        <f t="shared" si="26"/>
        <v/>
      </c>
      <c r="S190" s="16" t="str">
        <f>IF(Q190="","",Q190/MAX(Q$5:Q190)-1)</f>
        <v/>
      </c>
      <c r="T190" s="13" t="str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Z$26:$AA$26,'实盘净值数据(iFinD公式)'!$Z190:$AA190/'实盘净值数据(iFinD公式)'!$Z$69:$AA$69)+SUMPRODUCT(分期持仓明细!$AB$26:$AL$26,'实盘净值数据(iFinD公式)'!$AB190:$AL190/'实盘净值数据(iFinD公式)'!$AB$69:$AL$69))*(1-实盘持仓配置!$AM$10)^(('实盘净值数据(iFinD公式)'!$A190-'实盘净值数据(iFinD公式)'!$A$69)/365))</f>
        <v/>
      </c>
      <c r="U190" s="16" t="str">
        <f t="shared" si="27"/>
        <v/>
      </c>
      <c r="V190" s="16" t="str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 t="str">
        <f>IF(OR('实盘净值数据(iFinD公式)'!$A191="",'实盘净值数据(iFinD公式)'!$B191=""),"",分期持仓明细!$AO$17*SUMPRODUCT(分期持仓明细!$B$17:$Y$17,'实盘净值数据(iFinD公式)'!$B191:$Y191/'实盘净值数据(iFinD公式)'!$B$20:$Y$20)*(1-实盘持仓配置!$AM$4)^(('实盘净值数据(iFinD公式)'!$A191-'实盘净值数据(iFinD公式)'!$A$6)/365))</f>
        <v/>
      </c>
      <c r="C191" s="16" t="str">
        <f t="shared" si="21"/>
        <v/>
      </c>
      <c r="D191" s="16" t="str">
        <f>IF(B191="","",B191/MAX(B$5:B191)-1)</f>
        <v/>
      </c>
      <c r="E191" s="13" t="str">
        <f>IF(OR('实盘净值数据(iFinD公式)'!$A191="",'实盘净值数据(iFinD公式)'!$B191=""),"",分期持仓明细!$AO$18*SUMPRODUCT(分期持仓明细!$B$18:$Y$18,'实盘净值数据(iFinD公式)'!$B191:$Y191/'实盘净值数据(iFinD公式)'!$B$20:$Y$20)*(1-实盘持仓配置!$AM$5)^(('实盘净值数据(iFinD公式)'!$A191-'实盘净值数据(iFinD公式)'!$A$5)/365))</f>
        <v/>
      </c>
      <c r="F191" s="16" t="str">
        <f t="shared" si="22"/>
        <v/>
      </c>
      <c r="G191" s="16" t="str">
        <f>IF(E191="","",E191/MAX(E$5:E191)-1)</f>
        <v/>
      </c>
      <c r="H191" s="13" t="str">
        <f>IF(OR('实盘净值数据(iFinD公式)'!$A191="",'实盘净值数据(iFinD公式)'!$B191=""),"",分期持仓明细!$AO$19*SUMPRODUCT(分期持仓明细!$B$19:$Y$19,'实盘净值数据(iFinD公式)'!$B191:$Y191/'实盘净值数据(iFinD公式)'!$B$20:$Y$20)*(1-实盘持仓配置!$AM$6)^(('实盘净值数据(iFinD公式)'!$A191-'实盘净值数据(iFinD公式)'!$A$7)/365))</f>
        <v/>
      </c>
      <c r="I191" s="16" t="str">
        <f t="shared" si="23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O$23*(SUMPRODUCT(分期持仓明细!$B$23:$Y$23,'实盘净值数据(iFinD公式)'!$B191:$Y191/'实盘净值数据(iFinD公式)'!$B$65:$Y$65)+SUMPRODUCT(分期持仓明细!$Z$23:$AA$23,'实盘净值数据(iFinD公式)'!$Z191:$AA191/'实盘净值数据(iFinD公式)'!$Z$65:$AA$65))*(1-实盘持仓配置!$AM$7)^(('实盘净值数据(iFinD公式)'!$A191-'实盘净值数据(iFinD公式)'!$A$8)/365))</f>
        <v/>
      </c>
      <c r="L191" s="16" t="str">
        <f t="shared" si="24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O$24*(SUMPRODUCT(分期持仓明细!$B$24:$Y$24,'实盘净值数据(iFinD公式)'!$B191:$Y191/'实盘净值数据(iFinD公式)'!$B$65:$Y$65)+SUMPRODUCT(分期持仓明细!$Z$24:$AA$24,'实盘净值数据(iFinD公式)'!$Z191:$AA191/'实盘净值数据(iFinD公式)'!$Z$65:$AA$65))*(1-实盘持仓配置!$AM$8)^(('实盘净值数据(iFinD公式)'!$A191-'实盘净值数据(iFinD公式)'!$A$5)/365))</f>
        <v/>
      </c>
      <c r="O191" s="16" t="str">
        <f t="shared" si="25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O$25*(SUMPRODUCT(分期持仓明细!$B$25:$Y$25,'实盘净值数据(iFinD公式)'!$B191:$Y191/'实盘净值数据(iFinD公式)'!$B$65:$Y$65)+SUMPRODUCT(分期持仓明细!$Z$25:$AA$25,'实盘净值数据(iFinD公式)'!$Z191:$AA191/'实盘净值数据(iFinD公式)'!$Z$65:$AA$65))*(1-实盘持仓配置!$AM$9)^(('实盘净值数据(iFinD公式)'!$A191-'实盘净值数据(iFinD公式)'!$A$8)/365))</f>
        <v/>
      </c>
      <c r="R191" s="16" t="str">
        <f t="shared" si="26"/>
        <v/>
      </c>
      <c r="S191" s="16" t="str">
        <f>IF(Q191="","",Q191/MAX(Q$5:Q191)-1)</f>
        <v/>
      </c>
      <c r="T191" s="13" t="str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Z$26:$AA$26,'实盘净值数据(iFinD公式)'!$Z191:$AA191/'实盘净值数据(iFinD公式)'!$Z$69:$AA$69)+SUMPRODUCT(分期持仓明细!$AB$26:$AL$26,'实盘净值数据(iFinD公式)'!$AB191:$AL191/'实盘净值数据(iFinD公式)'!$AB$69:$AL$69))*(1-实盘持仓配置!$AM$10)^(('实盘净值数据(iFinD公式)'!$A191-'实盘净值数据(iFinD公式)'!$A$69)/365))</f>
        <v/>
      </c>
      <c r="U191" s="16" t="str">
        <f t="shared" si="27"/>
        <v/>
      </c>
      <c r="V191" s="16" t="str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 t="str">
        <f>IF(OR('实盘净值数据(iFinD公式)'!$A192="",'实盘净值数据(iFinD公式)'!$B192=""),"",分期持仓明细!$AO$17*SUMPRODUCT(分期持仓明细!$B$17:$Y$17,'实盘净值数据(iFinD公式)'!$B192:$Y192/'实盘净值数据(iFinD公式)'!$B$20:$Y$20)*(1-实盘持仓配置!$AM$4)^(('实盘净值数据(iFinD公式)'!$A192-'实盘净值数据(iFinD公式)'!$A$6)/365))</f>
        <v/>
      </c>
      <c r="C192" s="16" t="str">
        <f t="shared" si="21"/>
        <v/>
      </c>
      <c r="D192" s="16" t="str">
        <f>IF(B192="","",B192/MAX(B$5:B192)-1)</f>
        <v/>
      </c>
      <c r="E192" s="13" t="str">
        <f>IF(OR('实盘净值数据(iFinD公式)'!$A192="",'实盘净值数据(iFinD公式)'!$B192=""),"",分期持仓明细!$AO$18*SUMPRODUCT(分期持仓明细!$B$18:$Y$18,'实盘净值数据(iFinD公式)'!$B192:$Y192/'实盘净值数据(iFinD公式)'!$B$20:$Y$20)*(1-实盘持仓配置!$AM$5)^(('实盘净值数据(iFinD公式)'!$A192-'实盘净值数据(iFinD公式)'!$A$5)/365))</f>
        <v/>
      </c>
      <c r="F192" s="16" t="str">
        <f t="shared" si="22"/>
        <v/>
      </c>
      <c r="G192" s="16" t="str">
        <f>IF(E192="","",E192/MAX(E$5:E192)-1)</f>
        <v/>
      </c>
      <c r="H192" s="13" t="str">
        <f>IF(OR('实盘净值数据(iFinD公式)'!$A192="",'实盘净值数据(iFinD公式)'!$B192=""),"",分期持仓明细!$AO$19*SUMPRODUCT(分期持仓明细!$B$19:$Y$19,'实盘净值数据(iFinD公式)'!$B192:$Y192/'实盘净值数据(iFinD公式)'!$B$20:$Y$20)*(1-实盘持仓配置!$AM$6)^(('实盘净值数据(iFinD公式)'!$A192-'实盘净值数据(iFinD公式)'!$A$7)/365))</f>
        <v/>
      </c>
      <c r="I192" s="16" t="str">
        <f t="shared" si="23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O$23*(SUMPRODUCT(分期持仓明细!$B$23:$Y$23,'实盘净值数据(iFinD公式)'!$B192:$Y192/'实盘净值数据(iFinD公式)'!$B$65:$Y$65)+SUMPRODUCT(分期持仓明细!$Z$23:$AA$23,'实盘净值数据(iFinD公式)'!$Z192:$AA192/'实盘净值数据(iFinD公式)'!$Z$65:$AA$65))*(1-实盘持仓配置!$AM$7)^(('实盘净值数据(iFinD公式)'!$A192-'实盘净值数据(iFinD公式)'!$A$8)/365))</f>
        <v/>
      </c>
      <c r="L192" s="16" t="str">
        <f t="shared" si="24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O$24*(SUMPRODUCT(分期持仓明细!$B$24:$Y$24,'实盘净值数据(iFinD公式)'!$B192:$Y192/'实盘净值数据(iFinD公式)'!$B$65:$Y$65)+SUMPRODUCT(分期持仓明细!$Z$24:$AA$24,'实盘净值数据(iFinD公式)'!$Z192:$AA192/'实盘净值数据(iFinD公式)'!$Z$65:$AA$65))*(1-实盘持仓配置!$AM$8)^(('实盘净值数据(iFinD公式)'!$A192-'实盘净值数据(iFinD公式)'!$A$5)/365))</f>
        <v/>
      </c>
      <c r="O192" s="16" t="str">
        <f t="shared" si="25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O$25*(SUMPRODUCT(分期持仓明细!$B$25:$Y$25,'实盘净值数据(iFinD公式)'!$B192:$Y192/'实盘净值数据(iFinD公式)'!$B$65:$Y$65)+SUMPRODUCT(分期持仓明细!$Z$25:$AA$25,'实盘净值数据(iFinD公式)'!$Z192:$AA192/'实盘净值数据(iFinD公式)'!$Z$65:$AA$65))*(1-实盘持仓配置!$AM$9)^(('实盘净值数据(iFinD公式)'!$A192-'实盘净值数据(iFinD公式)'!$A$8)/365))</f>
        <v/>
      </c>
      <c r="R192" s="16" t="str">
        <f t="shared" si="26"/>
        <v/>
      </c>
      <c r="S192" s="16" t="str">
        <f>IF(Q192="","",Q192/MAX(Q$5:Q192)-1)</f>
        <v/>
      </c>
      <c r="T192" s="13" t="str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Z$26:$AA$26,'实盘净值数据(iFinD公式)'!$Z192:$AA192/'实盘净值数据(iFinD公式)'!$Z$69:$AA$69)+SUMPRODUCT(分期持仓明细!$AB$26:$AL$26,'实盘净值数据(iFinD公式)'!$AB192:$AL192/'实盘净值数据(iFinD公式)'!$AB$69:$AL$69))*(1-实盘持仓配置!$AM$10)^(('实盘净值数据(iFinD公式)'!$A192-'实盘净值数据(iFinD公式)'!$A$69)/365))</f>
        <v/>
      </c>
      <c r="U192" s="16" t="str">
        <f t="shared" si="27"/>
        <v/>
      </c>
      <c r="V192" s="16" t="str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 t="str">
        <f>IF(OR('实盘净值数据(iFinD公式)'!$A193="",'实盘净值数据(iFinD公式)'!$B193=""),"",分期持仓明细!$AO$17*SUMPRODUCT(分期持仓明细!$B$17:$Y$17,'实盘净值数据(iFinD公式)'!$B193:$Y193/'实盘净值数据(iFinD公式)'!$B$20:$Y$20)*(1-实盘持仓配置!$AM$4)^(('实盘净值数据(iFinD公式)'!$A193-'实盘净值数据(iFinD公式)'!$A$6)/365))</f>
        <v/>
      </c>
      <c r="C193" s="16" t="str">
        <f t="shared" si="21"/>
        <v/>
      </c>
      <c r="D193" s="16" t="str">
        <f>IF(B193="","",B193/MAX(B$5:B193)-1)</f>
        <v/>
      </c>
      <c r="E193" s="13" t="str">
        <f>IF(OR('实盘净值数据(iFinD公式)'!$A193="",'实盘净值数据(iFinD公式)'!$B193=""),"",分期持仓明细!$AO$18*SUMPRODUCT(分期持仓明细!$B$18:$Y$18,'实盘净值数据(iFinD公式)'!$B193:$Y193/'实盘净值数据(iFinD公式)'!$B$20:$Y$20)*(1-实盘持仓配置!$AM$5)^(('实盘净值数据(iFinD公式)'!$A193-'实盘净值数据(iFinD公式)'!$A$5)/365))</f>
        <v/>
      </c>
      <c r="F193" s="16" t="str">
        <f t="shared" si="22"/>
        <v/>
      </c>
      <c r="G193" s="16" t="str">
        <f>IF(E193="","",E193/MAX(E$5:E193)-1)</f>
        <v/>
      </c>
      <c r="H193" s="13" t="str">
        <f>IF(OR('实盘净值数据(iFinD公式)'!$A193="",'实盘净值数据(iFinD公式)'!$B193=""),"",分期持仓明细!$AO$19*SUMPRODUCT(分期持仓明细!$B$19:$Y$19,'实盘净值数据(iFinD公式)'!$B193:$Y193/'实盘净值数据(iFinD公式)'!$B$20:$Y$20)*(1-实盘持仓配置!$AM$6)^(('实盘净值数据(iFinD公式)'!$A193-'实盘净值数据(iFinD公式)'!$A$7)/365))</f>
        <v/>
      </c>
      <c r="I193" s="16" t="str">
        <f t="shared" si="23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O$23*(SUMPRODUCT(分期持仓明细!$B$23:$Y$23,'实盘净值数据(iFinD公式)'!$B193:$Y193/'实盘净值数据(iFinD公式)'!$B$65:$Y$65)+SUMPRODUCT(分期持仓明细!$Z$23:$AA$23,'实盘净值数据(iFinD公式)'!$Z193:$AA193/'实盘净值数据(iFinD公式)'!$Z$65:$AA$65))*(1-实盘持仓配置!$AM$7)^(('实盘净值数据(iFinD公式)'!$A193-'实盘净值数据(iFinD公式)'!$A$8)/365))</f>
        <v/>
      </c>
      <c r="L193" s="16" t="str">
        <f t="shared" si="24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O$24*(SUMPRODUCT(分期持仓明细!$B$24:$Y$24,'实盘净值数据(iFinD公式)'!$B193:$Y193/'实盘净值数据(iFinD公式)'!$B$65:$Y$65)+SUMPRODUCT(分期持仓明细!$Z$24:$AA$24,'实盘净值数据(iFinD公式)'!$Z193:$AA193/'实盘净值数据(iFinD公式)'!$Z$65:$AA$65))*(1-实盘持仓配置!$AM$8)^(('实盘净值数据(iFinD公式)'!$A193-'实盘净值数据(iFinD公式)'!$A$5)/365))</f>
        <v/>
      </c>
      <c r="O193" s="16" t="str">
        <f t="shared" si="25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O$25*(SUMPRODUCT(分期持仓明细!$B$25:$Y$25,'实盘净值数据(iFinD公式)'!$B193:$Y193/'实盘净值数据(iFinD公式)'!$B$65:$Y$65)+SUMPRODUCT(分期持仓明细!$Z$25:$AA$25,'实盘净值数据(iFinD公式)'!$Z193:$AA193/'实盘净值数据(iFinD公式)'!$Z$65:$AA$65))*(1-实盘持仓配置!$AM$9)^(('实盘净值数据(iFinD公式)'!$A193-'实盘净值数据(iFinD公式)'!$A$8)/365))</f>
        <v/>
      </c>
      <c r="R193" s="16" t="str">
        <f t="shared" si="26"/>
        <v/>
      </c>
      <c r="S193" s="16" t="str">
        <f>IF(Q193="","",Q193/MAX(Q$5:Q193)-1)</f>
        <v/>
      </c>
      <c r="T193" s="13" t="str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Z$26:$AA$26,'实盘净值数据(iFinD公式)'!$Z193:$AA193/'实盘净值数据(iFinD公式)'!$Z$69:$AA$69)+SUMPRODUCT(分期持仓明细!$AB$26:$AL$26,'实盘净值数据(iFinD公式)'!$AB193:$AL193/'实盘净值数据(iFinD公式)'!$AB$69:$AL$69))*(1-实盘持仓配置!$AM$10)^(('实盘净值数据(iFinD公式)'!$A193-'实盘净值数据(iFinD公式)'!$A$69)/365))</f>
        <v/>
      </c>
      <c r="U193" s="16" t="str">
        <f t="shared" si="27"/>
        <v/>
      </c>
      <c r="V193" s="16" t="str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 t="str">
        <f>IF(OR('实盘净值数据(iFinD公式)'!$A194="",'实盘净值数据(iFinD公式)'!$B194=""),"",分期持仓明细!$AO$17*SUMPRODUCT(分期持仓明细!$B$17:$Y$17,'实盘净值数据(iFinD公式)'!$B194:$Y194/'实盘净值数据(iFinD公式)'!$B$20:$Y$20)*(1-实盘持仓配置!$AM$4)^(('实盘净值数据(iFinD公式)'!$A194-'实盘净值数据(iFinD公式)'!$A$6)/365))</f>
        <v/>
      </c>
      <c r="C194" s="16" t="str">
        <f t="shared" si="21"/>
        <v/>
      </c>
      <c r="D194" s="16" t="str">
        <f>IF(B194="","",B194/MAX(B$5:B194)-1)</f>
        <v/>
      </c>
      <c r="E194" s="13" t="str">
        <f>IF(OR('实盘净值数据(iFinD公式)'!$A194="",'实盘净值数据(iFinD公式)'!$B194=""),"",分期持仓明细!$AO$18*SUMPRODUCT(分期持仓明细!$B$18:$Y$18,'实盘净值数据(iFinD公式)'!$B194:$Y194/'实盘净值数据(iFinD公式)'!$B$20:$Y$20)*(1-实盘持仓配置!$AM$5)^(('实盘净值数据(iFinD公式)'!$A194-'实盘净值数据(iFinD公式)'!$A$5)/365))</f>
        <v/>
      </c>
      <c r="F194" s="16" t="str">
        <f t="shared" si="22"/>
        <v/>
      </c>
      <c r="G194" s="16" t="str">
        <f>IF(E194="","",E194/MAX(E$5:E194)-1)</f>
        <v/>
      </c>
      <c r="H194" s="13" t="str">
        <f>IF(OR('实盘净值数据(iFinD公式)'!$A194="",'实盘净值数据(iFinD公式)'!$B194=""),"",分期持仓明细!$AO$19*SUMPRODUCT(分期持仓明细!$B$19:$Y$19,'实盘净值数据(iFinD公式)'!$B194:$Y194/'实盘净值数据(iFinD公式)'!$B$20:$Y$20)*(1-实盘持仓配置!$AM$6)^(('实盘净值数据(iFinD公式)'!$A194-'实盘净值数据(iFinD公式)'!$A$7)/365))</f>
        <v/>
      </c>
      <c r="I194" s="16" t="str">
        <f t="shared" si="23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O$23*(SUMPRODUCT(分期持仓明细!$B$23:$Y$23,'实盘净值数据(iFinD公式)'!$B194:$Y194/'实盘净值数据(iFinD公式)'!$B$65:$Y$65)+SUMPRODUCT(分期持仓明细!$Z$23:$AA$23,'实盘净值数据(iFinD公式)'!$Z194:$AA194/'实盘净值数据(iFinD公式)'!$Z$65:$AA$65))*(1-实盘持仓配置!$AM$7)^(('实盘净值数据(iFinD公式)'!$A194-'实盘净值数据(iFinD公式)'!$A$8)/365))</f>
        <v/>
      </c>
      <c r="L194" s="16" t="str">
        <f t="shared" si="24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O$24*(SUMPRODUCT(分期持仓明细!$B$24:$Y$24,'实盘净值数据(iFinD公式)'!$B194:$Y194/'实盘净值数据(iFinD公式)'!$B$65:$Y$65)+SUMPRODUCT(分期持仓明细!$Z$24:$AA$24,'实盘净值数据(iFinD公式)'!$Z194:$AA194/'实盘净值数据(iFinD公式)'!$Z$65:$AA$65))*(1-实盘持仓配置!$AM$8)^(('实盘净值数据(iFinD公式)'!$A194-'实盘净值数据(iFinD公式)'!$A$5)/365))</f>
        <v/>
      </c>
      <c r="O194" s="16" t="str">
        <f t="shared" si="25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O$25*(SUMPRODUCT(分期持仓明细!$B$25:$Y$25,'实盘净值数据(iFinD公式)'!$B194:$Y194/'实盘净值数据(iFinD公式)'!$B$65:$Y$65)+SUMPRODUCT(分期持仓明细!$Z$25:$AA$25,'实盘净值数据(iFinD公式)'!$Z194:$AA194/'实盘净值数据(iFinD公式)'!$Z$65:$AA$65))*(1-实盘持仓配置!$AM$9)^(('实盘净值数据(iFinD公式)'!$A194-'实盘净值数据(iFinD公式)'!$A$8)/365))</f>
        <v/>
      </c>
      <c r="R194" s="16" t="str">
        <f t="shared" si="26"/>
        <v/>
      </c>
      <c r="S194" s="16" t="str">
        <f>IF(Q194="","",Q194/MAX(Q$5:Q194)-1)</f>
        <v/>
      </c>
      <c r="T194" s="13" t="str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Z$26:$AA$26,'实盘净值数据(iFinD公式)'!$Z194:$AA194/'实盘净值数据(iFinD公式)'!$Z$69:$AA$69)+SUMPRODUCT(分期持仓明细!$AB$26:$AL$26,'实盘净值数据(iFinD公式)'!$AB194:$AL194/'实盘净值数据(iFinD公式)'!$AB$69:$AL$69))*(1-实盘持仓配置!$AM$10)^(('实盘净值数据(iFinD公式)'!$A194-'实盘净值数据(iFinD公式)'!$A$69)/365))</f>
        <v/>
      </c>
      <c r="U194" s="16" t="str">
        <f t="shared" si="27"/>
        <v/>
      </c>
      <c r="V194" s="16" t="str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 t="str">
        <f>IF(OR('实盘净值数据(iFinD公式)'!$A195="",'实盘净值数据(iFinD公式)'!$B195=""),"",分期持仓明细!$AO$17*SUMPRODUCT(分期持仓明细!$B$17:$Y$17,'实盘净值数据(iFinD公式)'!$B195:$Y195/'实盘净值数据(iFinD公式)'!$B$20:$Y$20)*(1-实盘持仓配置!$AM$4)^(('实盘净值数据(iFinD公式)'!$A195-'实盘净值数据(iFinD公式)'!$A$6)/365))</f>
        <v/>
      </c>
      <c r="C195" s="16" t="str">
        <f t="shared" si="21"/>
        <v/>
      </c>
      <c r="D195" s="16" t="str">
        <f>IF(B195="","",B195/MAX(B$5:B195)-1)</f>
        <v/>
      </c>
      <c r="E195" s="13" t="str">
        <f>IF(OR('实盘净值数据(iFinD公式)'!$A195="",'实盘净值数据(iFinD公式)'!$B195=""),"",分期持仓明细!$AO$18*SUMPRODUCT(分期持仓明细!$B$18:$Y$18,'实盘净值数据(iFinD公式)'!$B195:$Y195/'实盘净值数据(iFinD公式)'!$B$20:$Y$20)*(1-实盘持仓配置!$AM$5)^(('实盘净值数据(iFinD公式)'!$A195-'实盘净值数据(iFinD公式)'!$A$5)/365))</f>
        <v/>
      </c>
      <c r="F195" s="16" t="str">
        <f t="shared" si="22"/>
        <v/>
      </c>
      <c r="G195" s="16" t="str">
        <f>IF(E195="","",E195/MAX(E$5:E195)-1)</f>
        <v/>
      </c>
      <c r="H195" s="13" t="str">
        <f>IF(OR('实盘净值数据(iFinD公式)'!$A195="",'实盘净值数据(iFinD公式)'!$B195=""),"",分期持仓明细!$AO$19*SUMPRODUCT(分期持仓明细!$B$19:$Y$19,'实盘净值数据(iFinD公式)'!$B195:$Y195/'实盘净值数据(iFinD公式)'!$B$20:$Y$20)*(1-实盘持仓配置!$AM$6)^(('实盘净值数据(iFinD公式)'!$A195-'实盘净值数据(iFinD公式)'!$A$7)/365))</f>
        <v/>
      </c>
      <c r="I195" s="16" t="str">
        <f t="shared" si="23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O$23*(SUMPRODUCT(分期持仓明细!$B$23:$Y$23,'实盘净值数据(iFinD公式)'!$B195:$Y195/'实盘净值数据(iFinD公式)'!$B$65:$Y$65)+SUMPRODUCT(分期持仓明细!$Z$23:$AA$23,'实盘净值数据(iFinD公式)'!$Z195:$AA195/'实盘净值数据(iFinD公式)'!$Z$65:$AA$65))*(1-实盘持仓配置!$AM$7)^(('实盘净值数据(iFinD公式)'!$A195-'实盘净值数据(iFinD公式)'!$A$8)/365))</f>
        <v/>
      </c>
      <c r="L195" s="16" t="str">
        <f t="shared" si="24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O$24*(SUMPRODUCT(分期持仓明细!$B$24:$Y$24,'实盘净值数据(iFinD公式)'!$B195:$Y195/'实盘净值数据(iFinD公式)'!$B$65:$Y$65)+SUMPRODUCT(分期持仓明细!$Z$24:$AA$24,'实盘净值数据(iFinD公式)'!$Z195:$AA195/'实盘净值数据(iFinD公式)'!$Z$65:$AA$65))*(1-实盘持仓配置!$AM$8)^(('实盘净值数据(iFinD公式)'!$A195-'实盘净值数据(iFinD公式)'!$A$5)/365))</f>
        <v/>
      </c>
      <c r="O195" s="16" t="str">
        <f t="shared" si="25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O$25*(SUMPRODUCT(分期持仓明细!$B$25:$Y$25,'实盘净值数据(iFinD公式)'!$B195:$Y195/'实盘净值数据(iFinD公式)'!$B$65:$Y$65)+SUMPRODUCT(分期持仓明细!$Z$25:$AA$25,'实盘净值数据(iFinD公式)'!$Z195:$AA195/'实盘净值数据(iFinD公式)'!$Z$65:$AA$65))*(1-实盘持仓配置!$AM$9)^(('实盘净值数据(iFinD公式)'!$A195-'实盘净值数据(iFinD公式)'!$A$8)/365))</f>
        <v/>
      </c>
      <c r="R195" s="16" t="str">
        <f t="shared" si="26"/>
        <v/>
      </c>
      <c r="S195" s="16" t="str">
        <f>IF(Q195="","",Q195/MAX(Q$5:Q195)-1)</f>
        <v/>
      </c>
      <c r="T195" s="13" t="str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Z$26:$AA$26,'实盘净值数据(iFinD公式)'!$Z195:$AA195/'实盘净值数据(iFinD公式)'!$Z$69:$AA$69)+SUMPRODUCT(分期持仓明细!$AB$26:$AL$26,'实盘净值数据(iFinD公式)'!$AB195:$AL195/'实盘净值数据(iFinD公式)'!$AB$69:$AL$69))*(1-实盘持仓配置!$AM$10)^(('实盘净值数据(iFinD公式)'!$A195-'实盘净值数据(iFinD公式)'!$A$69)/365))</f>
        <v/>
      </c>
      <c r="U195" s="16" t="str">
        <f t="shared" si="27"/>
        <v/>
      </c>
      <c r="V195" s="16" t="str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 t="str">
        <f>IF(OR('实盘净值数据(iFinD公式)'!$A196="",'实盘净值数据(iFinD公式)'!$B196=""),"",分期持仓明细!$AO$17*SUMPRODUCT(分期持仓明细!$B$17:$Y$17,'实盘净值数据(iFinD公式)'!$B196:$Y196/'实盘净值数据(iFinD公式)'!$B$20:$Y$20)*(1-实盘持仓配置!$AM$4)^(('实盘净值数据(iFinD公式)'!$A196-'实盘净值数据(iFinD公式)'!$A$6)/365))</f>
        <v/>
      </c>
      <c r="C196" s="16" t="str">
        <f t="shared" si="21"/>
        <v/>
      </c>
      <c r="D196" s="16" t="str">
        <f>IF(B196="","",B196/MAX(B$5:B196)-1)</f>
        <v/>
      </c>
      <c r="E196" s="13" t="str">
        <f>IF(OR('实盘净值数据(iFinD公式)'!$A196="",'实盘净值数据(iFinD公式)'!$B196=""),"",分期持仓明细!$AO$18*SUMPRODUCT(分期持仓明细!$B$18:$Y$18,'实盘净值数据(iFinD公式)'!$B196:$Y196/'实盘净值数据(iFinD公式)'!$B$20:$Y$20)*(1-实盘持仓配置!$AM$5)^(('实盘净值数据(iFinD公式)'!$A196-'实盘净值数据(iFinD公式)'!$A$5)/365))</f>
        <v/>
      </c>
      <c r="F196" s="16" t="str">
        <f t="shared" si="22"/>
        <v/>
      </c>
      <c r="G196" s="16" t="str">
        <f>IF(E196="","",E196/MAX(E$5:E196)-1)</f>
        <v/>
      </c>
      <c r="H196" s="13" t="str">
        <f>IF(OR('实盘净值数据(iFinD公式)'!$A196="",'实盘净值数据(iFinD公式)'!$B196=""),"",分期持仓明细!$AO$19*SUMPRODUCT(分期持仓明细!$B$19:$Y$19,'实盘净值数据(iFinD公式)'!$B196:$Y196/'实盘净值数据(iFinD公式)'!$B$20:$Y$20)*(1-实盘持仓配置!$AM$6)^(('实盘净值数据(iFinD公式)'!$A196-'实盘净值数据(iFinD公式)'!$A$7)/365))</f>
        <v/>
      </c>
      <c r="I196" s="16" t="str">
        <f t="shared" si="23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O$23*(SUMPRODUCT(分期持仓明细!$B$23:$Y$23,'实盘净值数据(iFinD公式)'!$B196:$Y196/'实盘净值数据(iFinD公式)'!$B$65:$Y$65)+SUMPRODUCT(分期持仓明细!$Z$23:$AA$23,'实盘净值数据(iFinD公式)'!$Z196:$AA196/'实盘净值数据(iFinD公式)'!$Z$65:$AA$65))*(1-实盘持仓配置!$AM$7)^(('实盘净值数据(iFinD公式)'!$A196-'实盘净值数据(iFinD公式)'!$A$8)/365))</f>
        <v/>
      </c>
      <c r="L196" s="16" t="str">
        <f t="shared" si="24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O$24*(SUMPRODUCT(分期持仓明细!$B$24:$Y$24,'实盘净值数据(iFinD公式)'!$B196:$Y196/'实盘净值数据(iFinD公式)'!$B$65:$Y$65)+SUMPRODUCT(分期持仓明细!$Z$24:$AA$24,'实盘净值数据(iFinD公式)'!$Z196:$AA196/'实盘净值数据(iFinD公式)'!$Z$65:$AA$65))*(1-实盘持仓配置!$AM$8)^(('实盘净值数据(iFinD公式)'!$A196-'实盘净值数据(iFinD公式)'!$A$5)/365))</f>
        <v/>
      </c>
      <c r="O196" s="16" t="str">
        <f t="shared" si="25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O$25*(SUMPRODUCT(分期持仓明细!$B$25:$Y$25,'实盘净值数据(iFinD公式)'!$B196:$Y196/'实盘净值数据(iFinD公式)'!$B$65:$Y$65)+SUMPRODUCT(分期持仓明细!$Z$25:$AA$25,'实盘净值数据(iFinD公式)'!$Z196:$AA196/'实盘净值数据(iFinD公式)'!$Z$65:$AA$65))*(1-实盘持仓配置!$AM$9)^(('实盘净值数据(iFinD公式)'!$A196-'实盘净值数据(iFinD公式)'!$A$8)/365))</f>
        <v/>
      </c>
      <c r="R196" s="16" t="str">
        <f t="shared" si="26"/>
        <v/>
      </c>
      <c r="S196" s="16" t="str">
        <f>IF(Q196="","",Q196/MAX(Q$5:Q196)-1)</f>
        <v/>
      </c>
      <c r="T196" s="13" t="str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Z$26:$AA$26,'实盘净值数据(iFinD公式)'!$Z196:$AA196/'实盘净值数据(iFinD公式)'!$Z$69:$AA$69)+SUMPRODUCT(分期持仓明细!$AB$26:$AL$26,'实盘净值数据(iFinD公式)'!$AB196:$AL196/'实盘净值数据(iFinD公式)'!$AB$69:$AL$69))*(1-实盘持仓配置!$AM$10)^(('实盘净值数据(iFinD公式)'!$A196-'实盘净值数据(iFinD公式)'!$A$69)/365))</f>
        <v/>
      </c>
      <c r="U196" s="16" t="str">
        <f t="shared" si="27"/>
        <v/>
      </c>
      <c r="V196" s="16" t="str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 t="str">
        <f>IF(OR('实盘净值数据(iFinD公式)'!$A197="",'实盘净值数据(iFinD公式)'!$B197=""),"",分期持仓明细!$AO$17*SUMPRODUCT(分期持仓明细!$B$17:$Y$17,'实盘净值数据(iFinD公式)'!$B197:$Y197/'实盘净值数据(iFinD公式)'!$B$20:$Y$20)*(1-实盘持仓配置!$AM$4)^(('实盘净值数据(iFinD公式)'!$A197-'实盘净值数据(iFinD公式)'!$A$6)/365))</f>
        <v/>
      </c>
      <c r="C197" s="16" t="str">
        <f t="shared" si="21"/>
        <v/>
      </c>
      <c r="D197" s="16" t="str">
        <f>IF(B197="","",B197/MAX(B$5:B197)-1)</f>
        <v/>
      </c>
      <c r="E197" s="13" t="str">
        <f>IF(OR('实盘净值数据(iFinD公式)'!$A197="",'实盘净值数据(iFinD公式)'!$B197=""),"",分期持仓明细!$AO$18*SUMPRODUCT(分期持仓明细!$B$18:$Y$18,'实盘净值数据(iFinD公式)'!$B197:$Y197/'实盘净值数据(iFinD公式)'!$B$20:$Y$20)*(1-实盘持仓配置!$AM$5)^(('实盘净值数据(iFinD公式)'!$A197-'实盘净值数据(iFinD公式)'!$A$5)/365))</f>
        <v/>
      </c>
      <c r="F197" s="16" t="str">
        <f t="shared" si="22"/>
        <v/>
      </c>
      <c r="G197" s="16" t="str">
        <f>IF(E197="","",E197/MAX(E$5:E197)-1)</f>
        <v/>
      </c>
      <c r="H197" s="13" t="str">
        <f>IF(OR('实盘净值数据(iFinD公式)'!$A197="",'实盘净值数据(iFinD公式)'!$B197=""),"",分期持仓明细!$AO$19*SUMPRODUCT(分期持仓明细!$B$19:$Y$19,'实盘净值数据(iFinD公式)'!$B197:$Y197/'实盘净值数据(iFinD公式)'!$B$20:$Y$20)*(1-实盘持仓配置!$AM$6)^(('实盘净值数据(iFinD公式)'!$A197-'实盘净值数据(iFinD公式)'!$A$7)/365))</f>
        <v/>
      </c>
      <c r="I197" s="16" t="str">
        <f t="shared" si="23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O$23*(SUMPRODUCT(分期持仓明细!$B$23:$Y$23,'实盘净值数据(iFinD公式)'!$B197:$Y197/'实盘净值数据(iFinD公式)'!$B$65:$Y$65)+SUMPRODUCT(分期持仓明细!$Z$23:$AA$23,'实盘净值数据(iFinD公式)'!$Z197:$AA197/'实盘净值数据(iFinD公式)'!$Z$65:$AA$65))*(1-实盘持仓配置!$AM$7)^(('实盘净值数据(iFinD公式)'!$A197-'实盘净值数据(iFinD公式)'!$A$8)/365))</f>
        <v/>
      </c>
      <c r="L197" s="16" t="str">
        <f t="shared" si="24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O$24*(SUMPRODUCT(分期持仓明细!$B$24:$Y$24,'实盘净值数据(iFinD公式)'!$B197:$Y197/'实盘净值数据(iFinD公式)'!$B$65:$Y$65)+SUMPRODUCT(分期持仓明细!$Z$24:$AA$24,'实盘净值数据(iFinD公式)'!$Z197:$AA197/'实盘净值数据(iFinD公式)'!$Z$65:$AA$65))*(1-实盘持仓配置!$AM$8)^(('实盘净值数据(iFinD公式)'!$A197-'实盘净值数据(iFinD公式)'!$A$5)/365))</f>
        <v/>
      </c>
      <c r="O197" s="16" t="str">
        <f t="shared" si="25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O$25*(SUMPRODUCT(分期持仓明细!$B$25:$Y$25,'实盘净值数据(iFinD公式)'!$B197:$Y197/'实盘净值数据(iFinD公式)'!$B$65:$Y$65)+SUMPRODUCT(分期持仓明细!$Z$25:$AA$25,'实盘净值数据(iFinD公式)'!$Z197:$AA197/'实盘净值数据(iFinD公式)'!$Z$65:$AA$65))*(1-实盘持仓配置!$AM$9)^(('实盘净值数据(iFinD公式)'!$A197-'实盘净值数据(iFinD公式)'!$A$8)/365))</f>
        <v/>
      </c>
      <c r="R197" s="16" t="str">
        <f t="shared" si="26"/>
        <v/>
      </c>
      <c r="S197" s="16" t="str">
        <f>IF(Q197="","",Q197/MAX(Q$5:Q197)-1)</f>
        <v/>
      </c>
      <c r="T197" s="13" t="str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Z$26:$AA$26,'实盘净值数据(iFinD公式)'!$Z197:$AA197/'实盘净值数据(iFinD公式)'!$Z$69:$AA$69)+SUMPRODUCT(分期持仓明细!$AB$26:$AL$26,'实盘净值数据(iFinD公式)'!$AB197:$AL197/'实盘净值数据(iFinD公式)'!$AB$69:$AL$69))*(1-实盘持仓配置!$AM$10)^(('实盘净值数据(iFinD公式)'!$A197-'实盘净值数据(iFinD公式)'!$A$69)/365))</f>
        <v/>
      </c>
      <c r="U197" s="16" t="str">
        <f t="shared" ref="U197:U227" si="28">IF(OR(T196="",T197=""),"",T197/T196-1)</f>
        <v/>
      </c>
      <c r="V197" s="16" t="str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 t="str">
        <f>IF(OR('实盘净值数据(iFinD公式)'!$A198="",'实盘净值数据(iFinD公式)'!$B198=""),"",分期持仓明细!$AO$17*SUMPRODUCT(分期持仓明细!$B$17:$Y$17,'实盘净值数据(iFinD公式)'!$B198:$Y198/'实盘净值数据(iFinD公式)'!$B$20:$Y$20)*(1-实盘持仓配置!$AM$4)^(('实盘净值数据(iFinD公式)'!$A198-'实盘净值数据(iFinD公式)'!$A$6)/365))</f>
        <v/>
      </c>
      <c r="C198" s="16" t="str">
        <f t="shared" ref="C198:C227" si="29">IF(OR(B197="",B198=""),"",B198/B197-1)</f>
        <v/>
      </c>
      <c r="D198" s="16" t="str">
        <f>IF(B198="","",B198/MAX(B$5:B198)-1)</f>
        <v/>
      </c>
      <c r="E198" s="13" t="str">
        <f>IF(OR('实盘净值数据(iFinD公式)'!$A198="",'实盘净值数据(iFinD公式)'!$B198=""),"",分期持仓明细!$AO$18*SUMPRODUCT(分期持仓明细!$B$18:$Y$18,'实盘净值数据(iFinD公式)'!$B198:$Y198/'实盘净值数据(iFinD公式)'!$B$20:$Y$20)*(1-实盘持仓配置!$AM$5)^(('实盘净值数据(iFinD公式)'!$A198-'实盘净值数据(iFinD公式)'!$A$5)/365))</f>
        <v/>
      </c>
      <c r="F198" s="16" t="str">
        <f t="shared" ref="F198:F227" si="30">IF(OR(E197="",E198=""),"",E198/E197-1)</f>
        <v/>
      </c>
      <c r="G198" s="16" t="str">
        <f>IF(E198="","",E198/MAX(E$5:E198)-1)</f>
        <v/>
      </c>
      <c r="H198" s="13" t="str">
        <f>IF(OR('实盘净值数据(iFinD公式)'!$A198="",'实盘净值数据(iFinD公式)'!$B198=""),"",分期持仓明细!$AO$19*SUMPRODUCT(分期持仓明细!$B$19:$Y$19,'实盘净值数据(iFinD公式)'!$B198:$Y198/'实盘净值数据(iFinD公式)'!$B$20:$Y$20)*(1-实盘持仓配置!$AM$6)^(('实盘净值数据(iFinD公式)'!$A198-'实盘净值数据(iFinD公式)'!$A$7)/365))</f>
        <v/>
      </c>
      <c r="I198" s="16" t="str">
        <f t="shared" ref="I198:I227" si="31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O$23*(SUMPRODUCT(分期持仓明细!$B$23:$Y$23,'实盘净值数据(iFinD公式)'!$B198:$Y198/'实盘净值数据(iFinD公式)'!$B$65:$Y$65)+SUMPRODUCT(分期持仓明细!$Z$23:$AA$23,'实盘净值数据(iFinD公式)'!$Z198:$AA198/'实盘净值数据(iFinD公式)'!$Z$65:$AA$65))*(1-实盘持仓配置!$AM$7)^(('实盘净值数据(iFinD公式)'!$A198-'实盘净值数据(iFinD公式)'!$A$8)/365))</f>
        <v/>
      </c>
      <c r="L198" s="16" t="str">
        <f t="shared" ref="L198:L227" si="32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O$24*(SUMPRODUCT(分期持仓明细!$B$24:$Y$24,'实盘净值数据(iFinD公式)'!$B198:$Y198/'实盘净值数据(iFinD公式)'!$B$65:$Y$65)+SUMPRODUCT(分期持仓明细!$Z$24:$AA$24,'实盘净值数据(iFinD公式)'!$Z198:$AA198/'实盘净值数据(iFinD公式)'!$Z$65:$AA$65))*(1-实盘持仓配置!$AM$8)^(('实盘净值数据(iFinD公式)'!$A198-'实盘净值数据(iFinD公式)'!$A$5)/365))</f>
        <v/>
      </c>
      <c r="O198" s="16" t="str">
        <f t="shared" ref="O198:O227" si="33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O$25*(SUMPRODUCT(分期持仓明细!$B$25:$Y$25,'实盘净值数据(iFinD公式)'!$B198:$Y198/'实盘净值数据(iFinD公式)'!$B$65:$Y$65)+SUMPRODUCT(分期持仓明细!$Z$25:$AA$25,'实盘净值数据(iFinD公式)'!$Z198:$AA198/'实盘净值数据(iFinD公式)'!$Z$65:$AA$65))*(1-实盘持仓配置!$AM$9)^(('实盘净值数据(iFinD公式)'!$A198-'实盘净值数据(iFinD公式)'!$A$8)/365))</f>
        <v/>
      </c>
      <c r="R198" s="16" t="str">
        <f t="shared" ref="R198:R227" si="34">IF(OR(Q197="",Q198=""),"",Q198/Q197-1)</f>
        <v/>
      </c>
      <c r="S198" s="16" t="str">
        <f>IF(Q198="","",Q198/MAX(Q$5:Q198)-1)</f>
        <v/>
      </c>
      <c r="T198" s="13" t="str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Z$26:$AA$26,'实盘净值数据(iFinD公式)'!$Z198:$AA198/'实盘净值数据(iFinD公式)'!$Z$69:$AA$69)+SUMPRODUCT(分期持仓明细!$AB$26:$AL$26,'实盘净值数据(iFinD公式)'!$AB198:$AL198/'实盘净值数据(iFinD公式)'!$AB$69:$AL$69))*(1-实盘持仓配置!$AM$10)^(('实盘净值数据(iFinD公式)'!$A198-'实盘净值数据(iFinD公式)'!$A$69)/365))</f>
        <v/>
      </c>
      <c r="U198" s="16" t="str">
        <f t="shared" si="28"/>
        <v/>
      </c>
      <c r="V198" s="16" t="str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 t="str">
        <f>IF(OR('实盘净值数据(iFinD公式)'!$A199="",'实盘净值数据(iFinD公式)'!$B199=""),"",分期持仓明细!$AO$17*SUMPRODUCT(分期持仓明细!$B$17:$Y$17,'实盘净值数据(iFinD公式)'!$B199:$Y199/'实盘净值数据(iFinD公式)'!$B$20:$Y$20)*(1-实盘持仓配置!$AM$4)^(('实盘净值数据(iFinD公式)'!$A199-'实盘净值数据(iFinD公式)'!$A$6)/365))</f>
        <v/>
      </c>
      <c r="C199" s="16" t="str">
        <f t="shared" si="29"/>
        <v/>
      </c>
      <c r="D199" s="16" t="str">
        <f>IF(B199="","",B199/MAX(B$5:B199)-1)</f>
        <v/>
      </c>
      <c r="E199" s="13" t="str">
        <f>IF(OR('实盘净值数据(iFinD公式)'!$A199="",'实盘净值数据(iFinD公式)'!$B199=""),"",分期持仓明细!$AO$18*SUMPRODUCT(分期持仓明细!$B$18:$Y$18,'实盘净值数据(iFinD公式)'!$B199:$Y199/'实盘净值数据(iFinD公式)'!$B$20:$Y$20)*(1-实盘持仓配置!$AM$5)^(('实盘净值数据(iFinD公式)'!$A199-'实盘净值数据(iFinD公式)'!$A$5)/365))</f>
        <v/>
      </c>
      <c r="F199" s="16" t="str">
        <f t="shared" si="30"/>
        <v/>
      </c>
      <c r="G199" s="16" t="str">
        <f>IF(E199="","",E199/MAX(E$5:E199)-1)</f>
        <v/>
      </c>
      <c r="H199" s="13" t="str">
        <f>IF(OR('实盘净值数据(iFinD公式)'!$A199="",'实盘净值数据(iFinD公式)'!$B199=""),"",分期持仓明细!$AO$19*SUMPRODUCT(分期持仓明细!$B$19:$Y$19,'实盘净值数据(iFinD公式)'!$B199:$Y199/'实盘净值数据(iFinD公式)'!$B$20:$Y$20)*(1-实盘持仓配置!$AM$6)^(('实盘净值数据(iFinD公式)'!$A199-'实盘净值数据(iFinD公式)'!$A$7)/365))</f>
        <v/>
      </c>
      <c r="I199" s="16" t="str">
        <f t="shared" si="31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O$23*(SUMPRODUCT(分期持仓明细!$B$23:$Y$23,'实盘净值数据(iFinD公式)'!$B199:$Y199/'实盘净值数据(iFinD公式)'!$B$65:$Y$65)+SUMPRODUCT(分期持仓明细!$Z$23:$AA$23,'实盘净值数据(iFinD公式)'!$Z199:$AA199/'实盘净值数据(iFinD公式)'!$Z$65:$AA$65))*(1-实盘持仓配置!$AM$7)^(('实盘净值数据(iFinD公式)'!$A199-'实盘净值数据(iFinD公式)'!$A$8)/365))</f>
        <v/>
      </c>
      <c r="L199" s="16" t="str">
        <f t="shared" si="32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O$24*(SUMPRODUCT(分期持仓明细!$B$24:$Y$24,'实盘净值数据(iFinD公式)'!$B199:$Y199/'实盘净值数据(iFinD公式)'!$B$65:$Y$65)+SUMPRODUCT(分期持仓明细!$Z$24:$AA$24,'实盘净值数据(iFinD公式)'!$Z199:$AA199/'实盘净值数据(iFinD公式)'!$Z$65:$AA$65))*(1-实盘持仓配置!$AM$8)^(('实盘净值数据(iFinD公式)'!$A199-'实盘净值数据(iFinD公式)'!$A$5)/365))</f>
        <v/>
      </c>
      <c r="O199" s="16" t="str">
        <f t="shared" si="33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O$25*(SUMPRODUCT(分期持仓明细!$B$25:$Y$25,'实盘净值数据(iFinD公式)'!$B199:$Y199/'实盘净值数据(iFinD公式)'!$B$65:$Y$65)+SUMPRODUCT(分期持仓明细!$Z$25:$AA$25,'实盘净值数据(iFinD公式)'!$Z199:$AA199/'实盘净值数据(iFinD公式)'!$Z$65:$AA$65))*(1-实盘持仓配置!$AM$9)^(('实盘净值数据(iFinD公式)'!$A199-'实盘净值数据(iFinD公式)'!$A$8)/365))</f>
        <v/>
      </c>
      <c r="R199" s="16" t="str">
        <f t="shared" si="34"/>
        <v/>
      </c>
      <c r="S199" s="16" t="str">
        <f>IF(Q199="","",Q199/MAX(Q$5:Q199)-1)</f>
        <v/>
      </c>
      <c r="T199" s="13" t="str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Z$26:$AA$26,'实盘净值数据(iFinD公式)'!$Z199:$AA199/'实盘净值数据(iFinD公式)'!$Z$69:$AA$69)+SUMPRODUCT(分期持仓明细!$AB$26:$AL$26,'实盘净值数据(iFinD公式)'!$AB199:$AL199/'实盘净值数据(iFinD公式)'!$AB$69:$AL$69))*(1-实盘持仓配置!$AM$10)^(('实盘净值数据(iFinD公式)'!$A199-'实盘净值数据(iFinD公式)'!$A$69)/365))</f>
        <v/>
      </c>
      <c r="U199" s="16" t="str">
        <f t="shared" si="28"/>
        <v/>
      </c>
      <c r="V199" s="16" t="str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 t="str">
        <f>IF(OR('实盘净值数据(iFinD公式)'!$A200="",'实盘净值数据(iFinD公式)'!$B200=""),"",分期持仓明细!$AO$17*SUMPRODUCT(分期持仓明细!$B$17:$Y$17,'实盘净值数据(iFinD公式)'!$B200:$Y200/'实盘净值数据(iFinD公式)'!$B$20:$Y$20)*(1-实盘持仓配置!$AM$4)^(('实盘净值数据(iFinD公式)'!$A200-'实盘净值数据(iFinD公式)'!$A$6)/365))</f>
        <v/>
      </c>
      <c r="C200" s="16" t="str">
        <f t="shared" si="29"/>
        <v/>
      </c>
      <c r="D200" s="16" t="str">
        <f>IF(B200="","",B200/MAX(B$5:B200)-1)</f>
        <v/>
      </c>
      <c r="E200" s="13" t="str">
        <f>IF(OR('实盘净值数据(iFinD公式)'!$A200="",'实盘净值数据(iFinD公式)'!$B200=""),"",分期持仓明细!$AO$18*SUMPRODUCT(分期持仓明细!$B$18:$Y$18,'实盘净值数据(iFinD公式)'!$B200:$Y200/'实盘净值数据(iFinD公式)'!$B$20:$Y$20)*(1-实盘持仓配置!$AM$5)^(('实盘净值数据(iFinD公式)'!$A200-'实盘净值数据(iFinD公式)'!$A$5)/365))</f>
        <v/>
      </c>
      <c r="F200" s="16" t="str">
        <f t="shared" si="30"/>
        <v/>
      </c>
      <c r="G200" s="16" t="str">
        <f>IF(E200="","",E200/MAX(E$5:E200)-1)</f>
        <v/>
      </c>
      <c r="H200" s="13" t="str">
        <f>IF(OR('实盘净值数据(iFinD公式)'!$A200="",'实盘净值数据(iFinD公式)'!$B200=""),"",分期持仓明细!$AO$19*SUMPRODUCT(分期持仓明细!$B$19:$Y$19,'实盘净值数据(iFinD公式)'!$B200:$Y200/'实盘净值数据(iFinD公式)'!$B$20:$Y$20)*(1-实盘持仓配置!$AM$6)^(('实盘净值数据(iFinD公式)'!$A200-'实盘净值数据(iFinD公式)'!$A$7)/365))</f>
        <v/>
      </c>
      <c r="I200" s="16" t="str">
        <f t="shared" si="31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O$23*(SUMPRODUCT(分期持仓明细!$B$23:$Y$23,'实盘净值数据(iFinD公式)'!$B200:$Y200/'实盘净值数据(iFinD公式)'!$B$65:$Y$65)+SUMPRODUCT(分期持仓明细!$Z$23:$AA$23,'实盘净值数据(iFinD公式)'!$Z200:$AA200/'实盘净值数据(iFinD公式)'!$Z$65:$AA$65))*(1-实盘持仓配置!$AM$7)^(('实盘净值数据(iFinD公式)'!$A200-'实盘净值数据(iFinD公式)'!$A$8)/365))</f>
        <v/>
      </c>
      <c r="L200" s="16" t="str">
        <f t="shared" si="32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O$24*(SUMPRODUCT(分期持仓明细!$B$24:$Y$24,'实盘净值数据(iFinD公式)'!$B200:$Y200/'实盘净值数据(iFinD公式)'!$B$65:$Y$65)+SUMPRODUCT(分期持仓明细!$Z$24:$AA$24,'实盘净值数据(iFinD公式)'!$Z200:$AA200/'实盘净值数据(iFinD公式)'!$Z$65:$AA$65))*(1-实盘持仓配置!$AM$8)^(('实盘净值数据(iFinD公式)'!$A200-'实盘净值数据(iFinD公式)'!$A$5)/365))</f>
        <v/>
      </c>
      <c r="O200" s="16" t="str">
        <f t="shared" si="33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O$25*(SUMPRODUCT(分期持仓明细!$B$25:$Y$25,'实盘净值数据(iFinD公式)'!$B200:$Y200/'实盘净值数据(iFinD公式)'!$B$65:$Y$65)+SUMPRODUCT(分期持仓明细!$Z$25:$AA$25,'实盘净值数据(iFinD公式)'!$Z200:$AA200/'实盘净值数据(iFinD公式)'!$Z$65:$AA$65))*(1-实盘持仓配置!$AM$9)^(('实盘净值数据(iFinD公式)'!$A200-'实盘净值数据(iFinD公式)'!$A$8)/365))</f>
        <v/>
      </c>
      <c r="R200" s="16" t="str">
        <f t="shared" si="34"/>
        <v/>
      </c>
      <c r="S200" s="16" t="str">
        <f>IF(Q200="","",Q200/MAX(Q$5:Q200)-1)</f>
        <v/>
      </c>
      <c r="T200" s="13" t="str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Z$26:$AA$26,'实盘净值数据(iFinD公式)'!$Z200:$AA200/'实盘净值数据(iFinD公式)'!$Z$69:$AA$69)+SUMPRODUCT(分期持仓明细!$AB$26:$AL$26,'实盘净值数据(iFinD公式)'!$AB200:$AL200/'实盘净值数据(iFinD公式)'!$AB$69:$AL$69))*(1-实盘持仓配置!$AM$10)^(('实盘净值数据(iFinD公式)'!$A200-'实盘净值数据(iFinD公式)'!$A$69)/365))</f>
        <v/>
      </c>
      <c r="U200" s="16" t="str">
        <f t="shared" si="28"/>
        <v/>
      </c>
      <c r="V200" s="16" t="str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 t="str">
        <f>IF(OR('实盘净值数据(iFinD公式)'!$A201="",'实盘净值数据(iFinD公式)'!$B201=""),"",分期持仓明细!$AO$17*SUMPRODUCT(分期持仓明细!$B$17:$Y$17,'实盘净值数据(iFinD公式)'!$B201:$Y201/'实盘净值数据(iFinD公式)'!$B$20:$Y$20)*(1-实盘持仓配置!$AM$4)^(('实盘净值数据(iFinD公式)'!$A201-'实盘净值数据(iFinD公式)'!$A$6)/365))</f>
        <v/>
      </c>
      <c r="C201" s="16" t="str">
        <f t="shared" si="29"/>
        <v/>
      </c>
      <c r="D201" s="16" t="str">
        <f>IF(B201="","",B201/MAX(B$5:B201)-1)</f>
        <v/>
      </c>
      <c r="E201" s="13" t="str">
        <f>IF(OR('实盘净值数据(iFinD公式)'!$A201="",'实盘净值数据(iFinD公式)'!$B201=""),"",分期持仓明细!$AO$18*SUMPRODUCT(分期持仓明细!$B$18:$Y$18,'实盘净值数据(iFinD公式)'!$B201:$Y201/'实盘净值数据(iFinD公式)'!$B$20:$Y$20)*(1-实盘持仓配置!$AM$5)^(('实盘净值数据(iFinD公式)'!$A201-'实盘净值数据(iFinD公式)'!$A$5)/365))</f>
        <v/>
      </c>
      <c r="F201" s="16" t="str">
        <f t="shared" si="30"/>
        <v/>
      </c>
      <c r="G201" s="16" t="str">
        <f>IF(E201="","",E201/MAX(E$5:E201)-1)</f>
        <v/>
      </c>
      <c r="H201" s="13" t="str">
        <f>IF(OR('实盘净值数据(iFinD公式)'!$A201="",'实盘净值数据(iFinD公式)'!$B201=""),"",分期持仓明细!$AO$19*SUMPRODUCT(分期持仓明细!$B$19:$Y$19,'实盘净值数据(iFinD公式)'!$B201:$Y201/'实盘净值数据(iFinD公式)'!$B$20:$Y$20)*(1-实盘持仓配置!$AM$6)^(('实盘净值数据(iFinD公式)'!$A201-'实盘净值数据(iFinD公式)'!$A$7)/365))</f>
        <v/>
      </c>
      <c r="I201" s="16" t="str">
        <f t="shared" si="31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O$23*(SUMPRODUCT(分期持仓明细!$B$23:$Y$23,'实盘净值数据(iFinD公式)'!$B201:$Y201/'实盘净值数据(iFinD公式)'!$B$65:$Y$65)+SUMPRODUCT(分期持仓明细!$Z$23:$AA$23,'实盘净值数据(iFinD公式)'!$Z201:$AA201/'实盘净值数据(iFinD公式)'!$Z$65:$AA$65))*(1-实盘持仓配置!$AM$7)^(('实盘净值数据(iFinD公式)'!$A201-'实盘净值数据(iFinD公式)'!$A$8)/365))</f>
        <v/>
      </c>
      <c r="L201" s="16" t="str">
        <f t="shared" si="32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O$24*(SUMPRODUCT(分期持仓明细!$B$24:$Y$24,'实盘净值数据(iFinD公式)'!$B201:$Y201/'实盘净值数据(iFinD公式)'!$B$65:$Y$65)+SUMPRODUCT(分期持仓明细!$Z$24:$AA$24,'实盘净值数据(iFinD公式)'!$Z201:$AA201/'实盘净值数据(iFinD公式)'!$Z$65:$AA$65))*(1-实盘持仓配置!$AM$8)^(('实盘净值数据(iFinD公式)'!$A201-'实盘净值数据(iFinD公式)'!$A$5)/365))</f>
        <v/>
      </c>
      <c r="O201" s="16" t="str">
        <f t="shared" si="33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O$25*(SUMPRODUCT(分期持仓明细!$B$25:$Y$25,'实盘净值数据(iFinD公式)'!$B201:$Y201/'实盘净值数据(iFinD公式)'!$B$65:$Y$65)+SUMPRODUCT(分期持仓明细!$Z$25:$AA$25,'实盘净值数据(iFinD公式)'!$Z201:$AA201/'实盘净值数据(iFinD公式)'!$Z$65:$AA$65))*(1-实盘持仓配置!$AM$9)^(('实盘净值数据(iFinD公式)'!$A201-'实盘净值数据(iFinD公式)'!$A$8)/365))</f>
        <v/>
      </c>
      <c r="R201" s="16" t="str">
        <f t="shared" si="34"/>
        <v/>
      </c>
      <c r="S201" s="16" t="str">
        <f>IF(Q201="","",Q201/MAX(Q$5:Q201)-1)</f>
        <v/>
      </c>
      <c r="T201" s="13" t="str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Z$26:$AA$26,'实盘净值数据(iFinD公式)'!$Z201:$AA201/'实盘净值数据(iFinD公式)'!$Z$69:$AA$69)+SUMPRODUCT(分期持仓明细!$AB$26:$AL$26,'实盘净值数据(iFinD公式)'!$AB201:$AL201/'实盘净值数据(iFinD公式)'!$AB$69:$AL$69))*(1-实盘持仓配置!$AM$10)^(('实盘净值数据(iFinD公式)'!$A201-'实盘净值数据(iFinD公式)'!$A$69)/365))</f>
        <v/>
      </c>
      <c r="U201" s="16" t="str">
        <f t="shared" si="28"/>
        <v/>
      </c>
      <c r="V201" s="16" t="str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 t="str">
        <f>IF(OR('实盘净值数据(iFinD公式)'!$A202="",'实盘净值数据(iFinD公式)'!$B202=""),"",分期持仓明细!$AO$17*SUMPRODUCT(分期持仓明细!$B$17:$Y$17,'实盘净值数据(iFinD公式)'!$B202:$Y202/'实盘净值数据(iFinD公式)'!$B$20:$Y$20)*(1-实盘持仓配置!$AM$4)^(('实盘净值数据(iFinD公式)'!$A202-'实盘净值数据(iFinD公式)'!$A$6)/365))</f>
        <v/>
      </c>
      <c r="C202" s="16" t="str">
        <f t="shared" si="29"/>
        <v/>
      </c>
      <c r="D202" s="16" t="str">
        <f>IF(B202="","",B202/MAX(B$5:B202)-1)</f>
        <v/>
      </c>
      <c r="E202" s="13" t="str">
        <f>IF(OR('实盘净值数据(iFinD公式)'!$A202="",'实盘净值数据(iFinD公式)'!$B202=""),"",分期持仓明细!$AO$18*SUMPRODUCT(分期持仓明细!$B$18:$Y$18,'实盘净值数据(iFinD公式)'!$B202:$Y202/'实盘净值数据(iFinD公式)'!$B$20:$Y$20)*(1-实盘持仓配置!$AM$5)^(('实盘净值数据(iFinD公式)'!$A202-'实盘净值数据(iFinD公式)'!$A$5)/365))</f>
        <v/>
      </c>
      <c r="F202" s="16" t="str">
        <f t="shared" si="30"/>
        <v/>
      </c>
      <c r="G202" s="16" t="str">
        <f>IF(E202="","",E202/MAX(E$5:E202)-1)</f>
        <v/>
      </c>
      <c r="H202" s="13" t="str">
        <f>IF(OR('实盘净值数据(iFinD公式)'!$A202="",'实盘净值数据(iFinD公式)'!$B202=""),"",分期持仓明细!$AO$19*SUMPRODUCT(分期持仓明细!$B$19:$Y$19,'实盘净值数据(iFinD公式)'!$B202:$Y202/'实盘净值数据(iFinD公式)'!$B$20:$Y$20)*(1-实盘持仓配置!$AM$6)^(('实盘净值数据(iFinD公式)'!$A202-'实盘净值数据(iFinD公式)'!$A$7)/365))</f>
        <v/>
      </c>
      <c r="I202" s="16" t="str">
        <f t="shared" si="31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O$23*(SUMPRODUCT(分期持仓明细!$B$23:$Y$23,'实盘净值数据(iFinD公式)'!$B202:$Y202/'实盘净值数据(iFinD公式)'!$B$65:$Y$65)+SUMPRODUCT(分期持仓明细!$Z$23:$AA$23,'实盘净值数据(iFinD公式)'!$Z202:$AA202/'实盘净值数据(iFinD公式)'!$Z$65:$AA$65))*(1-实盘持仓配置!$AM$7)^(('实盘净值数据(iFinD公式)'!$A202-'实盘净值数据(iFinD公式)'!$A$8)/365))</f>
        <v/>
      </c>
      <c r="L202" s="16" t="str">
        <f t="shared" si="32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O$24*(SUMPRODUCT(分期持仓明细!$B$24:$Y$24,'实盘净值数据(iFinD公式)'!$B202:$Y202/'实盘净值数据(iFinD公式)'!$B$65:$Y$65)+SUMPRODUCT(分期持仓明细!$Z$24:$AA$24,'实盘净值数据(iFinD公式)'!$Z202:$AA202/'实盘净值数据(iFinD公式)'!$Z$65:$AA$65))*(1-实盘持仓配置!$AM$8)^(('实盘净值数据(iFinD公式)'!$A202-'实盘净值数据(iFinD公式)'!$A$5)/365))</f>
        <v/>
      </c>
      <c r="O202" s="16" t="str">
        <f t="shared" si="33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O$25*(SUMPRODUCT(分期持仓明细!$B$25:$Y$25,'实盘净值数据(iFinD公式)'!$B202:$Y202/'实盘净值数据(iFinD公式)'!$B$65:$Y$65)+SUMPRODUCT(分期持仓明细!$Z$25:$AA$25,'实盘净值数据(iFinD公式)'!$Z202:$AA202/'实盘净值数据(iFinD公式)'!$Z$65:$AA$65))*(1-实盘持仓配置!$AM$9)^(('实盘净值数据(iFinD公式)'!$A202-'实盘净值数据(iFinD公式)'!$A$8)/365))</f>
        <v/>
      </c>
      <c r="R202" s="16" t="str">
        <f t="shared" si="34"/>
        <v/>
      </c>
      <c r="S202" s="16" t="str">
        <f>IF(Q202="","",Q202/MAX(Q$5:Q202)-1)</f>
        <v/>
      </c>
      <c r="T202" s="13" t="str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Z$26:$AA$26,'实盘净值数据(iFinD公式)'!$Z202:$AA202/'实盘净值数据(iFinD公式)'!$Z$69:$AA$69)+SUMPRODUCT(分期持仓明细!$AB$26:$AL$26,'实盘净值数据(iFinD公式)'!$AB202:$AL202/'实盘净值数据(iFinD公式)'!$AB$69:$AL$69))*(1-实盘持仓配置!$AM$10)^(('实盘净值数据(iFinD公式)'!$A202-'实盘净值数据(iFinD公式)'!$A$69)/365))</f>
        <v/>
      </c>
      <c r="U202" s="16" t="str">
        <f t="shared" si="28"/>
        <v/>
      </c>
      <c r="V202" s="16" t="str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 t="str">
        <f>IF(OR('实盘净值数据(iFinD公式)'!$A203="",'实盘净值数据(iFinD公式)'!$B203=""),"",分期持仓明细!$AO$17*SUMPRODUCT(分期持仓明细!$B$17:$Y$17,'实盘净值数据(iFinD公式)'!$B203:$Y203/'实盘净值数据(iFinD公式)'!$B$20:$Y$20)*(1-实盘持仓配置!$AM$4)^(('实盘净值数据(iFinD公式)'!$A203-'实盘净值数据(iFinD公式)'!$A$6)/365))</f>
        <v/>
      </c>
      <c r="C203" s="16" t="str">
        <f t="shared" si="29"/>
        <v/>
      </c>
      <c r="D203" s="16" t="str">
        <f>IF(B203="","",B203/MAX(B$5:B203)-1)</f>
        <v/>
      </c>
      <c r="E203" s="13" t="str">
        <f>IF(OR('实盘净值数据(iFinD公式)'!$A203="",'实盘净值数据(iFinD公式)'!$B203=""),"",分期持仓明细!$AO$18*SUMPRODUCT(分期持仓明细!$B$18:$Y$18,'实盘净值数据(iFinD公式)'!$B203:$Y203/'实盘净值数据(iFinD公式)'!$B$20:$Y$20)*(1-实盘持仓配置!$AM$5)^(('实盘净值数据(iFinD公式)'!$A203-'实盘净值数据(iFinD公式)'!$A$5)/365))</f>
        <v/>
      </c>
      <c r="F203" s="16" t="str">
        <f t="shared" si="30"/>
        <v/>
      </c>
      <c r="G203" s="16" t="str">
        <f>IF(E203="","",E203/MAX(E$5:E203)-1)</f>
        <v/>
      </c>
      <c r="H203" s="13" t="str">
        <f>IF(OR('实盘净值数据(iFinD公式)'!$A203="",'实盘净值数据(iFinD公式)'!$B203=""),"",分期持仓明细!$AO$19*SUMPRODUCT(分期持仓明细!$B$19:$Y$19,'实盘净值数据(iFinD公式)'!$B203:$Y203/'实盘净值数据(iFinD公式)'!$B$20:$Y$20)*(1-实盘持仓配置!$AM$6)^(('实盘净值数据(iFinD公式)'!$A203-'实盘净值数据(iFinD公式)'!$A$7)/365))</f>
        <v/>
      </c>
      <c r="I203" s="16" t="str">
        <f t="shared" si="31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O$23*(SUMPRODUCT(分期持仓明细!$B$23:$Y$23,'实盘净值数据(iFinD公式)'!$B203:$Y203/'实盘净值数据(iFinD公式)'!$B$65:$Y$65)+SUMPRODUCT(分期持仓明细!$Z$23:$AA$23,'实盘净值数据(iFinD公式)'!$Z203:$AA203/'实盘净值数据(iFinD公式)'!$Z$65:$AA$65))*(1-实盘持仓配置!$AM$7)^(('实盘净值数据(iFinD公式)'!$A203-'实盘净值数据(iFinD公式)'!$A$8)/365))</f>
        <v/>
      </c>
      <c r="L203" s="16" t="str">
        <f t="shared" si="32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O$24*(SUMPRODUCT(分期持仓明细!$B$24:$Y$24,'实盘净值数据(iFinD公式)'!$B203:$Y203/'实盘净值数据(iFinD公式)'!$B$65:$Y$65)+SUMPRODUCT(分期持仓明细!$Z$24:$AA$24,'实盘净值数据(iFinD公式)'!$Z203:$AA203/'实盘净值数据(iFinD公式)'!$Z$65:$AA$65))*(1-实盘持仓配置!$AM$8)^(('实盘净值数据(iFinD公式)'!$A203-'实盘净值数据(iFinD公式)'!$A$5)/365))</f>
        <v/>
      </c>
      <c r="O203" s="16" t="str">
        <f t="shared" si="33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O$25*(SUMPRODUCT(分期持仓明细!$B$25:$Y$25,'实盘净值数据(iFinD公式)'!$B203:$Y203/'实盘净值数据(iFinD公式)'!$B$65:$Y$65)+SUMPRODUCT(分期持仓明细!$Z$25:$AA$25,'实盘净值数据(iFinD公式)'!$Z203:$AA203/'实盘净值数据(iFinD公式)'!$Z$65:$AA$65))*(1-实盘持仓配置!$AM$9)^(('实盘净值数据(iFinD公式)'!$A203-'实盘净值数据(iFinD公式)'!$A$8)/365))</f>
        <v/>
      </c>
      <c r="R203" s="16" t="str">
        <f t="shared" si="34"/>
        <v/>
      </c>
      <c r="S203" s="16" t="str">
        <f>IF(Q203="","",Q203/MAX(Q$5:Q203)-1)</f>
        <v/>
      </c>
      <c r="T203" s="13" t="str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Z$26:$AA$26,'实盘净值数据(iFinD公式)'!$Z203:$AA203/'实盘净值数据(iFinD公式)'!$Z$69:$AA$69)+SUMPRODUCT(分期持仓明细!$AB$26:$AL$26,'实盘净值数据(iFinD公式)'!$AB203:$AL203/'实盘净值数据(iFinD公式)'!$AB$69:$AL$69))*(1-实盘持仓配置!$AM$10)^(('实盘净值数据(iFinD公式)'!$A203-'实盘净值数据(iFinD公式)'!$A$69)/365))</f>
        <v/>
      </c>
      <c r="U203" s="16" t="str">
        <f t="shared" si="28"/>
        <v/>
      </c>
      <c r="V203" s="16" t="str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 t="str">
        <f>IF(OR('实盘净值数据(iFinD公式)'!$A204="",'实盘净值数据(iFinD公式)'!$B204=""),"",分期持仓明细!$AO$17*SUMPRODUCT(分期持仓明细!$B$17:$Y$17,'实盘净值数据(iFinD公式)'!$B204:$Y204/'实盘净值数据(iFinD公式)'!$B$20:$Y$20)*(1-实盘持仓配置!$AM$4)^(('实盘净值数据(iFinD公式)'!$A204-'实盘净值数据(iFinD公式)'!$A$6)/365))</f>
        <v/>
      </c>
      <c r="C204" s="16" t="str">
        <f t="shared" si="29"/>
        <v/>
      </c>
      <c r="D204" s="16" t="str">
        <f>IF(B204="","",B204/MAX(B$5:B204)-1)</f>
        <v/>
      </c>
      <c r="E204" s="13" t="str">
        <f>IF(OR('实盘净值数据(iFinD公式)'!$A204="",'实盘净值数据(iFinD公式)'!$B204=""),"",分期持仓明细!$AO$18*SUMPRODUCT(分期持仓明细!$B$18:$Y$18,'实盘净值数据(iFinD公式)'!$B204:$Y204/'实盘净值数据(iFinD公式)'!$B$20:$Y$20)*(1-实盘持仓配置!$AM$5)^(('实盘净值数据(iFinD公式)'!$A204-'实盘净值数据(iFinD公式)'!$A$5)/365))</f>
        <v/>
      </c>
      <c r="F204" s="16" t="str">
        <f t="shared" si="30"/>
        <v/>
      </c>
      <c r="G204" s="16" t="str">
        <f>IF(E204="","",E204/MAX(E$5:E204)-1)</f>
        <v/>
      </c>
      <c r="H204" s="13" t="str">
        <f>IF(OR('实盘净值数据(iFinD公式)'!$A204="",'实盘净值数据(iFinD公式)'!$B204=""),"",分期持仓明细!$AO$19*SUMPRODUCT(分期持仓明细!$B$19:$Y$19,'实盘净值数据(iFinD公式)'!$B204:$Y204/'实盘净值数据(iFinD公式)'!$B$20:$Y$20)*(1-实盘持仓配置!$AM$6)^(('实盘净值数据(iFinD公式)'!$A204-'实盘净值数据(iFinD公式)'!$A$7)/365))</f>
        <v/>
      </c>
      <c r="I204" s="16" t="str">
        <f t="shared" si="31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O$23*(SUMPRODUCT(分期持仓明细!$B$23:$Y$23,'实盘净值数据(iFinD公式)'!$B204:$Y204/'实盘净值数据(iFinD公式)'!$B$65:$Y$65)+SUMPRODUCT(分期持仓明细!$Z$23:$AA$23,'实盘净值数据(iFinD公式)'!$Z204:$AA204/'实盘净值数据(iFinD公式)'!$Z$65:$AA$65))*(1-实盘持仓配置!$AM$7)^(('实盘净值数据(iFinD公式)'!$A204-'实盘净值数据(iFinD公式)'!$A$8)/365))</f>
        <v/>
      </c>
      <c r="L204" s="16" t="str">
        <f t="shared" si="32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O$24*(SUMPRODUCT(分期持仓明细!$B$24:$Y$24,'实盘净值数据(iFinD公式)'!$B204:$Y204/'实盘净值数据(iFinD公式)'!$B$65:$Y$65)+SUMPRODUCT(分期持仓明细!$Z$24:$AA$24,'实盘净值数据(iFinD公式)'!$Z204:$AA204/'实盘净值数据(iFinD公式)'!$Z$65:$AA$65))*(1-实盘持仓配置!$AM$8)^(('实盘净值数据(iFinD公式)'!$A204-'实盘净值数据(iFinD公式)'!$A$5)/365))</f>
        <v/>
      </c>
      <c r="O204" s="16" t="str">
        <f t="shared" si="33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O$25*(SUMPRODUCT(分期持仓明细!$B$25:$Y$25,'实盘净值数据(iFinD公式)'!$B204:$Y204/'实盘净值数据(iFinD公式)'!$B$65:$Y$65)+SUMPRODUCT(分期持仓明细!$Z$25:$AA$25,'实盘净值数据(iFinD公式)'!$Z204:$AA204/'实盘净值数据(iFinD公式)'!$Z$65:$AA$65))*(1-实盘持仓配置!$AM$9)^(('实盘净值数据(iFinD公式)'!$A204-'实盘净值数据(iFinD公式)'!$A$8)/365))</f>
        <v/>
      </c>
      <c r="R204" s="16" t="str">
        <f t="shared" si="34"/>
        <v/>
      </c>
      <c r="S204" s="16" t="str">
        <f>IF(Q204="","",Q204/MAX(Q$5:Q204)-1)</f>
        <v/>
      </c>
      <c r="T204" s="13" t="str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Z$26:$AA$26,'实盘净值数据(iFinD公式)'!$Z204:$AA204/'实盘净值数据(iFinD公式)'!$Z$69:$AA$69)+SUMPRODUCT(分期持仓明细!$AB$26:$AL$26,'实盘净值数据(iFinD公式)'!$AB204:$AL204/'实盘净值数据(iFinD公式)'!$AB$69:$AL$69))*(1-实盘持仓配置!$AM$10)^(('实盘净值数据(iFinD公式)'!$A204-'实盘净值数据(iFinD公式)'!$A$69)/365))</f>
        <v/>
      </c>
      <c r="U204" s="16" t="str">
        <f t="shared" si="28"/>
        <v/>
      </c>
      <c r="V204" s="16" t="str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 t="str">
        <f>IF(OR('实盘净值数据(iFinD公式)'!$A205="",'实盘净值数据(iFinD公式)'!$B205=""),"",分期持仓明细!$AO$17*SUMPRODUCT(分期持仓明细!$B$17:$Y$17,'实盘净值数据(iFinD公式)'!$B205:$Y205/'实盘净值数据(iFinD公式)'!$B$20:$Y$20)*(1-实盘持仓配置!$AM$4)^(('实盘净值数据(iFinD公式)'!$A205-'实盘净值数据(iFinD公式)'!$A$6)/365))</f>
        <v/>
      </c>
      <c r="C205" s="16" t="str">
        <f t="shared" si="29"/>
        <v/>
      </c>
      <c r="D205" s="16" t="str">
        <f>IF(B205="","",B205/MAX(B$5:B205)-1)</f>
        <v/>
      </c>
      <c r="E205" s="13" t="str">
        <f>IF(OR('实盘净值数据(iFinD公式)'!$A205="",'实盘净值数据(iFinD公式)'!$B205=""),"",分期持仓明细!$AO$18*SUMPRODUCT(分期持仓明细!$B$18:$Y$18,'实盘净值数据(iFinD公式)'!$B205:$Y205/'实盘净值数据(iFinD公式)'!$B$20:$Y$20)*(1-实盘持仓配置!$AM$5)^(('实盘净值数据(iFinD公式)'!$A205-'实盘净值数据(iFinD公式)'!$A$5)/365))</f>
        <v/>
      </c>
      <c r="F205" s="16" t="str">
        <f t="shared" si="30"/>
        <v/>
      </c>
      <c r="G205" s="16" t="str">
        <f>IF(E205="","",E205/MAX(E$5:E205)-1)</f>
        <v/>
      </c>
      <c r="H205" s="13" t="str">
        <f>IF(OR('实盘净值数据(iFinD公式)'!$A205="",'实盘净值数据(iFinD公式)'!$B205=""),"",分期持仓明细!$AO$19*SUMPRODUCT(分期持仓明细!$B$19:$Y$19,'实盘净值数据(iFinD公式)'!$B205:$Y205/'实盘净值数据(iFinD公式)'!$B$20:$Y$20)*(1-实盘持仓配置!$AM$6)^(('实盘净值数据(iFinD公式)'!$A205-'实盘净值数据(iFinD公式)'!$A$7)/365))</f>
        <v/>
      </c>
      <c r="I205" s="16" t="str">
        <f t="shared" si="31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O$23*(SUMPRODUCT(分期持仓明细!$B$23:$Y$23,'实盘净值数据(iFinD公式)'!$B205:$Y205/'实盘净值数据(iFinD公式)'!$B$65:$Y$65)+SUMPRODUCT(分期持仓明细!$Z$23:$AA$23,'实盘净值数据(iFinD公式)'!$Z205:$AA205/'实盘净值数据(iFinD公式)'!$Z$65:$AA$65))*(1-实盘持仓配置!$AM$7)^(('实盘净值数据(iFinD公式)'!$A205-'实盘净值数据(iFinD公式)'!$A$8)/365))</f>
        <v/>
      </c>
      <c r="L205" s="16" t="str">
        <f t="shared" si="32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O$24*(SUMPRODUCT(分期持仓明细!$B$24:$Y$24,'实盘净值数据(iFinD公式)'!$B205:$Y205/'实盘净值数据(iFinD公式)'!$B$65:$Y$65)+SUMPRODUCT(分期持仓明细!$Z$24:$AA$24,'实盘净值数据(iFinD公式)'!$Z205:$AA205/'实盘净值数据(iFinD公式)'!$Z$65:$AA$65))*(1-实盘持仓配置!$AM$8)^(('实盘净值数据(iFinD公式)'!$A205-'实盘净值数据(iFinD公式)'!$A$5)/365))</f>
        <v/>
      </c>
      <c r="O205" s="16" t="str">
        <f t="shared" si="33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O$25*(SUMPRODUCT(分期持仓明细!$B$25:$Y$25,'实盘净值数据(iFinD公式)'!$B205:$Y205/'实盘净值数据(iFinD公式)'!$B$65:$Y$65)+SUMPRODUCT(分期持仓明细!$Z$25:$AA$25,'实盘净值数据(iFinD公式)'!$Z205:$AA205/'实盘净值数据(iFinD公式)'!$Z$65:$AA$65))*(1-实盘持仓配置!$AM$9)^(('实盘净值数据(iFinD公式)'!$A205-'实盘净值数据(iFinD公式)'!$A$8)/365))</f>
        <v/>
      </c>
      <c r="R205" s="16" t="str">
        <f t="shared" si="34"/>
        <v/>
      </c>
      <c r="S205" s="16" t="str">
        <f>IF(Q205="","",Q205/MAX(Q$5:Q205)-1)</f>
        <v/>
      </c>
      <c r="T205" s="13" t="str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Z$26:$AA$26,'实盘净值数据(iFinD公式)'!$Z205:$AA205/'实盘净值数据(iFinD公式)'!$Z$69:$AA$69)+SUMPRODUCT(分期持仓明细!$AB$26:$AL$26,'实盘净值数据(iFinD公式)'!$AB205:$AL205/'实盘净值数据(iFinD公式)'!$AB$69:$AL$69))*(1-实盘持仓配置!$AM$10)^(('实盘净值数据(iFinD公式)'!$A205-'实盘净值数据(iFinD公式)'!$A$69)/365))</f>
        <v/>
      </c>
      <c r="U205" s="16" t="str">
        <f t="shared" si="28"/>
        <v/>
      </c>
      <c r="V205" s="16" t="str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 t="str">
        <f>IF(OR('实盘净值数据(iFinD公式)'!$A206="",'实盘净值数据(iFinD公式)'!$B206=""),"",分期持仓明细!$AO$17*SUMPRODUCT(分期持仓明细!$B$17:$Y$17,'实盘净值数据(iFinD公式)'!$B206:$Y206/'实盘净值数据(iFinD公式)'!$B$20:$Y$20)*(1-实盘持仓配置!$AM$4)^(('实盘净值数据(iFinD公式)'!$A206-'实盘净值数据(iFinD公式)'!$A$6)/365))</f>
        <v/>
      </c>
      <c r="C206" s="16" t="str">
        <f t="shared" si="29"/>
        <v/>
      </c>
      <c r="D206" s="16" t="str">
        <f>IF(B206="","",B206/MAX(B$5:B206)-1)</f>
        <v/>
      </c>
      <c r="E206" s="13" t="str">
        <f>IF(OR('实盘净值数据(iFinD公式)'!$A206="",'实盘净值数据(iFinD公式)'!$B206=""),"",分期持仓明细!$AO$18*SUMPRODUCT(分期持仓明细!$B$18:$Y$18,'实盘净值数据(iFinD公式)'!$B206:$Y206/'实盘净值数据(iFinD公式)'!$B$20:$Y$20)*(1-实盘持仓配置!$AM$5)^(('实盘净值数据(iFinD公式)'!$A206-'实盘净值数据(iFinD公式)'!$A$5)/365))</f>
        <v/>
      </c>
      <c r="F206" s="16" t="str">
        <f t="shared" si="30"/>
        <v/>
      </c>
      <c r="G206" s="16" t="str">
        <f>IF(E206="","",E206/MAX(E$5:E206)-1)</f>
        <v/>
      </c>
      <c r="H206" s="13" t="str">
        <f>IF(OR('实盘净值数据(iFinD公式)'!$A206="",'实盘净值数据(iFinD公式)'!$B206=""),"",分期持仓明细!$AO$19*SUMPRODUCT(分期持仓明细!$B$19:$Y$19,'实盘净值数据(iFinD公式)'!$B206:$Y206/'实盘净值数据(iFinD公式)'!$B$20:$Y$20)*(1-实盘持仓配置!$AM$6)^(('实盘净值数据(iFinD公式)'!$A206-'实盘净值数据(iFinD公式)'!$A$7)/365))</f>
        <v/>
      </c>
      <c r="I206" s="16" t="str">
        <f t="shared" si="31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O$23*(SUMPRODUCT(分期持仓明细!$B$23:$Y$23,'实盘净值数据(iFinD公式)'!$B206:$Y206/'实盘净值数据(iFinD公式)'!$B$65:$Y$65)+SUMPRODUCT(分期持仓明细!$Z$23:$AA$23,'实盘净值数据(iFinD公式)'!$Z206:$AA206/'实盘净值数据(iFinD公式)'!$Z$65:$AA$65))*(1-实盘持仓配置!$AM$7)^(('实盘净值数据(iFinD公式)'!$A206-'实盘净值数据(iFinD公式)'!$A$8)/365))</f>
        <v/>
      </c>
      <c r="L206" s="16" t="str">
        <f t="shared" si="32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O$24*(SUMPRODUCT(分期持仓明细!$B$24:$Y$24,'实盘净值数据(iFinD公式)'!$B206:$Y206/'实盘净值数据(iFinD公式)'!$B$65:$Y$65)+SUMPRODUCT(分期持仓明细!$Z$24:$AA$24,'实盘净值数据(iFinD公式)'!$Z206:$AA206/'实盘净值数据(iFinD公式)'!$Z$65:$AA$65))*(1-实盘持仓配置!$AM$8)^(('实盘净值数据(iFinD公式)'!$A206-'实盘净值数据(iFinD公式)'!$A$5)/365))</f>
        <v/>
      </c>
      <c r="O206" s="16" t="str">
        <f t="shared" si="33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O$25*(SUMPRODUCT(分期持仓明细!$B$25:$Y$25,'实盘净值数据(iFinD公式)'!$B206:$Y206/'实盘净值数据(iFinD公式)'!$B$65:$Y$65)+SUMPRODUCT(分期持仓明细!$Z$25:$AA$25,'实盘净值数据(iFinD公式)'!$Z206:$AA206/'实盘净值数据(iFinD公式)'!$Z$65:$AA$65))*(1-实盘持仓配置!$AM$9)^(('实盘净值数据(iFinD公式)'!$A206-'实盘净值数据(iFinD公式)'!$A$8)/365))</f>
        <v/>
      </c>
      <c r="R206" s="16" t="str">
        <f t="shared" si="34"/>
        <v/>
      </c>
      <c r="S206" s="16" t="str">
        <f>IF(Q206="","",Q206/MAX(Q$5:Q206)-1)</f>
        <v/>
      </c>
      <c r="T206" s="13" t="str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Z$26:$AA$26,'实盘净值数据(iFinD公式)'!$Z206:$AA206/'实盘净值数据(iFinD公式)'!$Z$69:$AA$69)+SUMPRODUCT(分期持仓明细!$AB$26:$AL$26,'实盘净值数据(iFinD公式)'!$AB206:$AL206/'实盘净值数据(iFinD公式)'!$AB$69:$AL$69))*(1-实盘持仓配置!$AM$10)^(('实盘净值数据(iFinD公式)'!$A206-'实盘净值数据(iFinD公式)'!$A$69)/365))</f>
        <v/>
      </c>
      <c r="U206" s="16" t="str">
        <f t="shared" si="28"/>
        <v/>
      </c>
      <c r="V206" s="16" t="str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 t="str">
        <f>IF(OR('实盘净值数据(iFinD公式)'!$A207="",'实盘净值数据(iFinD公式)'!$B207=""),"",分期持仓明细!$AO$17*SUMPRODUCT(分期持仓明细!$B$17:$Y$17,'实盘净值数据(iFinD公式)'!$B207:$Y207/'实盘净值数据(iFinD公式)'!$B$20:$Y$20)*(1-实盘持仓配置!$AM$4)^(('实盘净值数据(iFinD公式)'!$A207-'实盘净值数据(iFinD公式)'!$A$6)/365))</f>
        <v/>
      </c>
      <c r="C207" s="16" t="str">
        <f t="shared" si="29"/>
        <v/>
      </c>
      <c r="D207" s="16" t="str">
        <f>IF(B207="","",B207/MAX(B$5:B207)-1)</f>
        <v/>
      </c>
      <c r="E207" s="13" t="str">
        <f>IF(OR('实盘净值数据(iFinD公式)'!$A207="",'实盘净值数据(iFinD公式)'!$B207=""),"",分期持仓明细!$AO$18*SUMPRODUCT(分期持仓明细!$B$18:$Y$18,'实盘净值数据(iFinD公式)'!$B207:$Y207/'实盘净值数据(iFinD公式)'!$B$20:$Y$20)*(1-实盘持仓配置!$AM$5)^(('实盘净值数据(iFinD公式)'!$A207-'实盘净值数据(iFinD公式)'!$A$5)/365))</f>
        <v/>
      </c>
      <c r="F207" s="16" t="str">
        <f t="shared" si="30"/>
        <v/>
      </c>
      <c r="G207" s="16" t="str">
        <f>IF(E207="","",E207/MAX(E$5:E207)-1)</f>
        <v/>
      </c>
      <c r="H207" s="13" t="str">
        <f>IF(OR('实盘净值数据(iFinD公式)'!$A207="",'实盘净值数据(iFinD公式)'!$B207=""),"",分期持仓明细!$AO$19*SUMPRODUCT(分期持仓明细!$B$19:$Y$19,'实盘净值数据(iFinD公式)'!$B207:$Y207/'实盘净值数据(iFinD公式)'!$B$20:$Y$20)*(1-实盘持仓配置!$AM$6)^(('实盘净值数据(iFinD公式)'!$A207-'实盘净值数据(iFinD公式)'!$A$7)/365))</f>
        <v/>
      </c>
      <c r="I207" s="16" t="str">
        <f t="shared" si="31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O$23*(SUMPRODUCT(分期持仓明细!$B$23:$Y$23,'实盘净值数据(iFinD公式)'!$B207:$Y207/'实盘净值数据(iFinD公式)'!$B$65:$Y$65)+SUMPRODUCT(分期持仓明细!$Z$23:$AA$23,'实盘净值数据(iFinD公式)'!$Z207:$AA207/'实盘净值数据(iFinD公式)'!$Z$65:$AA$65))*(1-实盘持仓配置!$AM$7)^(('实盘净值数据(iFinD公式)'!$A207-'实盘净值数据(iFinD公式)'!$A$8)/365))</f>
        <v/>
      </c>
      <c r="L207" s="16" t="str">
        <f t="shared" si="32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O$24*(SUMPRODUCT(分期持仓明细!$B$24:$Y$24,'实盘净值数据(iFinD公式)'!$B207:$Y207/'实盘净值数据(iFinD公式)'!$B$65:$Y$65)+SUMPRODUCT(分期持仓明细!$Z$24:$AA$24,'实盘净值数据(iFinD公式)'!$Z207:$AA207/'实盘净值数据(iFinD公式)'!$Z$65:$AA$65))*(1-实盘持仓配置!$AM$8)^(('实盘净值数据(iFinD公式)'!$A207-'实盘净值数据(iFinD公式)'!$A$5)/365))</f>
        <v/>
      </c>
      <c r="O207" s="16" t="str">
        <f t="shared" si="33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O$25*(SUMPRODUCT(分期持仓明细!$B$25:$Y$25,'实盘净值数据(iFinD公式)'!$B207:$Y207/'实盘净值数据(iFinD公式)'!$B$65:$Y$65)+SUMPRODUCT(分期持仓明细!$Z$25:$AA$25,'实盘净值数据(iFinD公式)'!$Z207:$AA207/'实盘净值数据(iFinD公式)'!$Z$65:$AA$65))*(1-实盘持仓配置!$AM$9)^(('实盘净值数据(iFinD公式)'!$A207-'实盘净值数据(iFinD公式)'!$A$8)/365))</f>
        <v/>
      </c>
      <c r="R207" s="16" t="str">
        <f t="shared" si="34"/>
        <v/>
      </c>
      <c r="S207" s="16" t="str">
        <f>IF(Q207="","",Q207/MAX(Q$5:Q207)-1)</f>
        <v/>
      </c>
      <c r="T207" s="13" t="str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Z$26:$AA$26,'实盘净值数据(iFinD公式)'!$Z207:$AA207/'实盘净值数据(iFinD公式)'!$Z$69:$AA$69)+SUMPRODUCT(分期持仓明细!$AB$26:$AL$26,'实盘净值数据(iFinD公式)'!$AB207:$AL207/'实盘净值数据(iFinD公式)'!$AB$69:$AL$69))*(1-实盘持仓配置!$AM$10)^(('实盘净值数据(iFinD公式)'!$A207-'实盘净值数据(iFinD公式)'!$A$69)/365))</f>
        <v/>
      </c>
      <c r="U207" s="16" t="str">
        <f t="shared" si="28"/>
        <v/>
      </c>
      <c r="V207" s="16" t="str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 t="str">
        <f>IF(OR('实盘净值数据(iFinD公式)'!$A208="",'实盘净值数据(iFinD公式)'!$B208=""),"",分期持仓明细!$AO$17*SUMPRODUCT(分期持仓明细!$B$17:$Y$17,'实盘净值数据(iFinD公式)'!$B208:$Y208/'实盘净值数据(iFinD公式)'!$B$20:$Y$20)*(1-实盘持仓配置!$AM$4)^(('实盘净值数据(iFinD公式)'!$A208-'实盘净值数据(iFinD公式)'!$A$6)/365))</f>
        <v/>
      </c>
      <c r="C208" s="16" t="str">
        <f t="shared" si="29"/>
        <v/>
      </c>
      <c r="D208" s="16" t="str">
        <f>IF(B208="","",B208/MAX(B$5:B208)-1)</f>
        <v/>
      </c>
      <c r="E208" s="13" t="str">
        <f>IF(OR('实盘净值数据(iFinD公式)'!$A208="",'实盘净值数据(iFinD公式)'!$B208=""),"",分期持仓明细!$AO$18*SUMPRODUCT(分期持仓明细!$B$18:$Y$18,'实盘净值数据(iFinD公式)'!$B208:$Y208/'实盘净值数据(iFinD公式)'!$B$20:$Y$20)*(1-实盘持仓配置!$AM$5)^(('实盘净值数据(iFinD公式)'!$A208-'实盘净值数据(iFinD公式)'!$A$5)/365))</f>
        <v/>
      </c>
      <c r="F208" s="16" t="str">
        <f t="shared" si="30"/>
        <v/>
      </c>
      <c r="G208" s="16" t="str">
        <f>IF(E208="","",E208/MAX(E$5:E208)-1)</f>
        <v/>
      </c>
      <c r="H208" s="13" t="str">
        <f>IF(OR('实盘净值数据(iFinD公式)'!$A208="",'实盘净值数据(iFinD公式)'!$B208=""),"",分期持仓明细!$AO$19*SUMPRODUCT(分期持仓明细!$B$19:$Y$19,'实盘净值数据(iFinD公式)'!$B208:$Y208/'实盘净值数据(iFinD公式)'!$B$20:$Y$20)*(1-实盘持仓配置!$AM$6)^(('实盘净值数据(iFinD公式)'!$A208-'实盘净值数据(iFinD公式)'!$A$7)/365))</f>
        <v/>
      </c>
      <c r="I208" s="16" t="str">
        <f t="shared" si="31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O$23*(SUMPRODUCT(分期持仓明细!$B$23:$Y$23,'实盘净值数据(iFinD公式)'!$B208:$Y208/'实盘净值数据(iFinD公式)'!$B$65:$Y$65)+SUMPRODUCT(分期持仓明细!$Z$23:$AA$23,'实盘净值数据(iFinD公式)'!$Z208:$AA208/'实盘净值数据(iFinD公式)'!$Z$65:$AA$65))*(1-实盘持仓配置!$AM$7)^(('实盘净值数据(iFinD公式)'!$A208-'实盘净值数据(iFinD公式)'!$A$8)/365))</f>
        <v/>
      </c>
      <c r="L208" s="16" t="str">
        <f t="shared" si="32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O$24*(SUMPRODUCT(分期持仓明细!$B$24:$Y$24,'实盘净值数据(iFinD公式)'!$B208:$Y208/'实盘净值数据(iFinD公式)'!$B$65:$Y$65)+SUMPRODUCT(分期持仓明细!$Z$24:$AA$24,'实盘净值数据(iFinD公式)'!$Z208:$AA208/'实盘净值数据(iFinD公式)'!$Z$65:$AA$65))*(1-实盘持仓配置!$AM$8)^(('实盘净值数据(iFinD公式)'!$A208-'实盘净值数据(iFinD公式)'!$A$5)/365))</f>
        <v/>
      </c>
      <c r="O208" s="16" t="str">
        <f t="shared" si="33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O$25*(SUMPRODUCT(分期持仓明细!$B$25:$Y$25,'实盘净值数据(iFinD公式)'!$B208:$Y208/'实盘净值数据(iFinD公式)'!$B$65:$Y$65)+SUMPRODUCT(分期持仓明细!$Z$25:$AA$25,'实盘净值数据(iFinD公式)'!$Z208:$AA208/'实盘净值数据(iFinD公式)'!$Z$65:$AA$65))*(1-实盘持仓配置!$AM$9)^(('实盘净值数据(iFinD公式)'!$A208-'实盘净值数据(iFinD公式)'!$A$8)/365))</f>
        <v/>
      </c>
      <c r="R208" s="16" t="str">
        <f t="shared" si="34"/>
        <v/>
      </c>
      <c r="S208" s="16" t="str">
        <f>IF(Q208="","",Q208/MAX(Q$5:Q208)-1)</f>
        <v/>
      </c>
      <c r="T208" s="13" t="str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Z$26:$AA$26,'实盘净值数据(iFinD公式)'!$Z208:$AA208/'实盘净值数据(iFinD公式)'!$Z$69:$AA$69)+SUMPRODUCT(分期持仓明细!$AB$26:$AL$26,'实盘净值数据(iFinD公式)'!$AB208:$AL208/'实盘净值数据(iFinD公式)'!$AB$69:$AL$69))*(1-实盘持仓配置!$AM$10)^(('实盘净值数据(iFinD公式)'!$A208-'实盘净值数据(iFinD公式)'!$A$69)/365))</f>
        <v/>
      </c>
      <c r="U208" s="16" t="str">
        <f t="shared" si="28"/>
        <v/>
      </c>
      <c r="V208" s="16" t="str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 t="str">
        <f>IF(OR('实盘净值数据(iFinD公式)'!$A209="",'实盘净值数据(iFinD公式)'!$B209=""),"",分期持仓明细!$AO$17*SUMPRODUCT(分期持仓明细!$B$17:$Y$17,'实盘净值数据(iFinD公式)'!$B209:$Y209/'实盘净值数据(iFinD公式)'!$B$20:$Y$20)*(1-实盘持仓配置!$AM$4)^(('实盘净值数据(iFinD公式)'!$A209-'实盘净值数据(iFinD公式)'!$A$6)/365))</f>
        <v/>
      </c>
      <c r="C209" s="16" t="str">
        <f t="shared" si="29"/>
        <v/>
      </c>
      <c r="D209" s="16" t="str">
        <f>IF(B209="","",B209/MAX(B$5:B209)-1)</f>
        <v/>
      </c>
      <c r="E209" s="13" t="str">
        <f>IF(OR('实盘净值数据(iFinD公式)'!$A209="",'实盘净值数据(iFinD公式)'!$B209=""),"",分期持仓明细!$AO$18*SUMPRODUCT(分期持仓明细!$B$18:$Y$18,'实盘净值数据(iFinD公式)'!$B209:$Y209/'实盘净值数据(iFinD公式)'!$B$20:$Y$20)*(1-实盘持仓配置!$AM$5)^(('实盘净值数据(iFinD公式)'!$A209-'实盘净值数据(iFinD公式)'!$A$5)/365))</f>
        <v/>
      </c>
      <c r="F209" s="16" t="str">
        <f t="shared" si="30"/>
        <v/>
      </c>
      <c r="G209" s="16" t="str">
        <f>IF(E209="","",E209/MAX(E$5:E209)-1)</f>
        <v/>
      </c>
      <c r="H209" s="13" t="str">
        <f>IF(OR('实盘净值数据(iFinD公式)'!$A209="",'实盘净值数据(iFinD公式)'!$B209=""),"",分期持仓明细!$AO$19*SUMPRODUCT(分期持仓明细!$B$19:$Y$19,'实盘净值数据(iFinD公式)'!$B209:$Y209/'实盘净值数据(iFinD公式)'!$B$20:$Y$20)*(1-实盘持仓配置!$AM$6)^(('实盘净值数据(iFinD公式)'!$A209-'实盘净值数据(iFinD公式)'!$A$7)/365))</f>
        <v/>
      </c>
      <c r="I209" s="16" t="str">
        <f t="shared" si="31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O$23*(SUMPRODUCT(分期持仓明细!$B$23:$Y$23,'实盘净值数据(iFinD公式)'!$B209:$Y209/'实盘净值数据(iFinD公式)'!$B$65:$Y$65)+SUMPRODUCT(分期持仓明细!$Z$23:$AA$23,'实盘净值数据(iFinD公式)'!$Z209:$AA209/'实盘净值数据(iFinD公式)'!$Z$65:$AA$65))*(1-实盘持仓配置!$AM$7)^(('实盘净值数据(iFinD公式)'!$A209-'实盘净值数据(iFinD公式)'!$A$8)/365))</f>
        <v/>
      </c>
      <c r="L209" s="16" t="str">
        <f t="shared" si="32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O$24*(SUMPRODUCT(分期持仓明细!$B$24:$Y$24,'实盘净值数据(iFinD公式)'!$B209:$Y209/'实盘净值数据(iFinD公式)'!$B$65:$Y$65)+SUMPRODUCT(分期持仓明细!$Z$24:$AA$24,'实盘净值数据(iFinD公式)'!$Z209:$AA209/'实盘净值数据(iFinD公式)'!$Z$65:$AA$65))*(1-实盘持仓配置!$AM$8)^(('实盘净值数据(iFinD公式)'!$A209-'实盘净值数据(iFinD公式)'!$A$5)/365))</f>
        <v/>
      </c>
      <c r="O209" s="16" t="str">
        <f t="shared" si="33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O$25*(SUMPRODUCT(分期持仓明细!$B$25:$Y$25,'实盘净值数据(iFinD公式)'!$B209:$Y209/'实盘净值数据(iFinD公式)'!$B$65:$Y$65)+SUMPRODUCT(分期持仓明细!$Z$25:$AA$25,'实盘净值数据(iFinD公式)'!$Z209:$AA209/'实盘净值数据(iFinD公式)'!$Z$65:$AA$65))*(1-实盘持仓配置!$AM$9)^(('实盘净值数据(iFinD公式)'!$A209-'实盘净值数据(iFinD公式)'!$A$8)/365))</f>
        <v/>
      </c>
      <c r="R209" s="16" t="str">
        <f t="shared" si="34"/>
        <v/>
      </c>
      <c r="S209" s="16" t="str">
        <f>IF(Q209="","",Q209/MAX(Q$5:Q209)-1)</f>
        <v/>
      </c>
      <c r="T209" s="13" t="str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Z$26:$AA$26,'实盘净值数据(iFinD公式)'!$Z209:$AA209/'实盘净值数据(iFinD公式)'!$Z$69:$AA$69)+SUMPRODUCT(分期持仓明细!$AB$26:$AL$26,'实盘净值数据(iFinD公式)'!$AB209:$AL209/'实盘净值数据(iFinD公式)'!$AB$69:$AL$69))*(1-实盘持仓配置!$AM$10)^(('实盘净值数据(iFinD公式)'!$A209-'实盘净值数据(iFinD公式)'!$A$69)/365))</f>
        <v/>
      </c>
      <c r="U209" s="16" t="str">
        <f t="shared" si="28"/>
        <v/>
      </c>
      <c r="V209" s="16" t="str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 t="str">
        <f>IF(OR('实盘净值数据(iFinD公式)'!$A210="",'实盘净值数据(iFinD公式)'!$B210=""),"",分期持仓明细!$AO$17*SUMPRODUCT(分期持仓明细!$B$17:$Y$17,'实盘净值数据(iFinD公式)'!$B210:$Y210/'实盘净值数据(iFinD公式)'!$B$20:$Y$20)*(1-实盘持仓配置!$AM$4)^(('实盘净值数据(iFinD公式)'!$A210-'实盘净值数据(iFinD公式)'!$A$6)/365))</f>
        <v/>
      </c>
      <c r="C210" s="16" t="str">
        <f t="shared" si="29"/>
        <v/>
      </c>
      <c r="D210" s="16" t="str">
        <f>IF(B210="","",B210/MAX(B$5:B210)-1)</f>
        <v/>
      </c>
      <c r="E210" s="13" t="str">
        <f>IF(OR('实盘净值数据(iFinD公式)'!$A210="",'实盘净值数据(iFinD公式)'!$B210=""),"",分期持仓明细!$AO$18*SUMPRODUCT(分期持仓明细!$B$18:$Y$18,'实盘净值数据(iFinD公式)'!$B210:$Y210/'实盘净值数据(iFinD公式)'!$B$20:$Y$20)*(1-实盘持仓配置!$AM$5)^(('实盘净值数据(iFinD公式)'!$A210-'实盘净值数据(iFinD公式)'!$A$5)/365))</f>
        <v/>
      </c>
      <c r="F210" s="16" t="str">
        <f t="shared" si="30"/>
        <v/>
      </c>
      <c r="G210" s="16" t="str">
        <f>IF(E210="","",E210/MAX(E$5:E210)-1)</f>
        <v/>
      </c>
      <c r="H210" s="13" t="str">
        <f>IF(OR('实盘净值数据(iFinD公式)'!$A210="",'实盘净值数据(iFinD公式)'!$B210=""),"",分期持仓明细!$AO$19*SUMPRODUCT(分期持仓明细!$B$19:$Y$19,'实盘净值数据(iFinD公式)'!$B210:$Y210/'实盘净值数据(iFinD公式)'!$B$20:$Y$20)*(1-实盘持仓配置!$AM$6)^(('实盘净值数据(iFinD公式)'!$A210-'实盘净值数据(iFinD公式)'!$A$7)/365))</f>
        <v/>
      </c>
      <c r="I210" s="16" t="str">
        <f t="shared" si="31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O$23*(SUMPRODUCT(分期持仓明细!$B$23:$Y$23,'实盘净值数据(iFinD公式)'!$B210:$Y210/'实盘净值数据(iFinD公式)'!$B$65:$Y$65)+SUMPRODUCT(分期持仓明细!$Z$23:$AA$23,'实盘净值数据(iFinD公式)'!$Z210:$AA210/'实盘净值数据(iFinD公式)'!$Z$65:$AA$65))*(1-实盘持仓配置!$AM$7)^(('实盘净值数据(iFinD公式)'!$A210-'实盘净值数据(iFinD公式)'!$A$8)/365))</f>
        <v/>
      </c>
      <c r="L210" s="16" t="str">
        <f t="shared" si="32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O$24*(SUMPRODUCT(分期持仓明细!$B$24:$Y$24,'实盘净值数据(iFinD公式)'!$B210:$Y210/'实盘净值数据(iFinD公式)'!$B$65:$Y$65)+SUMPRODUCT(分期持仓明细!$Z$24:$AA$24,'实盘净值数据(iFinD公式)'!$Z210:$AA210/'实盘净值数据(iFinD公式)'!$Z$65:$AA$65))*(1-实盘持仓配置!$AM$8)^(('实盘净值数据(iFinD公式)'!$A210-'实盘净值数据(iFinD公式)'!$A$5)/365))</f>
        <v/>
      </c>
      <c r="O210" s="16" t="str">
        <f t="shared" si="33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O$25*(SUMPRODUCT(分期持仓明细!$B$25:$Y$25,'实盘净值数据(iFinD公式)'!$B210:$Y210/'实盘净值数据(iFinD公式)'!$B$65:$Y$65)+SUMPRODUCT(分期持仓明细!$Z$25:$AA$25,'实盘净值数据(iFinD公式)'!$Z210:$AA210/'实盘净值数据(iFinD公式)'!$Z$65:$AA$65))*(1-实盘持仓配置!$AM$9)^(('实盘净值数据(iFinD公式)'!$A210-'实盘净值数据(iFinD公式)'!$A$8)/365))</f>
        <v/>
      </c>
      <c r="R210" s="16" t="str">
        <f t="shared" si="34"/>
        <v/>
      </c>
      <c r="S210" s="16" t="str">
        <f>IF(Q210="","",Q210/MAX(Q$5:Q210)-1)</f>
        <v/>
      </c>
      <c r="T210" s="13" t="str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Z$26:$AA$26,'实盘净值数据(iFinD公式)'!$Z210:$AA210/'实盘净值数据(iFinD公式)'!$Z$69:$AA$69)+SUMPRODUCT(分期持仓明细!$AB$26:$AL$26,'实盘净值数据(iFinD公式)'!$AB210:$AL210/'实盘净值数据(iFinD公式)'!$AB$69:$AL$69))*(1-实盘持仓配置!$AM$10)^(('实盘净值数据(iFinD公式)'!$A210-'实盘净值数据(iFinD公式)'!$A$69)/365))</f>
        <v/>
      </c>
      <c r="U210" s="16" t="str">
        <f t="shared" si="28"/>
        <v/>
      </c>
      <c r="V210" s="16" t="str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 t="str">
        <f>IF(OR('实盘净值数据(iFinD公式)'!$A211="",'实盘净值数据(iFinD公式)'!$B211=""),"",分期持仓明细!$AO$17*SUMPRODUCT(分期持仓明细!$B$17:$Y$17,'实盘净值数据(iFinD公式)'!$B211:$Y211/'实盘净值数据(iFinD公式)'!$B$20:$Y$20)*(1-实盘持仓配置!$AM$4)^(('实盘净值数据(iFinD公式)'!$A211-'实盘净值数据(iFinD公式)'!$A$6)/365))</f>
        <v/>
      </c>
      <c r="C211" s="16" t="str">
        <f t="shared" si="29"/>
        <v/>
      </c>
      <c r="D211" s="16" t="str">
        <f>IF(B211="","",B211/MAX(B$5:B211)-1)</f>
        <v/>
      </c>
      <c r="E211" s="13" t="str">
        <f>IF(OR('实盘净值数据(iFinD公式)'!$A211="",'实盘净值数据(iFinD公式)'!$B211=""),"",分期持仓明细!$AO$18*SUMPRODUCT(分期持仓明细!$B$18:$Y$18,'实盘净值数据(iFinD公式)'!$B211:$Y211/'实盘净值数据(iFinD公式)'!$B$20:$Y$20)*(1-实盘持仓配置!$AM$5)^(('实盘净值数据(iFinD公式)'!$A211-'实盘净值数据(iFinD公式)'!$A$5)/365))</f>
        <v/>
      </c>
      <c r="F211" s="16" t="str">
        <f t="shared" si="30"/>
        <v/>
      </c>
      <c r="G211" s="16" t="str">
        <f>IF(E211="","",E211/MAX(E$5:E211)-1)</f>
        <v/>
      </c>
      <c r="H211" s="13" t="str">
        <f>IF(OR('实盘净值数据(iFinD公式)'!$A211="",'实盘净值数据(iFinD公式)'!$B211=""),"",分期持仓明细!$AO$19*SUMPRODUCT(分期持仓明细!$B$19:$Y$19,'实盘净值数据(iFinD公式)'!$B211:$Y211/'实盘净值数据(iFinD公式)'!$B$20:$Y$20)*(1-实盘持仓配置!$AM$6)^(('实盘净值数据(iFinD公式)'!$A211-'实盘净值数据(iFinD公式)'!$A$7)/365))</f>
        <v/>
      </c>
      <c r="I211" s="16" t="str">
        <f t="shared" si="31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O$23*(SUMPRODUCT(分期持仓明细!$B$23:$Y$23,'实盘净值数据(iFinD公式)'!$B211:$Y211/'实盘净值数据(iFinD公式)'!$B$65:$Y$65)+SUMPRODUCT(分期持仓明细!$Z$23:$AA$23,'实盘净值数据(iFinD公式)'!$Z211:$AA211/'实盘净值数据(iFinD公式)'!$Z$65:$AA$65))*(1-实盘持仓配置!$AM$7)^(('实盘净值数据(iFinD公式)'!$A211-'实盘净值数据(iFinD公式)'!$A$8)/365))</f>
        <v/>
      </c>
      <c r="L211" s="16" t="str">
        <f t="shared" si="32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O$24*(SUMPRODUCT(分期持仓明细!$B$24:$Y$24,'实盘净值数据(iFinD公式)'!$B211:$Y211/'实盘净值数据(iFinD公式)'!$B$65:$Y$65)+SUMPRODUCT(分期持仓明细!$Z$24:$AA$24,'实盘净值数据(iFinD公式)'!$Z211:$AA211/'实盘净值数据(iFinD公式)'!$Z$65:$AA$65))*(1-实盘持仓配置!$AM$8)^(('实盘净值数据(iFinD公式)'!$A211-'实盘净值数据(iFinD公式)'!$A$5)/365))</f>
        <v/>
      </c>
      <c r="O211" s="16" t="str">
        <f t="shared" si="33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O$25*(SUMPRODUCT(分期持仓明细!$B$25:$Y$25,'实盘净值数据(iFinD公式)'!$B211:$Y211/'实盘净值数据(iFinD公式)'!$B$65:$Y$65)+SUMPRODUCT(分期持仓明细!$Z$25:$AA$25,'实盘净值数据(iFinD公式)'!$Z211:$AA211/'实盘净值数据(iFinD公式)'!$Z$65:$AA$65))*(1-实盘持仓配置!$AM$9)^(('实盘净值数据(iFinD公式)'!$A211-'实盘净值数据(iFinD公式)'!$A$8)/365))</f>
        <v/>
      </c>
      <c r="R211" s="16" t="str">
        <f t="shared" si="34"/>
        <v/>
      </c>
      <c r="S211" s="16" t="str">
        <f>IF(Q211="","",Q211/MAX(Q$5:Q211)-1)</f>
        <v/>
      </c>
      <c r="T211" s="13" t="str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Z$26:$AA$26,'实盘净值数据(iFinD公式)'!$Z211:$AA211/'实盘净值数据(iFinD公式)'!$Z$69:$AA$69)+SUMPRODUCT(分期持仓明细!$AB$26:$AL$26,'实盘净值数据(iFinD公式)'!$AB211:$AL211/'实盘净值数据(iFinD公式)'!$AB$69:$AL$69))*(1-实盘持仓配置!$AM$10)^(('实盘净值数据(iFinD公式)'!$A211-'实盘净值数据(iFinD公式)'!$A$69)/365))</f>
        <v/>
      </c>
      <c r="U211" s="16" t="str">
        <f t="shared" si="28"/>
        <v/>
      </c>
      <c r="V211" s="16" t="str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 t="str">
        <f>IF(OR('实盘净值数据(iFinD公式)'!$A212="",'实盘净值数据(iFinD公式)'!$B212=""),"",分期持仓明细!$AO$17*SUMPRODUCT(分期持仓明细!$B$17:$Y$17,'实盘净值数据(iFinD公式)'!$B212:$Y212/'实盘净值数据(iFinD公式)'!$B$20:$Y$20)*(1-实盘持仓配置!$AM$4)^(('实盘净值数据(iFinD公式)'!$A212-'实盘净值数据(iFinD公式)'!$A$6)/365))</f>
        <v/>
      </c>
      <c r="C212" s="16" t="str">
        <f t="shared" si="29"/>
        <v/>
      </c>
      <c r="D212" s="16" t="str">
        <f>IF(B212="","",B212/MAX(B$5:B212)-1)</f>
        <v/>
      </c>
      <c r="E212" s="13" t="str">
        <f>IF(OR('实盘净值数据(iFinD公式)'!$A212="",'实盘净值数据(iFinD公式)'!$B212=""),"",分期持仓明细!$AO$18*SUMPRODUCT(分期持仓明细!$B$18:$Y$18,'实盘净值数据(iFinD公式)'!$B212:$Y212/'实盘净值数据(iFinD公式)'!$B$20:$Y$20)*(1-实盘持仓配置!$AM$5)^(('实盘净值数据(iFinD公式)'!$A212-'实盘净值数据(iFinD公式)'!$A$5)/365))</f>
        <v/>
      </c>
      <c r="F212" s="16" t="str">
        <f t="shared" si="30"/>
        <v/>
      </c>
      <c r="G212" s="16" t="str">
        <f>IF(E212="","",E212/MAX(E$5:E212)-1)</f>
        <v/>
      </c>
      <c r="H212" s="13" t="str">
        <f>IF(OR('实盘净值数据(iFinD公式)'!$A212="",'实盘净值数据(iFinD公式)'!$B212=""),"",分期持仓明细!$AO$19*SUMPRODUCT(分期持仓明细!$B$19:$Y$19,'实盘净值数据(iFinD公式)'!$B212:$Y212/'实盘净值数据(iFinD公式)'!$B$20:$Y$20)*(1-实盘持仓配置!$AM$6)^(('实盘净值数据(iFinD公式)'!$A212-'实盘净值数据(iFinD公式)'!$A$7)/365))</f>
        <v/>
      </c>
      <c r="I212" s="16" t="str">
        <f t="shared" si="31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O$23*(SUMPRODUCT(分期持仓明细!$B$23:$Y$23,'实盘净值数据(iFinD公式)'!$B212:$Y212/'实盘净值数据(iFinD公式)'!$B$65:$Y$65)+SUMPRODUCT(分期持仓明细!$Z$23:$AA$23,'实盘净值数据(iFinD公式)'!$Z212:$AA212/'实盘净值数据(iFinD公式)'!$Z$65:$AA$65))*(1-实盘持仓配置!$AM$7)^(('实盘净值数据(iFinD公式)'!$A212-'实盘净值数据(iFinD公式)'!$A$8)/365))</f>
        <v/>
      </c>
      <c r="L212" s="16" t="str">
        <f t="shared" si="32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O$24*(SUMPRODUCT(分期持仓明细!$B$24:$Y$24,'实盘净值数据(iFinD公式)'!$B212:$Y212/'实盘净值数据(iFinD公式)'!$B$65:$Y$65)+SUMPRODUCT(分期持仓明细!$Z$24:$AA$24,'实盘净值数据(iFinD公式)'!$Z212:$AA212/'实盘净值数据(iFinD公式)'!$Z$65:$AA$65))*(1-实盘持仓配置!$AM$8)^(('实盘净值数据(iFinD公式)'!$A212-'实盘净值数据(iFinD公式)'!$A$5)/365))</f>
        <v/>
      </c>
      <c r="O212" s="16" t="str">
        <f t="shared" si="33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O$25*(SUMPRODUCT(分期持仓明细!$B$25:$Y$25,'实盘净值数据(iFinD公式)'!$B212:$Y212/'实盘净值数据(iFinD公式)'!$B$65:$Y$65)+SUMPRODUCT(分期持仓明细!$Z$25:$AA$25,'实盘净值数据(iFinD公式)'!$Z212:$AA212/'实盘净值数据(iFinD公式)'!$Z$65:$AA$65))*(1-实盘持仓配置!$AM$9)^(('实盘净值数据(iFinD公式)'!$A212-'实盘净值数据(iFinD公式)'!$A$8)/365))</f>
        <v/>
      </c>
      <c r="R212" s="16" t="str">
        <f t="shared" si="34"/>
        <v/>
      </c>
      <c r="S212" s="16" t="str">
        <f>IF(Q212="","",Q212/MAX(Q$5:Q212)-1)</f>
        <v/>
      </c>
      <c r="T212" s="13" t="str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Z$26:$AA$26,'实盘净值数据(iFinD公式)'!$Z212:$AA212/'实盘净值数据(iFinD公式)'!$Z$69:$AA$69)+SUMPRODUCT(分期持仓明细!$AB$26:$AL$26,'实盘净值数据(iFinD公式)'!$AB212:$AL212/'实盘净值数据(iFinD公式)'!$AB$69:$AL$69))*(1-实盘持仓配置!$AM$10)^(('实盘净值数据(iFinD公式)'!$A212-'实盘净值数据(iFinD公式)'!$A$69)/365))</f>
        <v/>
      </c>
      <c r="U212" s="16" t="str">
        <f t="shared" si="28"/>
        <v/>
      </c>
      <c r="V212" s="16" t="str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 t="str">
        <f>IF(OR('实盘净值数据(iFinD公式)'!$A213="",'实盘净值数据(iFinD公式)'!$B213=""),"",分期持仓明细!$AO$17*SUMPRODUCT(分期持仓明细!$B$17:$Y$17,'实盘净值数据(iFinD公式)'!$B213:$Y213/'实盘净值数据(iFinD公式)'!$B$20:$Y$20)*(1-实盘持仓配置!$AM$4)^(('实盘净值数据(iFinD公式)'!$A213-'实盘净值数据(iFinD公式)'!$A$6)/365))</f>
        <v/>
      </c>
      <c r="C213" s="16" t="str">
        <f t="shared" si="29"/>
        <v/>
      </c>
      <c r="D213" s="16" t="str">
        <f>IF(B213="","",B213/MAX(B$5:B213)-1)</f>
        <v/>
      </c>
      <c r="E213" s="13" t="str">
        <f>IF(OR('实盘净值数据(iFinD公式)'!$A213="",'实盘净值数据(iFinD公式)'!$B213=""),"",分期持仓明细!$AO$18*SUMPRODUCT(分期持仓明细!$B$18:$Y$18,'实盘净值数据(iFinD公式)'!$B213:$Y213/'实盘净值数据(iFinD公式)'!$B$20:$Y$20)*(1-实盘持仓配置!$AM$5)^(('实盘净值数据(iFinD公式)'!$A213-'实盘净值数据(iFinD公式)'!$A$5)/365))</f>
        <v/>
      </c>
      <c r="F213" s="16" t="str">
        <f t="shared" si="30"/>
        <v/>
      </c>
      <c r="G213" s="16" t="str">
        <f>IF(E213="","",E213/MAX(E$5:E213)-1)</f>
        <v/>
      </c>
      <c r="H213" s="13" t="str">
        <f>IF(OR('实盘净值数据(iFinD公式)'!$A213="",'实盘净值数据(iFinD公式)'!$B213=""),"",分期持仓明细!$AO$19*SUMPRODUCT(分期持仓明细!$B$19:$Y$19,'实盘净值数据(iFinD公式)'!$B213:$Y213/'实盘净值数据(iFinD公式)'!$B$20:$Y$20)*(1-实盘持仓配置!$AM$6)^(('实盘净值数据(iFinD公式)'!$A213-'实盘净值数据(iFinD公式)'!$A$7)/365))</f>
        <v/>
      </c>
      <c r="I213" s="16" t="str">
        <f t="shared" si="31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O$23*(SUMPRODUCT(分期持仓明细!$B$23:$Y$23,'实盘净值数据(iFinD公式)'!$B213:$Y213/'实盘净值数据(iFinD公式)'!$B$65:$Y$65)+SUMPRODUCT(分期持仓明细!$Z$23:$AA$23,'实盘净值数据(iFinD公式)'!$Z213:$AA213/'实盘净值数据(iFinD公式)'!$Z$65:$AA$65))*(1-实盘持仓配置!$AM$7)^(('实盘净值数据(iFinD公式)'!$A213-'实盘净值数据(iFinD公式)'!$A$8)/365))</f>
        <v/>
      </c>
      <c r="L213" s="16" t="str">
        <f t="shared" si="32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O$24*(SUMPRODUCT(分期持仓明细!$B$24:$Y$24,'实盘净值数据(iFinD公式)'!$B213:$Y213/'实盘净值数据(iFinD公式)'!$B$65:$Y$65)+SUMPRODUCT(分期持仓明细!$Z$24:$AA$24,'实盘净值数据(iFinD公式)'!$Z213:$AA213/'实盘净值数据(iFinD公式)'!$Z$65:$AA$65))*(1-实盘持仓配置!$AM$8)^(('实盘净值数据(iFinD公式)'!$A213-'实盘净值数据(iFinD公式)'!$A$5)/365))</f>
        <v/>
      </c>
      <c r="O213" s="16" t="str">
        <f t="shared" si="33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O$25*(SUMPRODUCT(分期持仓明细!$B$25:$Y$25,'实盘净值数据(iFinD公式)'!$B213:$Y213/'实盘净值数据(iFinD公式)'!$B$65:$Y$65)+SUMPRODUCT(分期持仓明细!$Z$25:$AA$25,'实盘净值数据(iFinD公式)'!$Z213:$AA213/'实盘净值数据(iFinD公式)'!$Z$65:$AA$65))*(1-实盘持仓配置!$AM$9)^(('实盘净值数据(iFinD公式)'!$A213-'实盘净值数据(iFinD公式)'!$A$8)/365))</f>
        <v/>
      </c>
      <c r="R213" s="16" t="str">
        <f t="shared" si="34"/>
        <v/>
      </c>
      <c r="S213" s="16" t="str">
        <f>IF(Q213="","",Q213/MAX(Q$5:Q213)-1)</f>
        <v/>
      </c>
      <c r="T213" s="13" t="str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Z$26:$AA$26,'实盘净值数据(iFinD公式)'!$Z213:$AA213/'实盘净值数据(iFinD公式)'!$Z$69:$AA$69)+SUMPRODUCT(分期持仓明细!$AB$26:$AL$26,'实盘净值数据(iFinD公式)'!$AB213:$AL213/'实盘净值数据(iFinD公式)'!$AB$69:$AL$69))*(1-实盘持仓配置!$AM$10)^(('实盘净值数据(iFinD公式)'!$A213-'实盘净值数据(iFinD公式)'!$A$69)/365))</f>
        <v/>
      </c>
      <c r="U213" s="16" t="str">
        <f t="shared" si="28"/>
        <v/>
      </c>
      <c r="V213" s="16" t="str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 t="str">
        <f>IF(OR('实盘净值数据(iFinD公式)'!$A214="",'实盘净值数据(iFinD公式)'!$B214=""),"",分期持仓明细!$AO$17*SUMPRODUCT(分期持仓明细!$B$17:$Y$17,'实盘净值数据(iFinD公式)'!$B214:$Y214/'实盘净值数据(iFinD公式)'!$B$20:$Y$20)*(1-实盘持仓配置!$AM$4)^(('实盘净值数据(iFinD公式)'!$A214-'实盘净值数据(iFinD公式)'!$A$6)/365))</f>
        <v/>
      </c>
      <c r="C214" s="16" t="str">
        <f t="shared" si="29"/>
        <v/>
      </c>
      <c r="D214" s="16" t="str">
        <f>IF(B214="","",B214/MAX(B$5:B214)-1)</f>
        <v/>
      </c>
      <c r="E214" s="13" t="str">
        <f>IF(OR('实盘净值数据(iFinD公式)'!$A214="",'实盘净值数据(iFinD公式)'!$B214=""),"",分期持仓明细!$AO$18*SUMPRODUCT(分期持仓明细!$B$18:$Y$18,'实盘净值数据(iFinD公式)'!$B214:$Y214/'实盘净值数据(iFinD公式)'!$B$20:$Y$20)*(1-实盘持仓配置!$AM$5)^(('实盘净值数据(iFinD公式)'!$A214-'实盘净值数据(iFinD公式)'!$A$5)/365))</f>
        <v/>
      </c>
      <c r="F214" s="16" t="str">
        <f t="shared" si="30"/>
        <v/>
      </c>
      <c r="G214" s="16" t="str">
        <f>IF(E214="","",E214/MAX(E$5:E214)-1)</f>
        <v/>
      </c>
      <c r="H214" s="13" t="str">
        <f>IF(OR('实盘净值数据(iFinD公式)'!$A214="",'实盘净值数据(iFinD公式)'!$B214=""),"",分期持仓明细!$AO$19*SUMPRODUCT(分期持仓明细!$B$19:$Y$19,'实盘净值数据(iFinD公式)'!$B214:$Y214/'实盘净值数据(iFinD公式)'!$B$20:$Y$20)*(1-实盘持仓配置!$AM$6)^(('实盘净值数据(iFinD公式)'!$A214-'实盘净值数据(iFinD公式)'!$A$7)/365))</f>
        <v/>
      </c>
      <c r="I214" s="16" t="str">
        <f t="shared" si="31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O$23*(SUMPRODUCT(分期持仓明细!$B$23:$Y$23,'实盘净值数据(iFinD公式)'!$B214:$Y214/'实盘净值数据(iFinD公式)'!$B$65:$Y$65)+SUMPRODUCT(分期持仓明细!$Z$23:$AA$23,'实盘净值数据(iFinD公式)'!$Z214:$AA214/'实盘净值数据(iFinD公式)'!$Z$65:$AA$65))*(1-实盘持仓配置!$AM$7)^(('实盘净值数据(iFinD公式)'!$A214-'实盘净值数据(iFinD公式)'!$A$8)/365))</f>
        <v/>
      </c>
      <c r="L214" s="16" t="str">
        <f t="shared" si="32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O$24*(SUMPRODUCT(分期持仓明细!$B$24:$Y$24,'实盘净值数据(iFinD公式)'!$B214:$Y214/'实盘净值数据(iFinD公式)'!$B$65:$Y$65)+SUMPRODUCT(分期持仓明细!$Z$24:$AA$24,'实盘净值数据(iFinD公式)'!$Z214:$AA214/'实盘净值数据(iFinD公式)'!$Z$65:$AA$65))*(1-实盘持仓配置!$AM$8)^(('实盘净值数据(iFinD公式)'!$A214-'实盘净值数据(iFinD公式)'!$A$5)/365))</f>
        <v/>
      </c>
      <c r="O214" s="16" t="str">
        <f t="shared" si="33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O$25*(SUMPRODUCT(分期持仓明细!$B$25:$Y$25,'实盘净值数据(iFinD公式)'!$B214:$Y214/'实盘净值数据(iFinD公式)'!$B$65:$Y$65)+SUMPRODUCT(分期持仓明细!$Z$25:$AA$25,'实盘净值数据(iFinD公式)'!$Z214:$AA214/'实盘净值数据(iFinD公式)'!$Z$65:$AA$65))*(1-实盘持仓配置!$AM$9)^(('实盘净值数据(iFinD公式)'!$A214-'实盘净值数据(iFinD公式)'!$A$8)/365))</f>
        <v/>
      </c>
      <c r="R214" s="16" t="str">
        <f t="shared" si="34"/>
        <v/>
      </c>
      <c r="S214" s="16" t="str">
        <f>IF(Q214="","",Q214/MAX(Q$5:Q214)-1)</f>
        <v/>
      </c>
      <c r="T214" s="13" t="str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Z$26:$AA$26,'实盘净值数据(iFinD公式)'!$Z214:$AA214/'实盘净值数据(iFinD公式)'!$Z$69:$AA$69)+SUMPRODUCT(分期持仓明细!$AB$26:$AL$26,'实盘净值数据(iFinD公式)'!$AB214:$AL214/'实盘净值数据(iFinD公式)'!$AB$69:$AL$69))*(1-实盘持仓配置!$AM$10)^(('实盘净值数据(iFinD公式)'!$A214-'实盘净值数据(iFinD公式)'!$A$69)/365))</f>
        <v/>
      </c>
      <c r="U214" s="16" t="str">
        <f t="shared" si="28"/>
        <v/>
      </c>
      <c r="V214" s="16" t="str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 t="str">
        <f>IF(OR('实盘净值数据(iFinD公式)'!$A215="",'实盘净值数据(iFinD公式)'!$B215=""),"",分期持仓明细!$AO$17*SUMPRODUCT(分期持仓明细!$B$17:$Y$17,'实盘净值数据(iFinD公式)'!$B215:$Y215/'实盘净值数据(iFinD公式)'!$B$20:$Y$20)*(1-实盘持仓配置!$AM$4)^(('实盘净值数据(iFinD公式)'!$A215-'实盘净值数据(iFinD公式)'!$A$6)/365))</f>
        <v/>
      </c>
      <c r="C215" s="16" t="str">
        <f t="shared" si="29"/>
        <v/>
      </c>
      <c r="D215" s="16" t="str">
        <f>IF(B215="","",B215/MAX(B$5:B215)-1)</f>
        <v/>
      </c>
      <c r="E215" s="13" t="str">
        <f>IF(OR('实盘净值数据(iFinD公式)'!$A215="",'实盘净值数据(iFinD公式)'!$B215=""),"",分期持仓明细!$AO$18*SUMPRODUCT(分期持仓明细!$B$18:$Y$18,'实盘净值数据(iFinD公式)'!$B215:$Y215/'实盘净值数据(iFinD公式)'!$B$20:$Y$20)*(1-实盘持仓配置!$AM$5)^(('实盘净值数据(iFinD公式)'!$A215-'实盘净值数据(iFinD公式)'!$A$5)/365))</f>
        <v/>
      </c>
      <c r="F215" s="16" t="str">
        <f t="shared" si="30"/>
        <v/>
      </c>
      <c r="G215" s="16" t="str">
        <f>IF(E215="","",E215/MAX(E$5:E215)-1)</f>
        <v/>
      </c>
      <c r="H215" s="13" t="str">
        <f>IF(OR('实盘净值数据(iFinD公式)'!$A215="",'实盘净值数据(iFinD公式)'!$B215=""),"",分期持仓明细!$AO$19*SUMPRODUCT(分期持仓明细!$B$19:$Y$19,'实盘净值数据(iFinD公式)'!$B215:$Y215/'实盘净值数据(iFinD公式)'!$B$20:$Y$20)*(1-实盘持仓配置!$AM$6)^(('实盘净值数据(iFinD公式)'!$A215-'实盘净值数据(iFinD公式)'!$A$7)/365))</f>
        <v/>
      </c>
      <c r="I215" s="16" t="str">
        <f t="shared" si="31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O$23*(SUMPRODUCT(分期持仓明细!$B$23:$Y$23,'实盘净值数据(iFinD公式)'!$B215:$Y215/'实盘净值数据(iFinD公式)'!$B$65:$Y$65)+SUMPRODUCT(分期持仓明细!$Z$23:$AA$23,'实盘净值数据(iFinD公式)'!$Z215:$AA215/'实盘净值数据(iFinD公式)'!$Z$65:$AA$65))*(1-实盘持仓配置!$AM$7)^(('实盘净值数据(iFinD公式)'!$A215-'实盘净值数据(iFinD公式)'!$A$8)/365))</f>
        <v/>
      </c>
      <c r="L215" s="16" t="str">
        <f t="shared" si="32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O$24*(SUMPRODUCT(分期持仓明细!$B$24:$Y$24,'实盘净值数据(iFinD公式)'!$B215:$Y215/'实盘净值数据(iFinD公式)'!$B$65:$Y$65)+SUMPRODUCT(分期持仓明细!$Z$24:$AA$24,'实盘净值数据(iFinD公式)'!$Z215:$AA215/'实盘净值数据(iFinD公式)'!$Z$65:$AA$65))*(1-实盘持仓配置!$AM$8)^(('实盘净值数据(iFinD公式)'!$A215-'实盘净值数据(iFinD公式)'!$A$5)/365))</f>
        <v/>
      </c>
      <c r="O215" s="16" t="str">
        <f t="shared" si="33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O$25*(SUMPRODUCT(分期持仓明细!$B$25:$Y$25,'实盘净值数据(iFinD公式)'!$B215:$Y215/'实盘净值数据(iFinD公式)'!$B$65:$Y$65)+SUMPRODUCT(分期持仓明细!$Z$25:$AA$25,'实盘净值数据(iFinD公式)'!$Z215:$AA215/'实盘净值数据(iFinD公式)'!$Z$65:$AA$65))*(1-实盘持仓配置!$AM$9)^(('实盘净值数据(iFinD公式)'!$A215-'实盘净值数据(iFinD公式)'!$A$8)/365))</f>
        <v/>
      </c>
      <c r="R215" s="16" t="str">
        <f t="shared" si="34"/>
        <v/>
      </c>
      <c r="S215" s="16" t="str">
        <f>IF(Q215="","",Q215/MAX(Q$5:Q215)-1)</f>
        <v/>
      </c>
      <c r="T215" s="13" t="str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Z$26:$AA$26,'实盘净值数据(iFinD公式)'!$Z215:$AA215/'实盘净值数据(iFinD公式)'!$Z$69:$AA$69)+SUMPRODUCT(分期持仓明细!$AB$26:$AL$26,'实盘净值数据(iFinD公式)'!$AB215:$AL215/'实盘净值数据(iFinD公式)'!$AB$69:$AL$69))*(1-实盘持仓配置!$AM$10)^(('实盘净值数据(iFinD公式)'!$A215-'实盘净值数据(iFinD公式)'!$A$69)/365))</f>
        <v/>
      </c>
      <c r="U215" s="16" t="str">
        <f t="shared" si="28"/>
        <v/>
      </c>
      <c r="V215" s="16" t="str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 t="str">
        <f>IF(OR('实盘净值数据(iFinD公式)'!$A216="",'实盘净值数据(iFinD公式)'!$B216=""),"",分期持仓明细!$AO$17*SUMPRODUCT(分期持仓明细!$B$17:$Y$17,'实盘净值数据(iFinD公式)'!$B216:$Y216/'实盘净值数据(iFinD公式)'!$B$20:$Y$20)*(1-实盘持仓配置!$AM$4)^(('实盘净值数据(iFinD公式)'!$A216-'实盘净值数据(iFinD公式)'!$A$6)/365))</f>
        <v/>
      </c>
      <c r="C216" s="16" t="str">
        <f t="shared" si="29"/>
        <v/>
      </c>
      <c r="D216" s="16" t="str">
        <f>IF(B216="","",B216/MAX(B$5:B216)-1)</f>
        <v/>
      </c>
      <c r="E216" s="13" t="str">
        <f>IF(OR('实盘净值数据(iFinD公式)'!$A216="",'实盘净值数据(iFinD公式)'!$B216=""),"",分期持仓明细!$AO$18*SUMPRODUCT(分期持仓明细!$B$18:$Y$18,'实盘净值数据(iFinD公式)'!$B216:$Y216/'实盘净值数据(iFinD公式)'!$B$20:$Y$20)*(1-实盘持仓配置!$AM$5)^(('实盘净值数据(iFinD公式)'!$A216-'实盘净值数据(iFinD公式)'!$A$5)/365))</f>
        <v/>
      </c>
      <c r="F216" s="16" t="str">
        <f t="shared" si="30"/>
        <v/>
      </c>
      <c r="G216" s="16" t="str">
        <f>IF(E216="","",E216/MAX(E$5:E216)-1)</f>
        <v/>
      </c>
      <c r="H216" s="13" t="str">
        <f>IF(OR('实盘净值数据(iFinD公式)'!$A216="",'实盘净值数据(iFinD公式)'!$B216=""),"",分期持仓明细!$AO$19*SUMPRODUCT(分期持仓明细!$B$19:$Y$19,'实盘净值数据(iFinD公式)'!$B216:$Y216/'实盘净值数据(iFinD公式)'!$B$20:$Y$20)*(1-实盘持仓配置!$AM$6)^(('实盘净值数据(iFinD公式)'!$A216-'实盘净值数据(iFinD公式)'!$A$7)/365))</f>
        <v/>
      </c>
      <c r="I216" s="16" t="str">
        <f t="shared" si="31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O$23*(SUMPRODUCT(分期持仓明细!$B$23:$Y$23,'实盘净值数据(iFinD公式)'!$B216:$Y216/'实盘净值数据(iFinD公式)'!$B$65:$Y$65)+SUMPRODUCT(分期持仓明细!$Z$23:$AA$23,'实盘净值数据(iFinD公式)'!$Z216:$AA216/'实盘净值数据(iFinD公式)'!$Z$65:$AA$65))*(1-实盘持仓配置!$AM$7)^(('实盘净值数据(iFinD公式)'!$A216-'实盘净值数据(iFinD公式)'!$A$8)/365))</f>
        <v/>
      </c>
      <c r="L216" s="16" t="str">
        <f t="shared" si="32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O$24*(SUMPRODUCT(分期持仓明细!$B$24:$Y$24,'实盘净值数据(iFinD公式)'!$B216:$Y216/'实盘净值数据(iFinD公式)'!$B$65:$Y$65)+SUMPRODUCT(分期持仓明细!$Z$24:$AA$24,'实盘净值数据(iFinD公式)'!$Z216:$AA216/'实盘净值数据(iFinD公式)'!$Z$65:$AA$65))*(1-实盘持仓配置!$AM$8)^(('实盘净值数据(iFinD公式)'!$A216-'实盘净值数据(iFinD公式)'!$A$5)/365))</f>
        <v/>
      </c>
      <c r="O216" s="16" t="str">
        <f t="shared" si="33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O$25*(SUMPRODUCT(分期持仓明细!$B$25:$Y$25,'实盘净值数据(iFinD公式)'!$B216:$Y216/'实盘净值数据(iFinD公式)'!$B$65:$Y$65)+SUMPRODUCT(分期持仓明细!$Z$25:$AA$25,'实盘净值数据(iFinD公式)'!$Z216:$AA216/'实盘净值数据(iFinD公式)'!$Z$65:$AA$65))*(1-实盘持仓配置!$AM$9)^(('实盘净值数据(iFinD公式)'!$A216-'实盘净值数据(iFinD公式)'!$A$8)/365))</f>
        <v/>
      </c>
      <c r="R216" s="16" t="str">
        <f t="shared" si="34"/>
        <v/>
      </c>
      <c r="S216" s="16" t="str">
        <f>IF(Q216="","",Q216/MAX(Q$5:Q216)-1)</f>
        <v/>
      </c>
      <c r="T216" s="13" t="str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Z$26:$AA$26,'实盘净值数据(iFinD公式)'!$Z216:$AA216/'实盘净值数据(iFinD公式)'!$Z$69:$AA$69)+SUMPRODUCT(分期持仓明细!$AB$26:$AL$26,'实盘净值数据(iFinD公式)'!$AB216:$AL216/'实盘净值数据(iFinD公式)'!$AB$69:$AL$69))*(1-实盘持仓配置!$AM$10)^(('实盘净值数据(iFinD公式)'!$A216-'实盘净值数据(iFinD公式)'!$A$69)/365))</f>
        <v/>
      </c>
      <c r="U216" s="16" t="str">
        <f t="shared" si="28"/>
        <v/>
      </c>
      <c r="V216" s="16" t="str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 t="str">
        <f>IF(OR('实盘净值数据(iFinD公式)'!$A217="",'实盘净值数据(iFinD公式)'!$B217=""),"",分期持仓明细!$AO$17*SUMPRODUCT(分期持仓明细!$B$17:$Y$17,'实盘净值数据(iFinD公式)'!$B217:$Y217/'实盘净值数据(iFinD公式)'!$B$20:$Y$20)*(1-实盘持仓配置!$AM$4)^(('实盘净值数据(iFinD公式)'!$A217-'实盘净值数据(iFinD公式)'!$A$6)/365))</f>
        <v/>
      </c>
      <c r="C217" s="16" t="str">
        <f t="shared" si="29"/>
        <v/>
      </c>
      <c r="D217" s="16" t="str">
        <f>IF(B217="","",B217/MAX(B$5:B217)-1)</f>
        <v/>
      </c>
      <c r="E217" s="13" t="str">
        <f>IF(OR('实盘净值数据(iFinD公式)'!$A217="",'实盘净值数据(iFinD公式)'!$B217=""),"",分期持仓明细!$AO$18*SUMPRODUCT(分期持仓明细!$B$18:$Y$18,'实盘净值数据(iFinD公式)'!$B217:$Y217/'实盘净值数据(iFinD公式)'!$B$20:$Y$20)*(1-实盘持仓配置!$AM$5)^(('实盘净值数据(iFinD公式)'!$A217-'实盘净值数据(iFinD公式)'!$A$5)/365))</f>
        <v/>
      </c>
      <c r="F217" s="16" t="str">
        <f t="shared" si="30"/>
        <v/>
      </c>
      <c r="G217" s="16" t="str">
        <f>IF(E217="","",E217/MAX(E$5:E217)-1)</f>
        <v/>
      </c>
      <c r="H217" s="13" t="str">
        <f>IF(OR('实盘净值数据(iFinD公式)'!$A217="",'实盘净值数据(iFinD公式)'!$B217=""),"",分期持仓明细!$AO$19*SUMPRODUCT(分期持仓明细!$B$19:$Y$19,'实盘净值数据(iFinD公式)'!$B217:$Y217/'实盘净值数据(iFinD公式)'!$B$20:$Y$20)*(1-实盘持仓配置!$AM$6)^(('实盘净值数据(iFinD公式)'!$A217-'实盘净值数据(iFinD公式)'!$A$7)/365))</f>
        <v/>
      </c>
      <c r="I217" s="16" t="str">
        <f t="shared" si="31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O$23*(SUMPRODUCT(分期持仓明细!$B$23:$Y$23,'实盘净值数据(iFinD公式)'!$B217:$Y217/'实盘净值数据(iFinD公式)'!$B$65:$Y$65)+SUMPRODUCT(分期持仓明细!$Z$23:$AA$23,'实盘净值数据(iFinD公式)'!$Z217:$AA217/'实盘净值数据(iFinD公式)'!$Z$65:$AA$65))*(1-实盘持仓配置!$AM$7)^(('实盘净值数据(iFinD公式)'!$A217-'实盘净值数据(iFinD公式)'!$A$8)/365))</f>
        <v/>
      </c>
      <c r="L217" s="16" t="str">
        <f t="shared" si="32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O$24*(SUMPRODUCT(分期持仓明细!$B$24:$Y$24,'实盘净值数据(iFinD公式)'!$B217:$Y217/'实盘净值数据(iFinD公式)'!$B$65:$Y$65)+SUMPRODUCT(分期持仓明细!$Z$24:$AA$24,'实盘净值数据(iFinD公式)'!$Z217:$AA217/'实盘净值数据(iFinD公式)'!$Z$65:$AA$65))*(1-实盘持仓配置!$AM$8)^(('实盘净值数据(iFinD公式)'!$A217-'实盘净值数据(iFinD公式)'!$A$5)/365))</f>
        <v/>
      </c>
      <c r="O217" s="16" t="str">
        <f t="shared" si="33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O$25*(SUMPRODUCT(分期持仓明细!$B$25:$Y$25,'实盘净值数据(iFinD公式)'!$B217:$Y217/'实盘净值数据(iFinD公式)'!$B$65:$Y$65)+SUMPRODUCT(分期持仓明细!$Z$25:$AA$25,'实盘净值数据(iFinD公式)'!$Z217:$AA217/'实盘净值数据(iFinD公式)'!$Z$65:$AA$65))*(1-实盘持仓配置!$AM$9)^(('实盘净值数据(iFinD公式)'!$A217-'实盘净值数据(iFinD公式)'!$A$8)/365))</f>
        <v/>
      </c>
      <c r="R217" s="16" t="str">
        <f t="shared" si="34"/>
        <v/>
      </c>
      <c r="S217" s="16" t="str">
        <f>IF(Q217="","",Q217/MAX(Q$5:Q217)-1)</f>
        <v/>
      </c>
      <c r="T217" s="13" t="str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Z$26:$AA$26,'实盘净值数据(iFinD公式)'!$Z217:$AA217/'实盘净值数据(iFinD公式)'!$Z$69:$AA$69)+SUMPRODUCT(分期持仓明细!$AB$26:$AL$26,'实盘净值数据(iFinD公式)'!$AB217:$AL217/'实盘净值数据(iFinD公式)'!$AB$69:$AL$69))*(1-实盘持仓配置!$AM$10)^(('实盘净值数据(iFinD公式)'!$A217-'实盘净值数据(iFinD公式)'!$A$69)/365))</f>
        <v/>
      </c>
      <c r="U217" s="16" t="str">
        <f t="shared" si="28"/>
        <v/>
      </c>
      <c r="V217" s="16" t="str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 t="str">
        <f>IF(OR('实盘净值数据(iFinD公式)'!$A218="",'实盘净值数据(iFinD公式)'!$B218=""),"",分期持仓明细!$AO$17*SUMPRODUCT(分期持仓明细!$B$17:$Y$17,'实盘净值数据(iFinD公式)'!$B218:$Y218/'实盘净值数据(iFinD公式)'!$B$20:$Y$20)*(1-实盘持仓配置!$AM$4)^(('实盘净值数据(iFinD公式)'!$A218-'实盘净值数据(iFinD公式)'!$A$6)/365))</f>
        <v/>
      </c>
      <c r="C218" s="16" t="str">
        <f t="shared" si="29"/>
        <v/>
      </c>
      <c r="D218" s="16" t="str">
        <f>IF(B218="","",B218/MAX(B$5:B218)-1)</f>
        <v/>
      </c>
      <c r="E218" s="13" t="str">
        <f>IF(OR('实盘净值数据(iFinD公式)'!$A218="",'实盘净值数据(iFinD公式)'!$B218=""),"",分期持仓明细!$AO$18*SUMPRODUCT(分期持仓明细!$B$18:$Y$18,'实盘净值数据(iFinD公式)'!$B218:$Y218/'实盘净值数据(iFinD公式)'!$B$20:$Y$20)*(1-实盘持仓配置!$AM$5)^(('实盘净值数据(iFinD公式)'!$A218-'实盘净值数据(iFinD公式)'!$A$5)/365))</f>
        <v/>
      </c>
      <c r="F218" s="16" t="str">
        <f t="shared" si="30"/>
        <v/>
      </c>
      <c r="G218" s="16" t="str">
        <f>IF(E218="","",E218/MAX(E$5:E218)-1)</f>
        <v/>
      </c>
      <c r="H218" s="13" t="str">
        <f>IF(OR('实盘净值数据(iFinD公式)'!$A218="",'实盘净值数据(iFinD公式)'!$B218=""),"",分期持仓明细!$AO$19*SUMPRODUCT(分期持仓明细!$B$19:$Y$19,'实盘净值数据(iFinD公式)'!$B218:$Y218/'实盘净值数据(iFinD公式)'!$B$20:$Y$20)*(1-实盘持仓配置!$AM$6)^(('实盘净值数据(iFinD公式)'!$A218-'实盘净值数据(iFinD公式)'!$A$7)/365))</f>
        <v/>
      </c>
      <c r="I218" s="16" t="str">
        <f t="shared" si="31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O$23*(SUMPRODUCT(分期持仓明细!$B$23:$Y$23,'实盘净值数据(iFinD公式)'!$B218:$Y218/'实盘净值数据(iFinD公式)'!$B$65:$Y$65)+SUMPRODUCT(分期持仓明细!$Z$23:$AA$23,'实盘净值数据(iFinD公式)'!$Z218:$AA218/'实盘净值数据(iFinD公式)'!$Z$65:$AA$65))*(1-实盘持仓配置!$AM$7)^(('实盘净值数据(iFinD公式)'!$A218-'实盘净值数据(iFinD公式)'!$A$8)/365))</f>
        <v/>
      </c>
      <c r="L218" s="16" t="str">
        <f t="shared" si="32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O$24*(SUMPRODUCT(分期持仓明细!$B$24:$Y$24,'实盘净值数据(iFinD公式)'!$B218:$Y218/'实盘净值数据(iFinD公式)'!$B$65:$Y$65)+SUMPRODUCT(分期持仓明细!$Z$24:$AA$24,'实盘净值数据(iFinD公式)'!$Z218:$AA218/'实盘净值数据(iFinD公式)'!$Z$65:$AA$65))*(1-实盘持仓配置!$AM$8)^(('实盘净值数据(iFinD公式)'!$A218-'实盘净值数据(iFinD公式)'!$A$5)/365))</f>
        <v/>
      </c>
      <c r="O218" s="16" t="str">
        <f t="shared" si="33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O$25*(SUMPRODUCT(分期持仓明细!$B$25:$Y$25,'实盘净值数据(iFinD公式)'!$B218:$Y218/'实盘净值数据(iFinD公式)'!$B$65:$Y$65)+SUMPRODUCT(分期持仓明细!$Z$25:$AA$25,'实盘净值数据(iFinD公式)'!$Z218:$AA218/'实盘净值数据(iFinD公式)'!$Z$65:$AA$65))*(1-实盘持仓配置!$AM$9)^(('实盘净值数据(iFinD公式)'!$A218-'实盘净值数据(iFinD公式)'!$A$8)/365))</f>
        <v/>
      </c>
      <c r="R218" s="16" t="str">
        <f t="shared" si="34"/>
        <v/>
      </c>
      <c r="S218" s="16" t="str">
        <f>IF(Q218="","",Q218/MAX(Q$5:Q218)-1)</f>
        <v/>
      </c>
      <c r="T218" s="13" t="str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Z$26:$AA$26,'实盘净值数据(iFinD公式)'!$Z218:$AA218/'实盘净值数据(iFinD公式)'!$Z$69:$AA$69)+SUMPRODUCT(分期持仓明细!$AB$26:$AL$26,'实盘净值数据(iFinD公式)'!$AB218:$AL218/'实盘净值数据(iFinD公式)'!$AB$69:$AL$69))*(1-实盘持仓配置!$AM$10)^(('实盘净值数据(iFinD公式)'!$A218-'实盘净值数据(iFinD公式)'!$A$69)/365))</f>
        <v/>
      </c>
      <c r="U218" s="16" t="str">
        <f t="shared" si="28"/>
        <v/>
      </c>
      <c r="V218" s="16" t="str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 t="str">
        <f>IF(OR('实盘净值数据(iFinD公式)'!$A219="",'实盘净值数据(iFinD公式)'!$B219=""),"",分期持仓明细!$AO$17*SUMPRODUCT(分期持仓明细!$B$17:$Y$17,'实盘净值数据(iFinD公式)'!$B219:$Y219/'实盘净值数据(iFinD公式)'!$B$20:$Y$20)*(1-实盘持仓配置!$AM$4)^(('实盘净值数据(iFinD公式)'!$A219-'实盘净值数据(iFinD公式)'!$A$6)/365))</f>
        <v/>
      </c>
      <c r="C219" s="16" t="str">
        <f t="shared" si="29"/>
        <v/>
      </c>
      <c r="D219" s="16" t="str">
        <f>IF(B219="","",B219/MAX(B$5:B219)-1)</f>
        <v/>
      </c>
      <c r="E219" s="13" t="str">
        <f>IF(OR('实盘净值数据(iFinD公式)'!$A219="",'实盘净值数据(iFinD公式)'!$B219=""),"",分期持仓明细!$AO$18*SUMPRODUCT(分期持仓明细!$B$18:$Y$18,'实盘净值数据(iFinD公式)'!$B219:$Y219/'实盘净值数据(iFinD公式)'!$B$20:$Y$20)*(1-实盘持仓配置!$AM$5)^(('实盘净值数据(iFinD公式)'!$A219-'实盘净值数据(iFinD公式)'!$A$5)/365))</f>
        <v/>
      </c>
      <c r="F219" s="16" t="str">
        <f t="shared" si="30"/>
        <v/>
      </c>
      <c r="G219" s="16" t="str">
        <f>IF(E219="","",E219/MAX(E$5:E219)-1)</f>
        <v/>
      </c>
      <c r="H219" s="13" t="str">
        <f>IF(OR('实盘净值数据(iFinD公式)'!$A219="",'实盘净值数据(iFinD公式)'!$B219=""),"",分期持仓明细!$AO$19*SUMPRODUCT(分期持仓明细!$B$19:$Y$19,'实盘净值数据(iFinD公式)'!$B219:$Y219/'实盘净值数据(iFinD公式)'!$B$20:$Y$20)*(1-实盘持仓配置!$AM$6)^(('实盘净值数据(iFinD公式)'!$A219-'实盘净值数据(iFinD公式)'!$A$7)/365))</f>
        <v/>
      </c>
      <c r="I219" s="16" t="str">
        <f t="shared" si="31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O$23*(SUMPRODUCT(分期持仓明细!$B$23:$Y$23,'实盘净值数据(iFinD公式)'!$B219:$Y219/'实盘净值数据(iFinD公式)'!$B$65:$Y$65)+SUMPRODUCT(分期持仓明细!$Z$23:$AA$23,'实盘净值数据(iFinD公式)'!$Z219:$AA219/'实盘净值数据(iFinD公式)'!$Z$65:$AA$65))*(1-实盘持仓配置!$AM$7)^(('实盘净值数据(iFinD公式)'!$A219-'实盘净值数据(iFinD公式)'!$A$8)/365))</f>
        <v/>
      </c>
      <c r="L219" s="16" t="str">
        <f t="shared" si="32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O$24*(SUMPRODUCT(分期持仓明细!$B$24:$Y$24,'实盘净值数据(iFinD公式)'!$B219:$Y219/'实盘净值数据(iFinD公式)'!$B$65:$Y$65)+SUMPRODUCT(分期持仓明细!$Z$24:$AA$24,'实盘净值数据(iFinD公式)'!$Z219:$AA219/'实盘净值数据(iFinD公式)'!$Z$65:$AA$65))*(1-实盘持仓配置!$AM$8)^(('实盘净值数据(iFinD公式)'!$A219-'实盘净值数据(iFinD公式)'!$A$5)/365))</f>
        <v/>
      </c>
      <c r="O219" s="16" t="str">
        <f t="shared" si="33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O$25*(SUMPRODUCT(分期持仓明细!$B$25:$Y$25,'实盘净值数据(iFinD公式)'!$B219:$Y219/'实盘净值数据(iFinD公式)'!$B$65:$Y$65)+SUMPRODUCT(分期持仓明细!$Z$25:$AA$25,'实盘净值数据(iFinD公式)'!$Z219:$AA219/'实盘净值数据(iFinD公式)'!$Z$65:$AA$65))*(1-实盘持仓配置!$AM$9)^(('实盘净值数据(iFinD公式)'!$A219-'实盘净值数据(iFinD公式)'!$A$8)/365))</f>
        <v/>
      </c>
      <c r="R219" s="16" t="str">
        <f t="shared" si="34"/>
        <v/>
      </c>
      <c r="S219" s="16" t="str">
        <f>IF(Q219="","",Q219/MAX(Q$5:Q219)-1)</f>
        <v/>
      </c>
      <c r="T219" s="13" t="str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Z$26:$AA$26,'实盘净值数据(iFinD公式)'!$Z219:$AA219/'实盘净值数据(iFinD公式)'!$Z$69:$AA$69)+SUMPRODUCT(分期持仓明细!$AB$26:$AL$26,'实盘净值数据(iFinD公式)'!$AB219:$AL219/'实盘净值数据(iFinD公式)'!$AB$69:$AL$69))*(1-实盘持仓配置!$AM$10)^(('实盘净值数据(iFinD公式)'!$A219-'实盘净值数据(iFinD公式)'!$A$69)/365))</f>
        <v/>
      </c>
      <c r="U219" s="16" t="str">
        <f t="shared" si="28"/>
        <v/>
      </c>
      <c r="V219" s="16" t="str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 t="str">
        <f>IF(OR('实盘净值数据(iFinD公式)'!$A220="",'实盘净值数据(iFinD公式)'!$B220=""),"",分期持仓明细!$AO$17*SUMPRODUCT(分期持仓明细!$B$17:$Y$17,'实盘净值数据(iFinD公式)'!$B220:$Y220/'实盘净值数据(iFinD公式)'!$B$20:$Y$20)*(1-实盘持仓配置!$AM$4)^(('实盘净值数据(iFinD公式)'!$A220-'实盘净值数据(iFinD公式)'!$A$6)/365))</f>
        <v/>
      </c>
      <c r="C220" s="16" t="str">
        <f t="shared" si="29"/>
        <v/>
      </c>
      <c r="D220" s="16" t="str">
        <f>IF(B220="","",B220/MAX(B$5:B220)-1)</f>
        <v/>
      </c>
      <c r="E220" s="13" t="str">
        <f>IF(OR('实盘净值数据(iFinD公式)'!$A220="",'实盘净值数据(iFinD公式)'!$B220=""),"",分期持仓明细!$AO$18*SUMPRODUCT(分期持仓明细!$B$18:$Y$18,'实盘净值数据(iFinD公式)'!$B220:$Y220/'实盘净值数据(iFinD公式)'!$B$20:$Y$20)*(1-实盘持仓配置!$AM$5)^(('实盘净值数据(iFinD公式)'!$A220-'实盘净值数据(iFinD公式)'!$A$5)/365))</f>
        <v/>
      </c>
      <c r="F220" s="16" t="str">
        <f t="shared" si="30"/>
        <v/>
      </c>
      <c r="G220" s="16" t="str">
        <f>IF(E220="","",E220/MAX(E$5:E220)-1)</f>
        <v/>
      </c>
      <c r="H220" s="13" t="str">
        <f>IF(OR('实盘净值数据(iFinD公式)'!$A220="",'实盘净值数据(iFinD公式)'!$B220=""),"",分期持仓明细!$AO$19*SUMPRODUCT(分期持仓明细!$B$19:$Y$19,'实盘净值数据(iFinD公式)'!$B220:$Y220/'实盘净值数据(iFinD公式)'!$B$20:$Y$20)*(1-实盘持仓配置!$AM$6)^(('实盘净值数据(iFinD公式)'!$A220-'实盘净值数据(iFinD公式)'!$A$7)/365))</f>
        <v/>
      </c>
      <c r="I220" s="16" t="str">
        <f t="shared" si="31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O$23*(SUMPRODUCT(分期持仓明细!$B$23:$Y$23,'实盘净值数据(iFinD公式)'!$B220:$Y220/'实盘净值数据(iFinD公式)'!$B$65:$Y$65)+SUMPRODUCT(分期持仓明细!$Z$23:$AA$23,'实盘净值数据(iFinD公式)'!$Z220:$AA220/'实盘净值数据(iFinD公式)'!$Z$65:$AA$65))*(1-实盘持仓配置!$AM$7)^(('实盘净值数据(iFinD公式)'!$A220-'实盘净值数据(iFinD公式)'!$A$8)/365))</f>
        <v/>
      </c>
      <c r="L220" s="16" t="str">
        <f t="shared" si="32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O$24*(SUMPRODUCT(分期持仓明细!$B$24:$Y$24,'实盘净值数据(iFinD公式)'!$B220:$Y220/'实盘净值数据(iFinD公式)'!$B$65:$Y$65)+SUMPRODUCT(分期持仓明细!$Z$24:$AA$24,'实盘净值数据(iFinD公式)'!$Z220:$AA220/'实盘净值数据(iFinD公式)'!$Z$65:$AA$65))*(1-实盘持仓配置!$AM$8)^(('实盘净值数据(iFinD公式)'!$A220-'实盘净值数据(iFinD公式)'!$A$5)/365))</f>
        <v/>
      </c>
      <c r="O220" s="16" t="str">
        <f t="shared" si="33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O$25*(SUMPRODUCT(分期持仓明细!$B$25:$Y$25,'实盘净值数据(iFinD公式)'!$B220:$Y220/'实盘净值数据(iFinD公式)'!$B$65:$Y$65)+SUMPRODUCT(分期持仓明细!$Z$25:$AA$25,'实盘净值数据(iFinD公式)'!$Z220:$AA220/'实盘净值数据(iFinD公式)'!$Z$65:$AA$65))*(1-实盘持仓配置!$AM$9)^(('实盘净值数据(iFinD公式)'!$A220-'实盘净值数据(iFinD公式)'!$A$8)/365))</f>
        <v/>
      </c>
      <c r="R220" s="16" t="str">
        <f t="shared" si="34"/>
        <v/>
      </c>
      <c r="S220" s="16" t="str">
        <f>IF(Q220="","",Q220/MAX(Q$5:Q220)-1)</f>
        <v/>
      </c>
      <c r="T220" s="13" t="str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Z$26:$AA$26,'实盘净值数据(iFinD公式)'!$Z220:$AA220/'实盘净值数据(iFinD公式)'!$Z$69:$AA$69)+SUMPRODUCT(分期持仓明细!$AB$26:$AL$26,'实盘净值数据(iFinD公式)'!$AB220:$AL220/'实盘净值数据(iFinD公式)'!$AB$69:$AL$69))*(1-实盘持仓配置!$AM$10)^(('实盘净值数据(iFinD公式)'!$A220-'实盘净值数据(iFinD公式)'!$A$69)/365))</f>
        <v/>
      </c>
      <c r="U220" s="16" t="str">
        <f t="shared" si="28"/>
        <v/>
      </c>
      <c r="V220" s="16" t="str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 t="str">
        <f>IF(OR('实盘净值数据(iFinD公式)'!$A221="",'实盘净值数据(iFinD公式)'!$B221=""),"",分期持仓明细!$AO$17*SUMPRODUCT(分期持仓明细!$B$17:$Y$17,'实盘净值数据(iFinD公式)'!$B221:$Y221/'实盘净值数据(iFinD公式)'!$B$20:$Y$20)*(1-实盘持仓配置!$AM$4)^(('实盘净值数据(iFinD公式)'!$A221-'实盘净值数据(iFinD公式)'!$A$6)/365))</f>
        <v/>
      </c>
      <c r="C221" s="16" t="str">
        <f t="shared" si="29"/>
        <v/>
      </c>
      <c r="D221" s="16" t="str">
        <f>IF(B221="","",B221/MAX(B$5:B221)-1)</f>
        <v/>
      </c>
      <c r="E221" s="13" t="str">
        <f>IF(OR('实盘净值数据(iFinD公式)'!$A221="",'实盘净值数据(iFinD公式)'!$B221=""),"",分期持仓明细!$AO$18*SUMPRODUCT(分期持仓明细!$B$18:$Y$18,'实盘净值数据(iFinD公式)'!$B221:$Y221/'实盘净值数据(iFinD公式)'!$B$20:$Y$20)*(1-实盘持仓配置!$AM$5)^(('实盘净值数据(iFinD公式)'!$A221-'实盘净值数据(iFinD公式)'!$A$5)/365))</f>
        <v/>
      </c>
      <c r="F221" s="16" t="str">
        <f t="shared" si="30"/>
        <v/>
      </c>
      <c r="G221" s="16" t="str">
        <f>IF(E221="","",E221/MAX(E$5:E221)-1)</f>
        <v/>
      </c>
      <c r="H221" s="13" t="str">
        <f>IF(OR('实盘净值数据(iFinD公式)'!$A221="",'实盘净值数据(iFinD公式)'!$B221=""),"",分期持仓明细!$AO$19*SUMPRODUCT(分期持仓明细!$B$19:$Y$19,'实盘净值数据(iFinD公式)'!$B221:$Y221/'实盘净值数据(iFinD公式)'!$B$20:$Y$20)*(1-实盘持仓配置!$AM$6)^(('实盘净值数据(iFinD公式)'!$A221-'实盘净值数据(iFinD公式)'!$A$7)/365))</f>
        <v/>
      </c>
      <c r="I221" s="16" t="str">
        <f t="shared" si="31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O$23*(SUMPRODUCT(分期持仓明细!$B$23:$Y$23,'实盘净值数据(iFinD公式)'!$B221:$Y221/'实盘净值数据(iFinD公式)'!$B$65:$Y$65)+SUMPRODUCT(分期持仓明细!$Z$23:$AA$23,'实盘净值数据(iFinD公式)'!$Z221:$AA221/'实盘净值数据(iFinD公式)'!$Z$65:$AA$65))*(1-实盘持仓配置!$AM$7)^(('实盘净值数据(iFinD公式)'!$A221-'实盘净值数据(iFinD公式)'!$A$8)/365))</f>
        <v/>
      </c>
      <c r="L221" s="16" t="str">
        <f t="shared" si="32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O$24*(SUMPRODUCT(分期持仓明细!$B$24:$Y$24,'实盘净值数据(iFinD公式)'!$B221:$Y221/'实盘净值数据(iFinD公式)'!$B$65:$Y$65)+SUMPRODUCT(分期持仓明细!$Z$24:$AA$24,'实盘净值数据(iFinD公式)'!$Z221:$AA221/'实盘净值数据(iFinD公式)'!$Z$65:$AA$65))*(1-实盘持仓配置!$AM$8)^(('实盘净值数据(iFinD公式)'!$A221-'实盘净值数据(iFinD公式)'!$A$5)/365))</f>
        <v/>
      </c>
      <c r="O221" s="16" t="str">
        <f t="shared" si="33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O$25*(SUMPRODUCT(分期持仓明细!$B$25:$Y$25,'实盘净值数据(iFinD公式)'!$B221:$Y221/'实盘净值数据(iFinD公式)'!$B$65:$Y$65)+SUMPRODUCT(分期持仓明细!$Z$25:$AA$25,'实盘净值数据(iFinD公式)'!$Z221:$AA221/'实盘净值数据(iFinD公式)'!$Z$65:$AA$65))*(1-实盘持仓配置!$AM$9)^(('实盘净值数据(iFinD公式)'!$A221-'实盘净值数据(iFinD公式)'!$A$8)/365))</f>
        <v/>
      </c>
      <c r="R221" s="16" t="str">
        <f t="shared" si="34"/>
        <v/>
      </c>
      <c r="S221" s="16" t="str">
        <f>IF(Q221="","",Q221/MAX(Q$5:Q221)-1)</f>
        <v/>
      </c>
      <c r="T221" s="13" t="str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Z$26:$AA$26,'实盘净值数据(iFinD公式)'!$Z221:$AA221/'实盘净值数据(iFinD公式)'!$Z$69:$AA$69)+SUMPRODUCT(分期持仓明细!$AB$26:$AL$26,'实盘净值数据(iFinD公式)'!$AB221:$AL221/'实盘净值数据(iFinD公式)'!$AB$69:$AL$69))*(1-实盘持仓配置!$AM$10)^(('实盘净值数据(iFinD公式)'!$A221-'实盘净值数据(iFinD公式)'!$A$69)/365))</f>
        <v/>
      </c>
      <c r="U221" s="16" t="str">
        <f t="shared" si="28"/>
        <v/>
      </c>
      <c r="V221" s="16" t="str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 t="str">
        <f>IF(OR('实盘净值数据(iFinD公式)'!$A222="",'实盘净值数据(iFinD公式)'!$B222=""),"",分期持仓明细!$AO$17*SUMPRODUCT(分期持仓明细!$B$17:$Y$17,'实盘净值数据(iFinD公式)'!$B222:$Y222/'实盘净值数据(iFinD公式)'!$B$20:$Y$20)*(1-实盘持仓配置!$AM$4)^(('实盘净值数据(iFinD公式)'!$A222-'实盘净值数据(iFinD公式)'!$A$6)/365))</f>
        <v/>
      </c>
      <c r="C222" s="16" t="str">
        <f t="shared" si="29"/>
        <v/>
      </c>
      <c r="D222" s="16" t="str">
        <f>IF(B222="","",B222/MAX(B$5:B222)-1)</f>
        <v/>
      </c>
      <c r="E222" s="13" t="str">
        <f>IF(OR('实盘净值数据(iFinD公式)'!$A222="",'实盘净值数据(iFinD公式)'!$B222=""),"",分期持仓明细!$AO$18*SUMPRODUCT(分期持仓明细!$B$18:$Y$18,'实盘净值数据(iFinD公式)'!$B222:$Y222/'实盘净值数据(iFinD公式)'!$B$20:$Y$20)*(1-实盘持仓配置!$AM$5)^(('实盘净值数据(iFinD公式)'!$A222-'实盘净值数据(iFinD公式)'!$A$5)/365))</f>
        <v/>
      </c>
      <c r="F222" s="16" t="str">
        <f t="shared" si="30"/>
        <v/>
      </c>
      <c r="G222" s="16" t="str">
        <f>IF(E222="","",E222/MAX(E$5:E222)-1)</f>
        <v/>
      </c>
      <c r="H222" s="13" t="str">
        <f>IF(OR('实盘净值数据(iFinD公式)'!$A222="",'实盘净值数据(iFinD公式)'!$B222=""),"",分期持仓明细!$AO$19*SUMPRODUCT(分期持仓明细!$B$19:$Y$19,'实盘净值数据(iFinD公式)'!$B222:$Y222/'实盘净值数据(iFinD公式)'!$B$20:$Y$20)*(1-实盘持仓配置!$AM$6)^(('实盘净值数据(iFinD公式)'!$A222-'实盘净值数据(iFinD公式)'!$A$7)/365))</f>
        <v/>
      </c>
      <c r="I222" s="16" t="str">
        <f t="shared" si="31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O$23*(SUMPRODUCT(分期持仓明细!$B$23:$Y$23,'实盘净值数据(iFinD公式)'!$B222:$Y222/'实盘净值数据(iFinD公式)'!$B$65:$Y$65)+SUMPRODUCT(分期持仓明细!$Z$23:$AA$23,'实盘净值数据(iFinD公式)'!$Z222:$AA222/'实盘净值数据(iFinD公式)'!$Z$65:$AA$65))*(1-实盘持仓配置!$AM$7)^(('实盘净值数据(iFinD公式)'!$A222-'实盘净值数据(iFinD公式)'!$A$8)/365))</f>
        <v/>
      </c>
      <c r="L222" s="16" t="str">
        <f t="shared" si="32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O$24*(SUMPRODUCT(分期持仓明细!$B$24:$Y$24,'实盘净值数据(iFinD公式)'!$B222:$Y222/'实盘净值数据(iFinD公式)'!$B$65:$Y$65)+SUMPRODUCT(分期持仓明细!$Z$24:$AA$24,'实盘净值数据(iFinD公式)'!$Z222:$AA222/'实盘净值数据(iFinD公式)'!$Z$65:$AA$65))*(1-实盘持仓配置!$AM$8)^(('实盘净值数据(iFinD公式)'!$A222-'实盘净值数据(iFinD公式)'!$A$5)/365))</f>
        <v/>
      </c>
      <c r="O222" s="16" t="str">
        <f t="shared" si="33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O$25*(SUMPRODUCT(分期持仓明细!$B$25:$Y$25,'实盘净值数据(iFinD公式)'!$B222:$Y222/'实盘净值数据(iFinD公式)'!$B$65:$Y$65)+SUMPRODUCT(分期持仓明细!$Z$25:$AA$25,'实盘净值数据(iFinD公式)'!$Z222:$AA222/'实盘净值数据(iFinD公式)'!$Z$65:$AA$65))*(1-实盘持仓配置!$AM$9)^(('实盘净值数据(iFinD公式)'!$A222-'实盘净值数据(iFinD公式)'!$A$8)/365))</f>
        <v/>
      </c>
      <c r="R222" s="16" t="str">
        <f t="shared" si="34"/>
        <v/>
      </c>
      <c r="S222" s="16" t="str">
        <f>IF(Q222="","",Q222/MAX(Q$5:Q222)-1)</f>
        <v/>
      </c>
      <c r="T222" s="13" t="str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Z$26:$AA$26,'实盘净值数据(iFinD公式)'!$Z222:$AA222/'实盘净值数据(iFinD公式)'!$Z$69:$AA$69)+SUMPRODUCT(分期持仓明细!$AB$26:$AL$26,'实盘净值数据(iFinD公式)'!$AB222:$AL222/'实盘净值数据(iFinD公式)'!$AB$69:$AL$69))*(1-实盘持仓配置!$AM$10)^(('实盘净值数据(iFinD公式)'!$A222-'实盘净值数据(iFinD公式)'!$A$69)/365))</f>
        <v/>
      </c>
      <c r="U222" s="16" t="str">
        <f t="shared" si="28"/>
        <v/>
      </c>
      <c r="V222" s="16" t="str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 t="str">
        <f>IF(OR('实盘净值数据(iFinD公式)'!$A223="",'实盘净值数据(iFinD公式)'!$B223=""),"",分期持仓明细!$AO$17*SUMPRODUCT(分期持仓明细!$B$17:$Y$17,'实盘净值数据(iFinD公式)'!$B223:$Y223/'实盘净值数据(iFinD公式)'!$B$20:$Y$20)*(1-实盘持仓配置!$AM$4)^(('实盘净值数据(iFinD公式)'!$A223-'实盘净值数据(iFinD公式)'!$A$6)/365))</f>
        <v/>
      </c>
      <c r="C223" s="16" t="str">
        <f t="shared" si="29"/>
        <v/>
      </c>
      <c r="D223" s="16" t="str">
        <f>IF(B223="","",B223/MAX(B$5:B223)-1)</f>
        <v/>
      </c>
      <c r="E223" s="13" t="str">
        <f>IF(OR('实盘净值数据(iFinD公式)'!$A223="",'实盘净值数据(iFinD公式)'!$B223=""),"",分期持仓明细!$AO$18*SUMPRODUCT(分期持仓明细!$B$18:$Y$18,'实盘净值数据(iFinD公式)'!$B223:$Y223/'实盘净值数据(iFinD公式)'!$B$20:$Y$20)*(1-实盘持仓配置!$AM$5)^(('实盘净值数据(iFinD公式)'!$A223-'实盘净值数据(iFinD公式)'!$A$5)/365))</f>
        <v/>
      </c>
      <c r="F223" s="16" t="str">
        <f t="shared" si="30"/>
        <v/>
      </c>
      <c r="G223" s="16" t="str">
        <f>IF(E223="","",E223/MAX(E$5:E223)-1)</f>
        <v/>
      </c>
      <c r="H223" s="13" t="str">
        <f>IF(OR('实盘净值数据(iFinD公式)'!$A223="",'实盘净值数据(iFinD公式)'!$B223=""),"",分期持仓明细!$AO$19*SUMPRODUCT(分期持仓明细!$B$19:$Y$19,'实盘净值数据(iFinD公式)'!$B223:$Y223/'实盘净值数据(iFinD公式)'!$B$20:$Y$20)*(1-实盘持仓配置!$AM$6)^(('实盘净值数据(iFinD公式)'!$A223-'实盘净值数据(iFinD公式)'!$A$7)/365))</f>
        <v/>
      </c>
      <c r="I223" s="16" t="str">
        <f t="shared" si="31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O$23*(SUMPRODUCT(分期持仓明细!$B$23:$Y$23,'实盘净值数据(iFinD公式)'!$B223:$Y223/'实盘净值数据(iFinD公式)'!$B$65:$Y$65)+SUMPRODUCT(分期持仓明细!$Z$23:$AA$23,'实盘净值数据(iFinD公式)'!$Z223:$AA223/'实盘净值数据(iFinD公式)'!$Z$65:$AA$65))*(1-实盘持仓配置!$AM$7)^(('实盘净值数据(iFinD公式)'!$A223-'实盘净值数据(iFinD公式)'!$A$8)/365))</f>
        <v/>
      </c>
      <c r="L223" s="16" t="str">
        <f t="shared" si="32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O$24*(SUMPRODUCT(分期持仓明细!$B$24:$Y$24,'实盘净值数据(iFinD公式)'!$B223:$Y223/'实盘净值数据(iFinD公式)'!$B$65:$Y$65)+SUMPRODUCT(分期持仓明细!$Z$24:$AA$24,'实盘净值数据(iFinD公式)'!$Z223:$AA223/'实盘净值数据(iFinD公式)'!$Z$65:$AA$65))*(1-实盘持仓配置!$AM$8)^(('实盘净值数据(iFinD公式)'!$A223-'实盘净值数据(iFinD公式)'!$A$5)/365))</f>
        <v/>
      </c>
      <c r="O223" s="16" t="str">
        <f t="shared" si="33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O$25*(SUMPRODUCT(分期持仓明细!$B$25:$Y$25,'实盘净值数据(iFinD公式)'!$B223:$Y223/'实盘净值数据(iFinD公式)'!$B$65:$Y$65)+SUMPRODUCT(分期持仓明细!$Z$25:$AA$25,'实盘净值数据(iFinD公式)'!$Z223:$AA223/'实盘净值数据(iFinD公式)'!$Z$65:$AA$65))*(1-实盘持仓配置!$AM$9)^(('实盘净值数据(iFinD公式)'!$A223-'实盘净值数据(iFinD公式)'!$A$8)/365))</f>
        <v/>
      </c>
      <c r="R223" s="16" t="str">
        <f t="shared" si="34"/>
        <v/>
      </c>
      <c r="S223" s="16" t="str">
        <f>IF(Q223="","",Q223/MAX(Q$5:Q223)-1)</f>
        <v/>
      </c>
      <c r="T223" s="13" t="str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Z$26:$AA$26,'实盘净值数据(iFinD公式)'!$Z223:$AA223/'实盘净值数据(iFinD公式)'!$Z$69:$AA$69)+SUMPRODUCT(分期持仓明细!$AB$26:$AL$26,'实盘净值数据(iFinD公式)'!$AB223:$AL223/'实盘净值数据(iFinD公式)'!$AB$69:$AL$69))*(1-实盘持仓配置!$AM$10)^(('实盘净值数据(iFinD公式)'!$A223-'实盘净值数据(iFinD公式)'!$A$69)/365))</f>
        <v/>
      </c>
      <c r="U223" s="16" t="str">
        <f t="shared" si="28"/>
        <v/>
      </c>
      <c r="V223" s="16" t="str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 t="str">
        <f>IF(OR('实盘净值数据(iFinD公式)'!$A224="",'实盘净值数据(iFinD公式)'!$B224=""),"",分期持仓明细!$AO$17*SUMPRODUCT(分期持仓明细!$B$17:$Y$17,'实盘净值数据(iFinD公式)'!$B224:$Y224/'实盘净值数据(iFinD公式)'!$B$20:$Y$20)*(1-实盘持仓配置!$AM$4)^(('实盘净值数据(iFinD公式)'!$A224-'实盘净值数据(iFinD公式)'!$A$6)/365))</f>
        <v/>
      </c>
      <c r="C224" s="16" t="str">
        <f t="shared" si="29"/>
        <v/>
      </c>
      <c r="D224" s="16" t="str">
        <f>IF(B224="","",B224/MAX(B$5:B224)-1)</f>
        <v/>
      </c>
      <c r="E224" s="13" t="str">
        <f>IF(OR('实盘净值数据(iFinD公式)'!$A224="",'实盘净值数据(iFinD公式)'!$B224=""),"",分期持仓明细!$AO$18*SUMPRODUCT(分期持仓明细!$B$18:$Y$18,'实盘净值数据(iFinD公式)'!$B224:$Y224/'实盘净值数据(iFinD公式)'!$B$20:$Y$20)*(1-实盘持仓配置!$AM$5)^(('实盘净值数据(iFinD公式)'!$A224-'实盘净值数据(iFinD公式)'!$A$5)/365))</f>
        <v/>
      </c>
      <c r="F224" s="16" t="str">
        <f t="shared" si="30"/>
        <v/>
      </c>
      <c r="G224" s="16" t="str">
        <f>IF(E224="","",E224/MAX(E$5:E224)-1)</f>
        <v/>
      </c>
      <c r="H224" s="13" t="str">
        <f>IF(OR('实盘净值数据(iFinD公式)'!$A224="",'实盘净值数据(iFinD公式)'!$B224=""),"",分期持仓明细!$AO$19*SUMPRODUCT(分期持仓明细!$B$19:$Y$19,'实盘净值数据(iFinD公式)'!$B224:$Y224/'实盘净值数据(iFinD公式)'!$B$20:$Y$20)*(1-实盘持仓配置!$AM$6)^(('实盘净值数据(iFinD公式)'!$A224-'实盘净值数据(iFinD公式)'!$A$7)/365))</f>
        <v/>
      </c>
      <c r="I224" s="16" t="str">
        <f t="shared" si="31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O$23*(SUMPRODUCT(分期持仓明细!$B$23:$Y$23,'实盘净值数据(iFinD公式)'!$B224:$Y224/'实盘净值数据(iFinD公式)'!$B$65:$Y$65)+SUMPRODUCT(分期持仓明细!$Z$23:$AA$23,'实盘净值数据(iFinD公式)'!$Z224:$AA224/'实盘净值数据(iFinD公式)'!$Z$65:$AA$65))*(1-实盘持仓配置!$AM$7)^(('实盘净值数据(iFinD公式)'!$A224-'实盘净值数据(iFinD公式)'!$A$8)/365))</f>
        <v/>
      </c>
      <c r="L224" s="16" t="str">
        <f t="shared" si="32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O$24*(SUMPRODUCT(分期持仓明细!$B$24:$Y$24,'实盘净值数据(iFinD公式)'!$B224:$Y224/'实盘净值数据(iFinD公式)'!$B$65:$Y$65)+SUMPRODUCT(分期持仓明细!$Z$24:$AA$24,'实盘净值数据(iFinD公式)'!$Z224:$AA224/'实盘净值数据(iFinD公式)'!$Z$65:$AA$65))*(1-实盘持仓配置!$AM$8)^(('实盘净值数据(iFinD公式)'!$A224-'实盘净值数据(iFinD公式)'!$A$5)/365))</f>
        <v/>
      </c>
      <c r="O224" s="16" t="str">
        <f t="shared" si="33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O$25*(SUMPRODUCT(分期持仓明细!$B$25:$Y$25,'实盘净值数据(iFinD公式)'!$B224:$Y224/'实盘净值数据(iFinD公式)'!$B$65:$Y$65)+SUMPRODUCT(分期持仓明细!$Z$25:$AA$25,'实盘净值数据(iFinD公式)'!$Z224:$AA224/'实盘净值数据(iFinD公式)'!$Z$65:$AA$65))*(1-实盘持仓配置!$AM$9)^(('实盘净值数据(iFinD公式)'!$A224-'实盘净值数据(iFinD公式)'!$A$8)/365))</f>
        <v/>
      </c>
      <c r="R224" s="16" t="str">
        <f t="shared" si="34"/>
        <v/>
      </c>
      <c r="S224" s="16" t="str">
        <f>IF(Q224="","",Q224/MAX(Q$5:Q224)-1)</f>
        <v/>
      </c>
      <c r="T224" s="13" t="str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Z$26:$AA$26,'实盘净值数据(iFinD公式)'!$Z224:$AA224/'实盘净值数据(iFinD公式)'!$Z$69:$AA$69)+SUMPRODUCT(分期持仓明细!$AB$26:$AL$26,'实盘净值数据(iFinD公式)'!$AB224:$AL224/'实盘净值数据(iFinD公式)'!$AB$69:$AL$69))*(1-实盘持仓配置!$AM$10)^(('实盘净值数据(iFinD公式)'!$A224-'实盘净值数据(iFinD公式)'!$A$69)/365))</f>
        <v/>
      </c>
      <c r="U224" s="16" t="str">
        <f t="shared" si="28"/>
        <v/>
      </c>
      <c r="V224" s="16" t="str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 t="str">
        <f>IF(OR('实盘净值数据(iFinD公式)'!$A225="",'实盘净值数据(iFinD公式)'!$B225=""),"",分期持仓明细!$AO$17*SUMPRODUCT(分期持仓明细!$B$17:$Y$17,'实盘净值数据(iFinD公式)'!$B225:$Y225/'实盘净值数据(iFinD公式)'!$B$20:$Y$20)*(1-实盘持仓配置!$AM$4)^(('实盘净值数据(iFinD公式)'!$A225-'实盘净值数据(iFinD公式)'!$A$6)/365))</f>
        <v/>
      </c>
      <c r="C225" s="16" t="str">
        <f t="shared" si="29"/>
        <v/>
      </c>
      <c r="D225" s="16" t="str">
        <f>IF(B225="","",B225/MAX(B$5:B225)-1)</f>
        <v/>
      </c>
      <c r="E225" s="13" t="str">
        <f>IF(OR('实盘净值数据(iFinD公式)'!$A225="",'实盘净值数据(iFinD公式)'!$B225=""),"",分期持仓明细!$AO$18*SUMPRODUCT(分期持仓明细!$B$18:$Y$18,'实盘净值数据(iFinD公式)'!$B225:$Y225/'实盘净值数据(iFinD公式)'!$B$20:$Y$20)*(1-实盘持仓配置!$AM$5)^(('实盘净值数据(iFinD公式)'!$A225-'实盘净值数据(iFinD公式)'!$A$5)/365))</f>
        <v/>
      </c>
      <c r="F225" s="16" t="str">
        <f t="shared" si="30"/>
        <v/>
      </c>
      <c r="G225" s="16" t="str">
        <f>IF(E225="","",E225/MAX(E$5:E225)-1)</f>
        <v/>
      </c>
      <c r="H225" s="13" t="str">
        <f>IF(OR('实盘净值数据(iFinD公式)'!$A225="",'实盘净值数据(iFinD公式)'!$B225=""),"",分期持仓明细!$AO$19*SUMPRODUCT(分期持仓明细!$B$19:$Y$19,'实盘净值数据(iFinD公式)'!$B225:$Y225/'实盘净值数据(iFinD公式)'!$B$20:$Y$20)*(1-实盘持仓配置!$AM$6)^(('实盘净值数据(iFinD公式)'!$A225-'实盘净值数据(iFinD公式)'!$A$7)/365))</f>
        <v/>
      </c>
      <c r="I225" s="16" t="str">
        <f t="shared" si="31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O$23*(SUMPRODUCT(分期持仓明细!$B$23:$Y$23,'实盘净值数据(iFinD公式)'!$B225:$Y225/'实盘净值数据(iFinD公式)'!$B$65:$Y$65)+SUMPRODUCT(分期持仓明细!$Z$23:$AA$23,'实盘净值数据(iFinD公式)'!$Z225:$AA225/'实盘净值数据(iFinD公式)'!$Z$65:$AA$65))*(1-实盘持仓配置!$AM$7)^(('实盘净值数据(iFinD公式)'!$A225-'实盘净值数据(iFinD公式)'!$A$8)/365))</f>
        <v/>
      </c>
      <c r="L225" s="16" t="str">
        <f t="shared" si="32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O$24*(SUMPRODUCT(分期持仓明细!$B$24:$Y$24,'实盘净值数据(iFinD公式)'!$B225:$Y225/'实盘净值数据(iFinD公式)'!$B$65:$Y$65)+SUMPRODUCT(分期持仓明细!$Z$24:$AA$24,'实盘净值数据(iFinD公式)'!$Z225:$AA225/'实盘净值数据(iFinD公式)'!$Z$65:$AA$65))*(1-实盘持仓配置!$AM$8)^(('实盘净值数据(iFinD公式)'!$A225-'实盘净值数据(iFinD公式)'!$A$5)/365))</f>
        <v/>
      </c>
      <c r="O225" s="16" t="str">
        <f t="shared" si="33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O$25*(SUMPRODUCT(分期持仓明细!$B$25:$Y$25,'实盘净值数据(iFinD公式)'!$B225:$Y225/'实盘净值数据(iFinD公式)'!$B$65:$Y$65)+SUMPRODUCT(分期持仓明细!$Z$25:$AA$25,'实盘净值数据(iFinD公式)'!$Z225:$AA225/'实盘净值数据(iFinD公式)'!$Z$65:$AA$65))*(1-实盘持仓配置!$AM$9)^(('实盘净值数据(iFinD公式)'!$A225-'实盘净值数据(iFinD公式)'!$A$8)/365))</f>
        <v/>
      </c>
      <c r="R225" s="16" t="str">
        <f t="shared" si="34"/>
        <v/>
      </c>
      <c r="S225" s="16" t="str">
        <f>IF(Q225="","",Q225/MAX(Q$5:Q225)-1)</f>
        <v/>
      </c>
      <c r="T225" s="13" t="str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Z$26:$AA$26,'实盘净值数据(iFinD公式)'!$Z225:$AA225/'实盘净值数据(iFinD公式)'!$Z$69:$AA$69)+SUMPRODUCT(分期持仓明细!$AB$26:$AL$26,'实盘净值数据(iFinD公式)'!$AB225:$AL225/'实盘净值数据(iFinD公式)'!$AB$69:$AL$69))*(1-实盘持仓配置!$AM$10)^(('实盘净值数据(iFinD公式)'!$A225-'实盘净值数据(iFinD公式)'!$A$69)/365))</f>
        <v/>
      </c>
      <c r="U225" s="16" t="str">
        <f t="shared" si="28"/>
        <v/>
      </c>
      <c r="V225" s="16" t="str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 t="str">
        <f>IF(OR('实盘净值数据(iFinD公式)'!$A226="",'实盘净值数据(iFinD公式)'!$B226=""),"",分期持仓明细!$AO$17*SUMPRODUCT(分期持仓明细!$B$17:$Y$17,'实盘净值数据(iFinD公式)'!$B226:$Y226/'实盘净值数据(iFinD公式)'!$B$20:$Y$20)*(1-实盘持仓配置!$AM$4)^(('实盘净值数据(iFinD公式)'!$A226-'实盘净值数据(iFinD公式)'!$A$6)/365))</f>
        <v/>
      </c>
      <c r="C226" s="16" t="str">
        <f t="shared" si="29"/>
        <v/>
      </c>
      <c r="D226" s="16" t="str">
        <f>IF(B226="","",B226/MAX(B$5:B226)-1)</f>
        <v/>
      </c>
      <c r="E226" s="13" t="str">
        <f>IF(OR('实盘净值数据(iFinD公式)'!$A226="",'实盘净值数据(iFinD公式)'!$B226=""),"",分期持仓明细!$AO$18*SUMPRODUCT(分期持仓明细!$B$18:$Y$18,'实盘净值数据(iFinD公式)'!$B226:$Y226/'实盘净值数据(iFinD公式)'!$B$20:$Y$20)*(1-实盘持仓配置!$AM$5)^(('实盘净值数据(iFinD公式)'!$A226-'实盘净值数据(iFinD公式)'!$A$5)/365))</f>
        <v/>
      </c>
      <c r="F226" s="16" t="str">
        <f t="shared" si="30"/>
        <v/>
      </c>
      <c r="G226" s="16" t="str">
        <f>IF(E226="","",E226/MAX(E$5:E226)-1)</f>
        <v/>
      </c>
      <c r="H226" s="13" t="str">
        <f>IF(OR('实盘净值数据(iFinD公式)'!$A226="",'实盘净值数据(iFinD公式)'!$B226=""),"",分期持仓明细!$AO$19*SUMPRODUCT(分期持仓明细!$B$19:$Y$19,'实盘净值数据(iFinD公式)'!$B226:$Y226/'实盘净值数据(iFinD公式)'!$B$20:$Y$20)*(1-实盘持仓配置!$AM$6)^(('实盘净值数据(iFinD公式)'!$A226-'实盘净值数据(iFinD公式)'!$A$7)/365))</f>
        <v/>
      </c>
      <c r="I226" s="16" t="str">
        <f t="shared" si="31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O$23*(SUMPRODUCT(分期持仓明细!$B$23:$Y$23,'实盘净值数据(iFinD公式)'!$B226:$Y226/'实盘净值数据(iFinD公式)'!$B$65:$Y$65)+SUMPRODUCT(分期持仓明细!$Z$23:$AA$23,'实盘净值数据(iFinD公式)'!$Z226:$AA226/'实盘净值数据(iFinD公式)'!$Z$65:$AA$65))*(1-实盘持仓配置!$AM$7)^(('实盘净值数据(iFinD公式)'!$A226-'实盘净值数据(iFinD公式)'!$A$8)/365))</f>
        <v/>
      </c>
      <c r="L226" s="16" t="str">
        <f t="shared" si="32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O$24*(SUMPRODUCT(分期持仓明细!$B$24:$Y$24,'实盘净值数据(iFinD公式)'!$B226:$Y226/'实盘净值数据(iFinD公式)'!$B$65:$Y$65)+SUMPRODUCT(分期持仓明细!$Z$24:$AA$24,'实盘净值数据(iFinD公式)'!$Z226:$AA226/'实盘净值数据(iFinD公式)'!$Z$65:$AA$65))*(1-实盘持仓配置!$AM$8)^(('实盘净值数据(iFinD公式)'!$A226-'实盘净值数据(iFinD公式)'!$A$5)/365))</f>
        <v/>
      </c>
      <c r="O226" s="16" t="str">
        <f t="shared" si="33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O$25*(SUMPRODUCT(分期持仓明细!$B$25:$Y$25,'实盘净值数据(iFinD公式)'!$B226:$Y226/'实盘净值数据(iFinD公式)'!$B$65:$Y$65)+SUMPRODUCT(分期持仓明细!$Z$25:$AA$25,'实盘净值数据(iFinD公式)'!$Z226:$AA226/'实盘净值数据(iFinD公式)'!$Z$65:$AA$65))*(1-实盘持仓配置!$AM$9)^(('实盘净值数据(iFinD公式)'!$A226-'实盘净值数据(iFinD公式)'!$A$8)/365))</f>
        <v/>
      </c>
      <c r="R226" s="16" t="str">
        <f t="shared" si="34"/>
        <v/>
      </c>
      <c r="S226" s="16" t="str">
        <f>IF(Q226="","",Q226/MAX(Q$5:Q226)-1)</f>
        <v/>
      </c>
      <c r="T226" s="13" t="str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Z$26:$AA$26,'实盘净值数据(iFinD公式)'!$Z226:$AA226/'实盘净值数据(iFinD公式)'!$Z$69:$AA$69)+SUMPRODUCT(分期持仓明细!$AB$26:$AL$26,'实盘净值数据(iFinD公式)'!$AB226:$AL226/'实盘净值数据(iFinD公式)'!$AB$69:$AL$69))*(1-实盘持仓配置!$AM$10)^(('实盘净值数据(iFinD公式)'!$A226-'实盘净值数据(iFinD公式)'!$A$69)/365))</f>
        <v/>
      </c>
      <c r="U226" s="16" t="str">
        <f t="shared" si="28"/>
        <v/>
      </c>
      <c r="V226" s="16" t="str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 t="str">
        <f>IF(OR('实盘净值数据(iFinD公式)'!$A227="",'实盘净值数据(iFinD公式)'!$B227=""),"",分期持仓明细!$AO$17*SUMPRODUCT(分期持仓明细!$B$17:$Y$17,'实盘净值数据(iFinD公式)'!$B227:$Y227/'实盘净值数据(iFinD公式)'!$B$20:$Y$20)*(1-实盘持仓配置!$AM$4)^(('实盘净值数据(iFinD公式)'!$A227-'实盘净值数据(iFinD公式)'!$A$6)/365))</f>
        <v/>
      </c>
      <c r="C227" s="16" t="str">
        <f t="shared" si="29"/>
        <v/>
      </c>
      <c r="D227" s="16" t="str">
        <f>IF(B227="","",B227/MAX(B$5:B227)-1)</f>
        <v/>
      </c>
      <c r="E227" s="13" t="str">
        <f>IF(OR('实盘净值数据(iFinD公式)'!$A227="",'实盘净值数据(iFinD公式)'!$B227=""),"",分期持仓明细!$AO$18*SUMPRODUCT(分期持仓明细!$B$18:$Y$18,'实盘净值数据(iFinD公式)'!$B227:$Y227/'实盘净值数据(iFinD公式)'!$B$20:$Y$20)*(1-实盘持仓配置!$AM$5)^(('实盘净值数据(iFinD公式)'!$A227-'实盘净值数据(iFinD公式)'!$A$5)/365))</f>
        <v/>
      </c>
      <c r="F227" s="16" t="str">
        <f t="shared" si="30"/>
        <v/>
      </c>
      <c r="G227" s="16" t="str">
        <f>IF(E227="","",E227/MAX(E$5:E227)-1)</f>
        <v/>
      </c>
      <c r="H227" s="13" t="str">
        <f>IF(OR('实盘净值数据(iFinD公式)'!$A227="",'实盘净值数据(iFinD公式)'!$B227=""),"",分期持仓明细!$AO$19*SUMPRODUCT(分期持仓明细!$B$19:$Y$19,'实盘净值数据(iFinD公式)'!$B227:$Y227/'实盘净值数据(iFinD公式)'!$B$20:$Y$20)*(1-实盘持仓配置!$AM$6)^(('实盘净值数据(iFinD公式)'!$A227-'实盘净值数据(iFinD公式)'!$A$7)/365))</f>
        <v/>
      </c>
      <c r="I227" s="16" t="str">
        <f t="shared" si="31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O$23*(SUMPRODUCT(分期持仓明细!$B$23:$Y$23,'实盘净值数据(iFinD公式)'!$B227:$Y227/'实盘净值数据(iFinD公式)'!$B$65:$Y$65)+SUMPRODUCT(分期持仓明细!$Z$23:$AA$23,'实盘净值数据(iFinD公式)'!$Z227:$AA227/'实盘净值数据(iFinD公式)'!$Z$65:$AA$65))*(1-实盘持仓配置!$AM$7)^(('实盘净值数据(iFinD公式)'!$A227-'实盘净值数据(iFinD公式)'!$A$8)/365))</f>
        <v/>
      </c>
      <c r="L227" s="16" t="str">
        <f t="shared" si="32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O$24*(SUMPRODUCT(分期持仓明细!$B$24:$Y$24,'实盘净值数据(iFinD公式)'!$B227:$Y227/'实盘净值数据(iFinD公式)'!$B$65:$Y$65)+SUMPRODUCT(分期持仓明细!$Z$24:$AA$24,'实盘净值数据(iFinD公式)'!$Z227:$AA227/'实盘净值数据(iFinD公式)'!$Z$65:$AA$65))*(1-实盘持仓配置!$AM$8)^(('实盘净值数据(iFinD公式)'!$A227-'实盘净值数据(iFinD公式)'!$A$5)/365))</f>
        <v/>
      </c>
      <c r="O227" s="16" t="str">
        <f t="shared" si="33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O$25*(SUMPRODUCT(分期持仓明细!$B$25:$Y$25,'实盘净值数据(iFinD公式)'!$B227:$Y227/'实盘净值数据(iFinD公式)'!$B$65:$Y$65)+SUMPRODUCT(分期持仓明细!$Z$25:$AA$25,'实盘净值数据(iFinD公式)'!$Z227:$AA227/'实盘净值数据(iFinD公式)'!$Z$65:$AA$65))*(1-实盘持仓配置!$AM$9)^(('实盘净值数据(iFinD公式)'!$A227-'实盘净值数据(iFinD公式)'!$A$8)/365))</f>
        <v/>
      </c>
      <c r="R227" s="16" t="str">
        <f t="shared" si="34"/>
        <v/>
      </c>
      <c r="S227" s="16" t="str">
        <f>IF(Q227="","",Q227/MAX(Q$5:Q227)-1)</f>
        <v/>
      </c>
      <c r="T227" s="13" t="str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Z$26:$AA$26,'实盘净值数据(iFinD公式)'!$Z227:$AA227/'实盘净值数据(iFinD公式)'!$Z$69:$AA$69)+SUMPRODUCT(分期持仓明细!$AB$26:$AL$26,'实盘净值数据(iFinD公式)'!$AB227:$AL227/'实盘净值数据(iFinD公式)'!$AB$69:$AL$69))*(1-实盘持仓配置!$AM$10)^(('实盘净值数据(iFinD公式)'!$A227-'实盘净值数据(iFinD公式)'!$A$69)/365))</f>
        <v/>
      </c>
      <c r="U227" s="16" t="str">
        <f t="shared" si="28"/>
        <v/>
      </c>
      <c r="V227" s="16" t="str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4"/>
  <sheetViews>
    <sheetView showGridLines="0" topLeftCell="A40" zoomScaleNormal="100" workbookViewId="0">
      <selection activeCell="L31" sqref="L31"/>
    </sheetView>
  </sheetViews>
  <sheetFormatPr defaultColWidth="9.54296875" defaultRowHeight="12.5"/>
  <cols>
    <col min="1" max="1" width="18.1796875" customWidth="1"/>
    <col min="28" max="38" width="13" customWidth="1"/>
  </cols>
  <sheetData>
    <row r="1" spans="1:38" ht="19.5" customHeight="1">
      <c r="A1" s="247" t="s">
        <v>58</v>
      </c>
      <c r="B1" s="247"/>
      <c r="C1" s="247"/>
      <c r="D1" s="247"/>
    </row>
    <row r="2" spans="1:38" ht="14">
      <c r="A2" s="11">
        <f ca="1">TODAY()</f>
        <v>46304</v>
      </c>
    </row>
    <row r="3" spans="1:38" ht="24.75" customHeight="1">
      <c r="A3" s="1" t="s">
        <v>59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51.75" customHeight="1">
      <c r="A4" s="1" t="str">
        <f ca="1">[1]!HX_AutoDate(1,"2026-06-18",A2,-1,-1,0,0,0,0,0,"SSE",75,0)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61</v>
      </c>
      <c r="Z4" s="3" t="s">
        <v>350</v>
      </c>
      <c r="AA4" s="3" t="s">
        <v>351</v>
      </c>
      <c r="AB4" s="3" t="s">
        <v>383</v>
      </c>
      <c r="AC4" s="3" t="s">
        <v>384</v>
      </c>
      <c r="AD4" s="3" t="s">
        <v>385</v>
      </c>
      <c r="AE4" s="3" t="s">
        <v>386</v>
      </c>
      <c r="AF4" s="3" t="s">
        <v>387</v>
      </c>
      <c r="AG4" s="3" t="s">
        <v>388</v>
      </c>
      <c r="AH4" s="3" t="s">
        <v>389</v>
      </c>
      <c r="AI4" s="3" t="s">
        <v>390</v>
      </c>
      <c r="AJ4" s="3" t="s">
        <v>391</v>
      </c>
      <c r="AK4" s="3" t="s">
        <v>392</v>
      </c>
      <c r="AL4" s="3" t="s">
        <v>393</v>
      </c>
    </row>
    <row r="5" spans="1:38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3.2385223660000002</v>
      </c>
      <c r="AD5" s="13">
        <f>IF($A5="","",[1]!thsiFinD("ths_adjustment_nv_fund",AD$3,$A5))</f>
        <v>1.8745000000000001</v>
      </c>
      <c r="AE5" s="13">
        <f>IF($A5="","",[1]!thsiFinD("ths_adjustment_nv_fund",AE$3,$A5))</f>
        <v>2.0950000000000002</v>
      </c>
      <c r="AF5" s="13">
        <f>IF($A5="","",[1]!thsiFinD("ths_adjustment_nv_fund",AF$3,$A5))</f>
        <v>3.3998816716000002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4.7276719309999997</v>
      </c>
      <c r="AJ5" s="13">
        <f>IF($A5="","",[1]!thsiFinD("ths_adjustment_nv_fund",AJ$3,$A5))</f>
        <v>1.8909889261999999</v>
      </c>
      <c r="AK5" s="13">
        <f>IF($A5="","",[1]!thsiFinD("ths_adjustment_nv_fund",AK$3,$A5))</f>
        <v>1.6802994499999999</v>
      </c>
      <c r="AL5" s="13">
        <f>IF($A5="","",[1]!thsiFinD("ths_adjustment_nv_fund",AL$3,$A5))</f>
        <v>1.9272</v>
      </c>
    </row>
    <row r="6" spans="1:38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3.3110004117999998</v>
      </c>
      <c r="AD6" s="13">
        <f>IF($A6="","",[1]!thsiFinD("ths_adjustment_nv_fund",AD$3,$A6))</f>
        <v>1.8953</v>
      </c>
      <c r="AE6" s="13">
        <f>IF($A6="","",[1]!thsiFinD("ths_adjustment_nv_fund",AE$3,$A6))</f>
        <v>2.1133000000000002</v>
      </c>
      <c r="AF6" s="13">
        <f>IF($A6="","",[1]!thsiFinD("ths_adjustment_nv_fund",AF$3,$A6))</f>
        <v>3.4792018752999998</v>
      </c>
      <c r="AG6" s="13">
        <f>IF($A6="","",[1]!thsiFinD("ths_adjustment_nv_fund",AG$3,$A6))</f>
        <v>1.6590997467999999</v>
      </c>
      <c r="AH6" s="13">
        <f>IF($A6="","",[1]!thsiFinD("ths_adjustment_nv_fund",AH$3,$A6))</f>
        <v>4.4027542409000002</v>
      </c>
      <c r="AI6" s="13">
        <f>IF($A6="","",[1]!thsiFinD("ths_adjustment_nv_fund",AI$3,$A6))</f>
        <v>4.8532032088000001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1.6847785819000001</v>
      </c>
      <c r="AL6" s="13">
        <f>IF($A6="","",[1]!thsiFinD("ths_adjustment_nv_fund",AL$3,$A6))</f>
        <v>1.8854</v>
      </c>
    </row>
    <row r="7" spans="1:38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3.2534051701000002</v>
      </c>
      <c r="AD7" s="13">
        <f>IF($A7="","",[1]!thsiFinD("ths_adjustment_nv_fund",AD$3,$A7))</f>
        <v>1.8653999999999999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1.6517524051000001</v>
      </c>
      <c r="AH7" s="13">
        <f>IF($A7="","",[1]!thsiFinD("ths_adjustment_nv_fund",AH$3,$A7))</f>
        <v>4.3836735683999999</v>
      </c>
      <c r="AI7" s="13">
        <f>IF($A7="","",[1]!thsiFinD("ths_adjustment_nv_fund",AI$3,$A7))</f>
        <v>4.7865896261999996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1.6863410697000001</v>
      </c>
      <c r="AL7" s="13">
        <f>IF($A7="","",[1]!thsiFinD("ths_adjustment_nv_fund",AL$3,$A7))</f>
        <v>1.8489</v>
      </c>
    </row>
    <row r="8" spans="1:38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1.8718999999999999</v>
      </c>
      <c r="AC8" s="13">
        <f>IF($A8="","",[1]!thsiFinD("ths_adjustment_nv_fund",AC$3,$A8))</f>
        <v>3.3099114261999998</v>
      </c>
      <c r="AD8" s="13">
        <f>IF($A8="","",[1]!thsiFinD("ths_adjustment_nv_fund",AD$3,$A8))</f>
        <v>1.8762000000000001</v>
      </c>
      <c r="AE8" s="13">
        <f>IF($A8="","",[1]!thsiFinD("ths_adjustment_nv_fund",AE$3,$A8))</f>
        <v>2.0979999999999999</v>
      </c>
      <c r="AF8" s="13">
        <f>IF($A8="","",[1]!thsiFinD("ths_adjustment_nv_fund",AF$3,$A8))</f>
        <v>3.3423356415000001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4.3495058526000001</v>
      </c>
      <c r="AI8" s="13">
        <f>IF($A8="","",[1]!thsiFinD("ths_adjustment_nv_fund",AI$3,$A8))</f>
        <v>4.8277184670000004</v>
      </c>
      <c r="AJ8" s="13">
        <f>IF($A8="","",[1]!thsiFinD("ths_adjustment_nv_fund",AJ$3,$A8))</f>
        <v>1.8697102563000001</v>
      </c>
      <c r="AK8" s="13">
        <f>IF($A8="","",[1]!thsiFinD("ths_adjustment_nv_fund",AK$3,$A8))</f>
        <v>1.6552996441000001</v>
      </c>
      <c r="AL8" s="13">
        <f>IF($A8="","",[1]!thsiFinD("ths_adjustment_nv_fund",AL$3,$A8))</f>
        <v>1.8426</v>
      </c>
    </row>
    <row r="9" spans="1:38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1.8904000000000001</v>
      </c>
      <c r="AC9" s="13">
        <f>IF($A9="","",[1]!thsiFinD("ths_adjustment_nv_fund",AC$3,$A9))</f>
        <v>3.3401610279999998</v>
      </c>
      <c r="AD9" s="13">
        <f>IF($A9="","",[1]!thsiFinD("ths_adjustment_nv_fund",AD$3,$A9))</f>
        <v>1.8701000000000001</v>
      </c>
      <c r="AE9" s="13">
        <f>IF($A9="","",[1]!thsiFinD("ths_adjustment_nv_fund",AE$3,$A9))</f>
        <v>2.0781999999999998</v>
      </c>
      <c r="AF9" s="13">
        <f>IF($A9="","",[1]!thsiFinD("ths_adjustment_nv_fund",AF$3,$A9))</f>
        <v>3.3252273623000002</v>
      </c>
      <c r="AG9" s="13">
        <f>IF($A9="","",[1]!thsiFinD("ths_adjustment_nv_fund",AG$3,$A9))</f>
        <v>1.6093010969999999</v>
      </c>
      <c r="AH9" s="13">
        <f>IF($A9="","",[1]!thsiFinD("ths_adjustment_nv_fund",AH$3,$A9))</f>
        <v>4.3386343067000004</v>
      </c>
      <c r="AI9" s="13">
        <f>IF($A9="","",[1]!thsiFinD("ths_adjustment_nv_fund",AI$3,$A9))</f>
        <v>4.8477782390000002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1.7928999999999999</v>
      </c>
    </row>
    <row r="10" spans="1:38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1.8480000000000001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1.8140000000000001</v>
      </c>
      <c r="AE10" s="13">
        <f>IF($A10="","",[1]!thsiFinD("ths_adjustment_nv_fund",AE$3,$A10))</f>
        <v>2.0163000000000002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4.2707426116000002</v>
      </c>
      <c r="AI10" s="13">
        <f>IF($A10="","",[1]!thsiFinD("ths_adjustment_nv_fund",AI$3,$A10))</f>
        <v>4.8138406373000002</v>
      </c>
      <c r="AJ10" s="13">
        <f>IF($A10="","",[1]!thsiFinD("ths_adjustment_nv_fund",AJ$3,$A10))</f>
        <v>1.8426838995999999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1.8132999999999999</v>
      </c>
    </row>
    <row r="11" spans="1:38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3.2705869439000002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3.2925661018999999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4.8407131620000001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38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1.9165000000000001</v>
      </c>
      <c r="AC12" s="13">
        <f>IF($A12="","",[1]!thsiFinD("ths_adjustment_nv_fund",AC$3,$A12))</f>
        <v>3.3419760041000002</v>
      </c>
      <c r="AD12" s="13">
        <f>IF($A12="","",[1]!thsiFinD("ths_adjustment_nv_fund",AD$3,$A12))</f>
        <v>1.8512</v>
      </c>
      <c r="AE12" s="13">
        <f>IF($A12="","",[1]!thsiFinD("ths_adjustment_nv_fund",AE$3,$A12))</f>
        <v>2.0508999999999999</v>
      </c>
      <c r="AF12" s="13">
        <f>IF($A12="","",[1]!thsiFinD("ths_adjustment_nv_fund",AF$3,$A12))</f>
        <v>3.2381306680000002</v>
      </c>
      <c r="AG12" s="13">
        <f>IF($A12="","",[1]!thsiFinD("ths_adjustment_nv_fund",AG$3,$A12))</f>
        <v>1.5935567932000001</v>
      </c>
      <c r="AH12" s="13">
        <f>IF($A12="","",[1]!thsiFinD("ths_adjustment_nv_fund",AH$3,$A12))</f>
        <v>4.3020260397000003</v>
      </c>
      <c r="AI12" s="13">
        <f>IF($A12="","",[1]!thsiFinD("ths_adjustment_nv_fund",AI$3,$A12))</f>
        <v>4.8482828872999999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1.8091999999999999</v>
      </c>
    </row>
    <row r="13" spans="1:38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3.3492359084999999</v>
      </c>
      <c r="AD13" s="13">
        <f>IF($A13="","",[1]!thsiFinD("ths_adjustment_nv_fund",AD$3,$A13))</f>
        <v>1.8641000000000001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3.3003425924999998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4.3472871698000004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1.8380368337999999</v>
      </c>
      <c r="AK13" s="13">
        <f>IF($A13="","",[1]!thsiFinD("ths_adjustment_nv_fund",AK$3,$A13))</f>
        <v>1.6389456044999999</v>
      </c>
      <c r="AL13" s="13">
        <f>IF($A13="","",[1]!thsiFinD("ths_adjustment_nv_fund",AL$3,$A13))</f>
        <v>1.7864</v>
      </c>
    </row>
    <row r="14" spans="1:38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1.8436999999999999</v>
      </c>
      <c r="AC14" s="13">
        <f>IF($A14="","",[1]!thsiFinD("ths_adjustment_nv_fund",AC$3,$A14))</f>
        <v>3.2358604010000001</v>
      </c>
      <c r="AD14" s="13">
        <f>IF($A14="","",[1]!thsiFinD("ths_adjustment_nv_fund",AD$3,$A14))</f>
        <v>1.8319000000000001</v>
      </c>
      <c r="AE14" s="13">
        <f>IF($A14="","",[1]!thsiFinD("ths_adjustment_nv_fund",AE$3,$A14))</f>
        <v>2.0409000000000002</v>
      </c>
      <c r="AF14" s="13">
        <f>IF($A14="","",[1]!thsiFinD("ths_adjustment_nv_fund",AF$3,$A14))</f>
        <v>3.3407803434000001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4.3537213499999998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1.8297000000000001</v>
      </c>
    </row>
    <row r="15" spans="1:38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1.8459000000000001</v>
      </c>
      <c r="AC15" s="13">
        <f>IF($A15="","",[1]!thsiFinD("ths_adjustment_nv_fund",AC$3,$A15))</f>
        <v>3.2680459772999999</v>
      </c>
      <c r="AD15" s="13">
        <f>IF($A15="","",[1]!thsiFinD("ths_adjustment_nv_fund",AD$3,$A15))</f>
        <v>1.8480000000000001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3.3967710753999998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4.3947669827000002</v>
      </c>
      <c r="AI15" s="13">
        <f>IF($A15="","",[1]!thsiFinD("ths_adjustment_nv_fund",AI$3,$A15))</f>
        <v>4.8958459946000001</v>
      </c>
      <c r="AJ15" s="13">
        <f>IF($A15="","",[1]!thsiFinD("ths_adjustment_nv_fund",AJ$3,$A15))</f>
        <v>1.8555244763000001</v>
      </c>
      <c r="AK15" s="13">
        <f>IF($A15="","",[1]!thsiFinD("ths_adjustment_nv_fund",AK$3,$A15))</f>
        <v>1.6664453909000001</v>
      </c>
      <c r="AL15" s="13">
        <f>IF($A15="","",[1]!thsiFinD("ths_adjustment_nv_fund",AL$3,$A15))</f>
        <v>1.8733</v>
      </c>
    </row>
    <row r="16" spans="1:38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1.8252999999999999</v>
      </c>
      <c r="AC16" s="13">
        <f>IF($A16="","",[1]!thsiFinD("ths_adjustment_nv_fund",AC$3,$A16))</f>
        <v>3.2396113516999998</v>
      </c>
      <c r="AD16" s="13">
        <f>IF($A16="","",[1]!thsiFinD("ths_adjustment_nv_fund",AD$3,$A16))</f>
        <v>1.8278000000000001</v>
      </c>
      <c r="AE16" s="13">
        <f>IF($A16="","",[1]!thsiFinD("ths_adjustment_nv_fund",AE$3,$A16))</f>
        <v>2.0238999999999998</v>
      </c>
      <c r="AF16" s="13">
        <f>IF($A16="","",[1]!thsiFinD("ths_adjustment_nv_fund",AF$3,$A16))</f>
        <v>3.4589829998999999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4.4145132599999997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38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3.1751192007000002</v>
      </c>
      <c r="AD17" s="13">
        <f>IF($A17="","",[1]!thsiFinD("ths_adjustment_nv_fund",AD$3,$A17))</f>
        <v>1.7876000000000001</v>
      </c>
      <c r="AE17" s="13">
        <f>IF($A17="","",[1]!thsiFinD("ths_adjustment_nv_fund",AE$3,$A17))</f>
        <v>1.9789000000000001</v>
      </c>
      <c r="AF17" s="13">
        <f>IF($A17="","",[1]!thsiFinD("ths_adjustment_nv_fund",AF$3,$A17))</f>
        <v>3.3812180942999999</v>
      </c>
      <c r="AG17" s="13">
        <f>IF($A17="","",[1]!thsiFinD("ths_adjustment_nv_fund",AG$3,$A17))</f>
        <v>1.6454546834999999</v>
      </c>
      <c r="AH17" s="13">
        <f>IF($A17="","",[1]!thsiFinD("ths_adjustment_nv_fund",AH$3,$A17))</f>
        <v>4.3759081784999996</v>
      </c>
      <c r="AI17" s="13">
        <f>IF($A17="","",[1]!thsiFinD("ths_adjustment_nv_fund",AI$3,$A17))</f>
        <v>4.8479044011000001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38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3.1370047024000001</v>
      </c>
      <c r="AD18" s="13">
        <f>IF($A18="","",[1]!thsiFinD("ths_adjustment_nv_fund",AD$3,$A18))</f>
        <v>1.7473000000000001</v>
      </c>
      <c r="AE18" s="13">
        <f>IF($A18="","",[1]!thsiFinD("ths_adjustment_nv_fund",AE$3,$A18))</f>
        <v>1.9262999999999999</v>
      </c>
      <c r="AF18" s="13">
        <f>IF($A18="","",[1]!thsiFinD("ths_adjustment_nv_fund",AF$3,$A18))</f>
        <v>3.3749969017999999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4.3976512703999999</v>
      </c>
      <c r="AI18" s="13">
        <f>IF($A18="","",[1]!thsiFinD("ths_adjustment_nv_fund",AI$3,$A18))</f>
        <v>4.7886082196000004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1.8554999999999999</v>
      </c>
    </row>
    <row r="19" spans="1:38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3.2311414632000002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3.3361144491000001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4.4000918215000002</v>
      </c>
      <c r="AI19" s="13">
        <f>IF($A19="","",[1]!thsiFinD("ths_adjustment_nv_fund",AI$3,$A19))</f>
        <v>4.7932762168999998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1.6684245421999999</v>
      </c>
      <c r="AL19" s="13">
        <f>IF($A19="","",[1]!thsiFinD("ths_adjustment_nv_fund",AL$3,$A19))</f>
        <v>1.8472</v>
      </c>
    </row>
    <row r="20" spans="1:38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1.7996000000000001</v>
      </c>
      <c r="AC20" s="13">
        <f>IF($A20="","",[1]!thsiFinD("ths_adjustment_nv_fund",AC$3,$A20))</f>
        <v>3.1927849680999998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4.4220567817000003</v>
      </c>
      <c r="AI20" s="13">
        <f>IF($A20="","",[1]!thsiFinD("ths_adjustment_nv_fund",AI$3,$A20))</f>
        <v>4.7647635848999998</v>
      </c>
      <c r="AJ20" s="13">
        <f>IF($A20="","",[1]!thsiFinD("ths_adjustment_nv_fund",AJ$3,$A20))</f>
        <v>1.8882614018999999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1.8474999999999999</v>
      </c>
    </row>
    <row r="21" spans="1:38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3.0369390198000001</v>
      </c>
      <c r="AD21" s="13">
        <f>IF($A21="","",[1]!thsiFinD("ths_adjustment_nv_fund",AD$3,$A21))</f>
        <v>1.6702999999999999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3.3081190829999998</v>
      </c>
      <c r="AG21" s="13">
        <f>IF($A21="","",[1]!thsiFinD("ths_adjustment_nv_fund",AG$3,$A21))</f>
        <v>1.6588664979000001</v>
      </c>
      <c r="AH21" s="13">
        <f>IF($A21="","",[1]!thsiFinD("ths_adjustment_nv_fund",AH$3,$A21))</f>
        <v>4.4171756793999997</v>
      </c>
      <c r="AI21" s="13">
        <f>IF($A21="","",[1]!thsiFinD("ths_adjustment_nv_fund",AI$3,$A21))</f>
        <v>4.7042057825999999</v>
      </c>
      <c r="AJ21" s="13">
        <f>IF($A21="","",[1]!thsiFinD("ths_adjustment_nv_fund",AJ$3,$A21))</f>
        <v>1.9180741184000001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1.8221000000000001</v>
      </c>
    </row>
    <row r="22" spans="1:38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3.1083280800000002</v>
      </c>
      <c r="AD22" s="13">
        <f>IF($A22="","",[1]!thsiFinD("ths_adjustment_nv_fund",AD$3,$A22))</f>
        <v>1.7089000000000001</v>
      </c>
      <c r="AE22" s="13">
        <f>IF($A22="","",[1]!thsiFinD("ths_adjustment_nv_fund",AE$3,$A22))</f>
        <v>1.8804000000000001</v>
      </c>
      <c r="AF22" s="13">
        <f>IF($A22="","",[1]!thsiFinD("ths_adjustment_nv_fund",AF$3,$A22))</f>
        <v>3.3812180942999999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4.4622149412000001</v>
      </c>
      <c r="AI22" s="13">
        <f>IF($A22="","",[1]!thsiFinD("ths_adjustment_nv_fund",AI$3,$A22))</f>
        <v>4.7717024997999999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1.8091999999999999</v>
      </c>
    </row>
    <row r="23" spans="1:38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3.0589607298999999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3.4278770376000001</v>
      </c>
      <c r="AG23" s="13">
        <f>IF($A23="","",[1]!thsiFinD("ths_adjustment_nv_fund",AG$3,$A23))</f>
        <v>1.7132135020999999</v>
      </c>
      <c r="AH23" s="13">
        <f>IF($A23="","",[1]!thsiFinD("ths_adjustment_nv_fund",AH$3,$A23))</f>
        <v>4.5083635443999999</v>
      </c>
      <c r="AI23" s="13">
        <f>IF($A23="","",[1]!thsiFinD("ths_adjustment_nv_fund",AI$3,$A23))</f>
        <v>4.8029906977000003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1.8098000000000001</v>
      </c>
    </row>
    <row r="24" spans="1:38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1.6907000000000001</v>
      </c>
      <c r="AC24" s="13">
        <f>IF($A24="","",[1]!thsiFinD("ths_adjustment_nv_fund",AC$3,$A24))</f>
        <v>2.9849097047000002</v>
      </c>
      <c r="AD24" s="13">
        <f>IF($A24="","",[1]!thsiFinD("ths_adjustment_nv_fund",AD$3,$A24))</f>
        <v>1.6386000000000001</v>
      </c>
      <c r="AE24" s="13">
        <f>IF($A24="","",[1]!thsiFinD("ths_adjustment_nv_fund",AE$3,$A24))</f>
        <v>1.8157000000000001</v>
      </c>
      <c r="AF24" s="13">
        <f>IF($A24="","",[1]!thsiFinD("ths_adjustment_nv_fund",AF$3,$A24))</f>
        <v>3.4185452490000001</v>
      </c>
      <c r="AG24" s="13">
        <f>IF($A24="","",[1]!thsiFinD("ths_adjustment_nv_fund",AG$3,$A24))</f>
        <v>1.7074989030000001</v>
      </c>
      <c r="AH24" s="13">
        <f>IF($A24="","",[1]!thsiFinD("ths_adjustment_nv_fund",AH$3,$A24))</f>
        <v>4.5303285045999999</v>
      </c>
      <c r="AI24" s="13">
        <f>IF($A24="","",[1]!thsiFinD("ths_adjustment_nv_fund",AI$3,$A24))</f>
        <v>4.7529043486999996</v>
      </c>
      <c r="AJ24" s="13">
        <f>IF($A24="","",[1]!thsiFinD("ths_adjustment_nv_fund",AJ$3,$A24))</f>
        <v>1.9390534374999999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1.8078000000000001</v>
      </c>
    </row>
    <row r="25" spans="1:38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1.6060000000000001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1.6988000000000001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4.4591087851999998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1.7283047974000001</v>
      </c>
      <c r="AL25" s="13">
        <f>IF($A25="","",[1]!thsiFinD("ths_adjustment_nv_fund",AL$3,$A25))</f>
        <v>1.7956000000000001</v>
      </c>
    </row>
    <row r="26" spans="1:38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2.7564647121000001</v>
      </c>
      <c r="AD26" s="13">
        <f>IF($A26="","",[1]!thsiFinD("ths_adjustment_nv_fund",AD$3,$A26))</f>
        <v>1.4849000000000001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3.4792018752999998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4.5057011249999999</v>
      </c>
      <c r="AI26" s="13">
        <f>IF($A26="","",[1]!thsiFinD("ths_adjustment_nv_fund",AI$3,$A26))</f>
        <v>4.7882297332999997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1.7658811916999999</v>
      </c>
      <c r="AL26" s="13">
        <f>IF($A26="","",[1]!thsiFinD("ths_adjustment_nv_fund",AL$3,$A26))</f>
        <v>1.7978000000000001</v>
      </c>
    </row>
    <row r="27" spans="1:38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2.9094066986999998</v>
      </c>
      <c r="AD27" s="13">
        <f>IF($A27="","",[1]!thsiFinD("ths_adjustment_nv_fund",AD$3,$A27))</f>
        <v>1.544</v>
      </c>
      <c r="AE27" s="13">
        <f>IF($A27="","",[1]!thsiFinD("ths_adjustment_nv_fund",AE$3,$A27))</f>
        <v>1.6787000000000001</v>
      </c>
      <c r="AF27" s="13">
        <f>IF($A27="","",[1]!thsiFinD("ths_adjustment_nv_fund",AF$3,$A27))</f>
        <v>3.5009760489000001</v>
      </c>
      <c r="AG27" s="13">
        <f>IF($A27="","",[1]!thsiFinD("ths_adjustment_nv_fund",AG$3,$A27))</f>
        <v>1.7314069197999999</v>
      </c>
      <c r="AH27" s="13">
        <f>IF($A27="","",[1]!thsiFinD("ths_adjustment_nv_fund",AH$3,$A27))</f>
        <v>4.5150195929999999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1.9686207818999999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38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1.6568000000000001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3.5911833393000001</v>
      </c>
      <c r="AG28" s="13">
        <f>IF($A28="","",[1]!thsiFinD("ths_adjustment_nv_fund",AG$3,$A28))</f>
        <v>1.7443522362999999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1.7543675332999999</v>
      </c>
      <c r="AL28" s="13">
        <f>IF($A28="","",[1]!thsiFinD("ths_adjustment_nv_fund",AL$3,$A28))</f>
        <v>1.8479000000000001</v>
      </c>
    </row>
    <row r="29" spans="1:38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2.8944028961999999</v>
      </c>
      <c r="AD29" s="13">
        <f>IF($A29="","",[1]!thsiFinD("ths_adjustment_nv_fund",AD$3,$A29))</f>
        <v>1.5439000000000001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3.6409528788999999</v>
      </c>
      <c r="AG29" s="13">
        <f>IF($A29="","",[1]!thsiFinD("ths_adjustment_nv_fund",AG$3,$A29))</f>
        <v>1.7598632911000001</v>
      </c>
      <c r="AH29" s="13">
        <f>IF($A29="","",[1]!thsiFinD("ths_adjustment_nv_fund",AH$3,$A29))</f>
        <v>4.5520715965000003</v>
      </c>
      <c r="AI29" s="13">
        <f>IF($A29="","",[1]!thsiFinD("ths_adjustment_nv_fund",AI$3,$A29))</f>
        <v>4.9094715001000004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1.8461000000000001</v>
      </c>
    </row>
    <row r="30" spans="1:38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1.6124000000000001</v>
      </c>
      <c r="AC30" s="13">
        <f>IF($A30="","",[1]!thsiFinD("ths_adjustment_nv_fund",AC$3,$A30))</f>
        <v>2.8204728695000001</v>
      </c>
      <c r="AD30" s="13">
        <f>IF($A30="","",[1]!thsiFinD("ths_adjustment_nv_fund",AD$3,$A30))</f>
        <v>1.5071000000000001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4.5012637592999996</v>
      </c>
      <c r="AI30" s="13">
        <f>IF($A30="","",[1]!thsiFinD("ths_adjustment_nv_fund",AI$3,$A30))</f>
        <v>4.8183824723999997</v>
      </c>
      <c r="AJ30" s="13">
        <f>IF($A30="","",[1]!thsiFinD("ths_adjustment_nv_fund",AJ$3,$A30))</f>
        <v>1.9729147946000001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1.8134999999999999</v>
      </c>
    </row>
    <row r="31" spans="1:38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2.9195705648999999</v>
      </c>
      <c r="AD31" s="13">
        <f>IF($A31="","",[1]!thsiFinD("ths_adjustment_nv_fund",AD$3,$A31))</f>
        <v>1.5617000000000001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3.5927386374000001</v>
      </c>
      <c r="AG31" s="13">
        <f>IF($A31="","",[1]!thsiFinD("ths_adjustment_nv_fund",AG$3,$A31))</f>
        <v>1.7370048945000001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1.8381000000000001</v>
      </c>
    </row>
    <row r="32" spans="1:38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1.6036999999999999</v>
      </c>
      <c r="AC32" s="13">
        <f>IF($A32="","",[1]!thsiFinD("ths_adjustment_nv_fund",AC$3,$A32))</f>
        <v>2.7951842024000002</v>
      </c>
      <c r="AD32" s="13">
        <f>IF($A32="","",[1]!thsiFinD("ths_adjustment_nv_fund",AD$3,$A32))</f>
        <v>1.5204</v>
      </c>
      <c r="AE32" s="13">
        <f>IF($A32="","",[1]!thsiFinD("ths_adjustment_nv_fund",AE$3,$A32))</f>
        <v>1.6829000000000001</v>
      </c>
      <c r="AF32" s="13">
        <f>IF($A32="","",[1]!thsiFinD("ths_adjustment_nv_fund",AF$3,$A32))</f>
        <v>3.5911833393000001</v>
      </c>
      <c r="AG32" s="13">
        <f>IF($A32="","",[1]!thsiFinD("ths_adjustment_nv_fund",AG$3,$A32))</f>
        <v>1.7440023629000001</v>
      </c>
      <c r="AH32" s="13">
        <f>IF($A32="","",[1]!thsiFinD("ths_adjustment_nv_fund",AH$3,$A32))</f>
        <v>4.5298847679999996</v>
      </c>
      <c r="AI32" s="13">
        <f>IF($A32="","",[1]!thsiFinD("ths_adjustment_nv_fund",AI$3,$A32))</f>
        <v>4.8456334835000003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38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1.6204000000000001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3.6829459279000001</v>
      </c>
      <c r="AG33" s="13">
        <f>IF($A33="","",[1]!thsiFinD("ths_adjustment_nv_fund",AG$3,$A33))</f>
        <v>1.7746745991999999</v>
      </c>
      <c r="AH33" s="13">
        <f>IF($A33="","",[1]!thsiFinD("ths_adjustment_nv_fund",AH$3,$A33))</f>
        <v>4.6002170143000001</v>
      </c>
      <c r="AI33" s="13">
        <f>IF($A33="","",[1]!thsiFinD("ths_adjustment_nv_fund",AI$3,$A33))</f>
        <v>4.9082098792000002</v>
      </c>
      <c r="AJ33" s="13">
        <f>IF($A33="","",[1]!thsiFinD("ths_adjustment_nv_fund",AJ$3,$A33))</f>
        <v>2.0098433035999999</v>
      </c>
      <c r="AK33" s="13">
        <f>IF($A33="","",[1]!thsiFinD("ths_adjustment_nv_fund",AK$3,$A33))</f>
        <v>1.7877571427000001</v>
      </c>
      <c r="AL33" s="13">
        <f>IF($A33="","",[1]!thsiFinD("ths_adjustment_nv_fund",AL$3,$A33))</f>
        <v>1.8134999999999999</v>
      </c>
    </row>
    <row r="34" spans="1:38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1.5770999999999999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1.4783999999999999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3.7218283806999999</v>
      </c>
      <c r="AG34" s="13">
        <f>IF($A34="","",[1]!thsiFinD("ths_adjustment_nv_fund",AG$3,$A34))</f>
        <v>1.8033642193999999</v>
      </c>
      <c r="AH34" s="13">
        <f>IF($A34="","",[1]!thsiFinD("ths_adjustment_nv_fund",AH$3,$A34))</f>
        <v>4.5904548097999998</v>
      </c>
      <c r="AI34" s="13">
        <f>IF($A34="","",[1]!thsiFinD("ths_adjustment_nv_fund",AI$3,$A34))</f>
        <v>4.9083360413000001</v>
      </c>
      <c r="AJ34" s="13">
        <f>IF($A34="","",[1]!thsiFinD("ths_adjustment_nv_fund",AJ$3,$A34))</f>
        <v>2.0407601947999998</v>
      </c>
      <c r="AK34" s="13">
        <f>IF($A34="","",[1]!thsiFinD("ths_adjustment_nv_fund",AK$3,$A34))</f>
        <v>1.8145525658999999</v>
      </c>
      <c r="AL34" s="13">
        <f>IF($A34="","",[1]!thsiFinD("ths_adjustment_nv_fund",AL$3,$A34))</f>
        <v>1.8093999999999999</v>
      </c>
    </row>
    <row r="35" spans="1:38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2.8014761196000002</v>
      </c>
      <c r="AD35" s="13">
        <f>IF($A35="","",[1]!thsiFinD("ths_adjustment_nv_fund",AD$3,$A35))</f>
        <v>1.5179</v>
      </c>
      <c r="AE35" s="13">
        <f>IF($A35="","",[1]!thsiFinD("ths_adjustment_nv_fund",AE$3,$A35))</f>
        <v>1.6888000000000001</v>
      </c>
      <c r="AF35" s="13">
        <f>IF($A35="","",[1]!thsiFinD("ths_adjustment_nv_fund",AF$3,$A35))</f>
        <v>3.7218283806999999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4.5864611805999997</v>
      </c>
      <c r="AI35" s="13">
        <f>IF($A35="","",[1]!thsiFinD("ths_adjustment_nv_fund",AI$3,$A35))</f>
        <v>4.9021540989999997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1.8055509783999999</v>
      </c>
      <c r="AL35" s="13">
        <f>IF($A35="","",[1]!thsiFinD("ths_adjustment_nv_fund",AL$3,$A35))</f>
        <v>1.8223</v>
      </c>
    </row>
    <row r="36" spans="1:38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2.7826003680000002</v>
      </c>
      <c r="AD36" s="13">
        <f>IF($A36="","",[1]!thsiFinD("ths_adjustment_nv_fund",AD$3,$A36))</f>
        <v>1.5235000000000001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1.7910020253000001</v>
      </c>
      <c r="AH36" s="13">
        <f>IF($A36="","",[1]!thsiFinD("ths_adjustment_nv_fund",AH$3,$A36))</f>
        <v>4.5971108582999998</v>
      </c>
      <c r="AI36" s="13">
        <f>IF($A36="","",[1]!thsiFinD("ths_adjustment_nv_fund",AI$3,$A36))</f>
        <v>4.8940797253000001</v>
      </c>
      <c r="AJ36" s="13">
        <f>IF($A36="","",[1]!thsiFinD("ths_adjustment_nv_fund",AJ$3,$A36))</f>
        <v>2.0357300657000001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1.8192999999999999</v>
      </c>
    </row>
    <row r="37" spans="1:38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1.6380999999999999</v>
      </c>
      <c r="AC37" s="13">
        <f>IF($A37="","",[1]!thsiFinD("ths_adjustment_nv_fund",AC$3,$A37))</f>
        <v>2.8831500443000002</v>
      </c>
      <c r="AD37" s="13">
        <f>IF($A37="","",[1]!thsiFinD("ths_adjustment_nv_fund",AD$3,$A37))</f>
        <v>1.5696000000000001</v>
      </c>
      <c r="AE37" s="13">
        <f>IF($A37="","",[1]!thsiFinD("ths_adjustment_nv_fund",AE$3,$A37))</f>
        <v>1.7452000000000001</v>
      </c>
      <c r="AF37" s="13">
        <f>IF($A37="","",[1]!thsiFinD("ths_adjustment_nv_fund",AF$3,$A37))</f>
        <v>3.6549505618999998</v>
      </c>
      <c r="AG37" s="13">
        <f>IF($A37="","",[1]!thsiFinD("ths_adjustment_nv_fund",AG$3,$A37))</f>
        <v>1.7743247257000001</v>
      </c>
      <c r="AH37" s="13">
        <f>IF($A37="","",[1]!thsiFinD("ths_adjustment_nv_fund",AH$3,$A37))</f>
        <v>4.6128635065000001</v>
      </c>
      <c r="AI37" s="13">
        <f>IF($A37="","",[1]!thsiFinD("ths_adjustment_nv_fund",AI$3,$A37))</f>
        <v>4.8779309781000002</v>
      </c>
      <c r="AJ37" s="13">
        <f>IF($A37="","",[1]!thsiFinD("ths_adjustment_nv_fund",AJ$3,$A37))</f>
        <v>1.9946302301000001</v>
      </c>
      <c r="AK37" s="13">
        <f>IF($A37="","",[1]!thsiFinD("ths_adjustment_nv_fund",AK$3,$A37))</f>
        <v>1.7773948501000001</v>
      </c>
      <c r="AL37" s="13">
        <f>IF($A37="","",[1]!thsiFinD("ths_adjustment_nv_fund",AL$3,$A37))</f>
        <v>1.8186</v>
      </c>
    </row>
    <row r="38" spans="1:38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2.9841837142999998</v>
      </c>
      <c r="AD38" s="13">
        <f>IF($A38="","",[1]!thsiFinD("ths_adjustment_nv_fund",AD$3,$A38))</f>
        <v>1.6207</v>
      </c>
      <c r="AE38" s="13">
        <f>IF($A38="","",[1]!thsiFinD("ths_adjustment_nv_fund",AE$3,$A38))</f>
        <v>1.7952999999999999</v>
      </c>
      <c r="AF38" s="13">
        <f>IF($A38="","",[1]!thsiFinD("ths_adjustment_nv_fund",AF$3,$A38))</f>
        <v>3.7156071881999999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4.6073167994000004</v>
      </c>
      <c r="AI38" s="13">
        <f>IF($A38="","",[1]!thsiFinD("ths_adjustment_nv_fund",AI$3,$A38))</f>
        <v>4.9306667308999996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1.7575076220000001</v>
      </c>
      <c r="AL38" s="13">
        <f>IF($A38="","",[1]!thsiFinD("ths_adjustment_nv_fund",AL$3,$A38))</f>
        <v>1.8647</v>
      </c>
    </row>
    <row r="39" spans="1:38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1.6839999999999999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1.6395999999999999</v>
      </c>
      <c r="AE39" s="13">
        <f>IF($A39="","",[1]!thsiFinD("ths_adjustment_nv_fund",AE$3,$A39))</f>
        <v>1.8190999999999999</v>
      </c>
      <c r="AF39" s="13">
        <f>IF($A39="","",[1]!thsiFinD("ths_adjustment_nv_fund",AF$3,$A39))</f>
        <v>3.7544896410000002</v>
      </c>
      <c r="AG39" s="13">
        <f>IF($A39="","",[1]!thsiFinD("ths_adjustment_nv_fund",AG$3,$A39))</f>
        <v>1.7821385653999999</v>
      </c>
      <c r="AH39" s="13">
        <f>IF($A39="","",[1]!thsiFinD("ths_adjustment_nv_fund",AH$3,$A39))</f>
        <v>4.5793613955000003</v>
      </c>
      <c r="AI39" s="13">
        <f>IF($A39="","",[1]!thsiFinD("ths_adjustment_nv_fund",AI$3,$A39))</f>
        <v>4.9579177420000002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1.9001999999999999</v>
      </c>
    </row>
    <row r="40" spans="1:38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1.6739999999999999</v>
      </c>
      <c r="AE40" s="13">
        <f>IF($A40="","",[1]!thsiFinD("ths_adjustment_nv_fund",AE$3,$A40))</f>
        <v>1.8498000000000001</v>
      </c>
      <c r="AF40" s="13">
        <f>IF($A40="","",[1]!thsiFinD("ths_adjustment_nv_fund",AF$3,$A40))</f>
        <v>3.7544896410000002</v>
      </c>
      <c r="AG40" s="13">
        <f>IF($A40="","",[1]!thsiFinD("ths_adjustment_nv_fund",AG$3,$A40))</f>
        <v>1.7693098733999999</v>
      </c>
      <c r="AH40" s="13">
        <f>IF($A40="","",[1]!thsiFinD("ths_adjustment_nv_fund",AH$3,$A40))</f>
        <v>4.6228475793000001</v>
      </c>
      <c r="AI40" s="13">
        <f>IF($A40="","",[1]!thsiFinD("ths_adjustment_nv_fund",AI$3,$A40))</f>
        <v>4.9564037969000001</v>
      </c>
      <c r="AJ40" s="13">
        <f>IF($A40="","",[1]!thsiFinD("ths_adjustment_nv_fund",AJ$3,$A40))</f>
        <v>1.9641795826999999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1.9184000000000001</v>
      </c>
    </row>
    <row r="41" spans="1:38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3.8275886522999998</v>
      </c>
      <c r="AG41" s="13">
        <f>IF($A41="","",[1]!thsiFinD("ths_adjustment_nv_fund",AG$3,$A41))</f>
        <v>1.7959002531999999</v>
      </c>
      <c r="AH41" s="13">
        <f>IF($A41="","",[1]!thsiFinD("ths_adjustment_nv_fund",AH$3,$A41))</f>
        <v>4.6399314371999996</v>
      </c>
      <c r="AI41" s="13">
        <f>IF($A41="","",[1]!thsiFinD("ths_adjustment_nv_fund",AI$3,$A41))</f>
        <v>4.9948832338000004</v>
      </c>
      <c r="AJ41" s="13">
        <f>IF($A41="","",[1]!thsiFinD("ths_adjustment_nv_fund",AJ$3,$A41))</f>
        <v>1.9721790610000001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38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3.0775944846000001</v>
      </c>
      <c r="AD42" s="13">
        <f>IF($A42="","",[1]!thsiFinD("ths_adjustment_nv_fund",AD$3,$A42))</f>
        <v>1.673</v>
      </c>
      <c r="AE42" s="13">
        <f>IF($A42="","",[1]!thsiFinD("ths_adjustment_nv_fund",AE$3,$A42))</f>
        <v>1.8521000000000001</v>
      </c>
      <c r="AF42" s="13">
        <f>IF($A42="","",[1]!thsiFinD("ths_adjustment_nv_fund",AF$3,$A42))</f>
        <v>3.7700426221000001</v>
      </c>
      <c r="AG42" s="13">
        <f>IF($A42="","",[1]!thsiFinD("ths_adjustment_nv_fund",AG$3,$A42))</f>
        <v>1.7922848945000001</v>
      </c>
      <c r="AH42" s="13">
        <f>IF($A42="","",[1]!thsiFinD("ths_adjustment_nv_fund",AH$3,$A42))</f>
        <v>4.6190758184999998</v>
      </c>
      <c r="AI42" s="13">
        <f>IF($A42="","",[1]!thsiFinD("ths_adjustment_nv_fund",AI$3,$A42))</f>
        <v>4.9625857391999997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1.9487000000000001</v>
      </c>
    </row>
    <row r="43" spans="1:38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1.7285999999999999</v>
      </c>
      <c r="AC43" s="13">
        <f>IF($A43="","",[1]!thsiFinD("ths_adjustment_nv_fund",AC$3,$A43))</f>
        <v>3.1204279207000001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3.7980379880999999</v>
      </c>
      <c r="AG43" s="13">
        <f>IF($A43="","",[1]!thsiFinD("ths_adjustment_nv_fund",AG$3,$A43))</f>
        <v>1.7856372996000001</v>
      </c>
      <c r="AH43" s="13">
        <f>IF($A43="","",[1]!thsiFinD("ths_adjustment_nv_fund",AH$3,$A43))</f>
        <v>4.6244006572999998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1.9650410650000001</v>
      </c>
      <c r="AK43" s="13">
        <f>IF($A43="","",[1]!thsiFinD("ths_adjustment_nv_fund",AK$3,$A43))</f>
        <v>1.7485060345000001</v>
      </c>
      <c r="AL43" s="13">
        <f>IF($A43="","",[1]!thsiFinD("ths_adjustment_nv_fund",AL$3,$A43))</f>
        <v>1.9658</v>
      </c>
    </row>
    <row r="44" spans="1:38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3.0869113618999999</v>
      </c>
      <c r="AD44" s="13">
        <f>IF($A44="","",[1]!thsiFinD("ths_adjustment_nv_fund",AD$3,$A44))</f>
        <v>1.6858</v>
      </c>
      <c r="AE44" s="13">
        <f>IF($A44="","",[1]!thsiFinD("ths_adjustment_nv_fund",AE$3,$A44))</f>
        <v>1.8557999999999999</v>
      </c>
      <c r="AF44" s="13">
        <f>IF($A44="","",[1]!thsiFinD("ths_adjustment_nv_fund",AF$3,$A44))</f>
        <v>3.7482684486000002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4.6266193402000004</v>
      </c>
      <c r="AI44" s="13">
        <f>IF($A44="","",[1]!thsiFinD("ths_adjustment_nv_fund",AI$3,$A44))</f>
        <v>4.9242324644000002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1.7462033027999999</v>
      </c>
      <c r="AL44" s="13">
        <f>IF($A44="","",[1]!thsiFinD("ths_adjustment_nv_fund",AL$3,$A44))</f>
        <v>1.9550000000000001</v>
      </c>
    </row>
    <row r="45" spans="1:38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1.7181999999999999</v>
      </c>
      <c r="AC45" s="13">
        <f>IF($A45="","",[1]!thsiFinD("ths_adjustment_nv_fund",AC$3,$A45))</f>
        <v>3.1232108840000001</v>
      </c>
      <c r="AD45" s="13">
        <f>IF($A45="","",[1]!thsiFinD("ths_adjustment_nv_fund",AD$3,$A45))</f>
        <v>1.7001999999999999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3.7482684486000002</v>
      </c>
      <c r="AG45" s="13">
        <f>IF($A45="","",[1]!thsiFinD("ths_adjustment_nv_fund",AG$3,$A45))</f>
        <v>1.7694264979000001</v>
      </c>
      <c r="AH45" s="13">
        <f>IF($A45="","",[1]!thsiFinD("ths_adjustment_nv_fund",AH$3,$A45))</f>
        <v>4.6277286815999998</v>
      </c>
      <c r="AI45" s="13">
        <f>IF($A45="","",[1]!thsiFinD("ths_adjustment_nv_fund",AI$3,$A45))</f>
        <v>4.9122470659999999</v>
      </c>
      <c r="AJ45" s="13">
        <f>IF($A45="","",[1]!thsiFinD("ths_adjustment_nv_fund",AJ$3,$A45))</f>
        <v>1.9566723800000001</v>
      </c>
      <c r="AK45" s="13">
        <f>IF($A45="","",[1]!thsiFinD("ths_adjustment_nv_fund",AK$3,$A45))</f>
        <v>1.7379344027000001</v>
      </c>
      <c r="AL45" s="13">
        <f>IF($A45="","",[1]!thsiFinD("ths_adjustment_nv_fund",AL$3,$A45))</f>
        <v>1.9333</v>
      </c>
    </row>
    <row r="46" spans="1:38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3.2146856798000001</v>
      </c>
      <c r="AD46" s="13">
        <f>IF($A46="","",[1]!thsiFinD("ths_adjustment_nv_fund",AD$3,$A46))</f>
        <v>1.7491000000000001</v>
      </c>
      <c r="AE46" s="13">
        <f>IF($A46="","",[1]!thsiFinD("ths_adjustment_nv_fund",AE$3,$A46))</f>
        <v>1.9329000000000001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4.6368252813000002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1.9601183091000001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38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1.7589999999999999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1.9323999999999999</v>
      </c>
      <c r="AF47" s="13">
        <f>IF($A47="","",[1]!thsiFinD("ths_adjustment_nv_fund",AF$3,$A47))</f>
        <v>3.7980379880999999</v>
      </c>
      <c r="AG47" s="13">
        <f>IF($A47="","",[1]!thsiFinD("ths_adjustment_nv_fund",AG$3,$A47))</f>
        <v>1.7914685232000001</v>
      </c>
      <c r="AH47" s="13">
        <f>IF($A47="","",[1]!thsiFinD("ths_adjustment_nv_fund",AH$3,$A47))</f>
        <v>4.6434813298000002</v>
      </c>
      <c r="AI47" s="13">
        <f>IF($A47="","",[1]!thsiFinD("ths_adjustment_nv_fund",AI$3,$A47))</f>
        <v>4.9772205415000004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1.7356316709999999</v>
      </c>
      <c r="AL47" s="13">
        <f>IF($A47="","",[1]!thsiFinD("ths_adjustment_nv_fund",AL$3,$A47))</f>
        <v>1.9617</v>
      </c>
    </row>
    <row r="48" spans="1:38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3.0631956741000002</v>
      </c>
      <c r="AD48" s="13">
        <f>IF($A48="","",[1]!thsiFinD("ths_adjustment_nv_fund",AD$3,$A48))</f>
        <v>1.6559999999999999</v>
      </c>
      <c r="AE48" s="13">
        <f>IF($A48="","",[1]!thsiFinD("ths_adjustment_nv_fund",AE$3,$A48))</f>
        <v>1.8340000000000001</v>
      </c>
      <c r="AF48" s="13">
        <f>IF($A48="","",[1]!thsiFinD("ths_adjustment_nv_fund",AF$3,$A48))</f>
        <v>3.7964826899999999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4.6053199848000004</v>
      </c>
      <c r="AI48" s="13">
        <f>IF($A48="","",[1]!thsiFinD("ths_adjustment_nv_fund",AI$3,$A48))</f>
        <v>4.9232231676999998</v>
      </c>
      <c r="AJ48" s="13">
        <f>IF($A48="","",[1]!thsiFinD("ths_adjustment_nv_fund",AJ$3,$A48))</f>
        <v>1.9906393953999999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1.9400999999999999</v>
      </c>
    </row>
    <row r="49" spans="1:38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3.0759005069000001</v>
      </c>
      <c r="AD49" s="13">
        <f>IF($A49="","",[1]!thsiFinD("ths_adjustment_nv_fund",AD$3,$A49))</f>
        <v>1.6726000000000001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3.8384757390000002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4.6175227405000001</v>
      </c>
      <c r="AI49" s="13">
        <f>IF($A49="","",[1]!thsiFinD("ths_adjustment_nv_fund",AI$3,$A49))</f>
        <v>4.9267557061999998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38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3.0835234064999999</v>
      </c>
      <c r="AD50" s="13">
        <f>IF($A50="","",[1]!thsiFinD("ths_adjustment_nv_fund",AD$3,$A50))</f>
        <v>1.6803999999999999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4.9273865166000004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38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1.6645000000000001</v>
      </c>
      <c r="AC51" s="13">
        <f>IF($A51="","",[1]!thsiFinD("ths_adjustment_nv_fund",AC$3,$A51))</f>
        <v>3.0374230134000002</v>
      </c>
      <c r="AD51" s="13">
        <f>IF($A51="","",[1]!thsiFinD("ths_adjustment_nv_fund",AD$3,$A51))</f>
        <v>1.6569</v>
      </c>
      <c r="AE51" s="13">
        <f>IF($A51="","",[1]!thsiFinD("ths_adjustment_nv_fund",AE$3,$A51))</f>
        <v>1.8475999999999999</v>
      </c>
      <c r="AF51" s="13">
        <f>IF($A51="","",[1]!thsiFinD("ths_adjustment_nv_fund",AF$3,$A51))</f>
        <v>3.8322545466000002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4.5500747819000003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2.0638999999999998</v>
      </c>
    </row>
    <row r="52" spans="1:38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1.6625000000000001</v>
      </c>
      <c r="AC52" s="13">
        <f>IF($A52="","",[1]!thsiFinD("ths_adjustment_nv_fund",AC$3,$A52))</f>
        <v>3.0305261041999998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3.8182568635999998</v>
      </c>
      <c r="AG52" s="13">
        <f>IF($A52="","",[1]!thsiFinD("ths_adjustment_nv_fund",AG$3,$A52))</f>
        <v>1.8033642193999999</v>
      </c>
      <c r="AH52" s="13">
        <f>IF($A52="","",[1]!thsiFinD("ths_adjustment_nv_fund",AH$3,$A52))</f>
        <v>4.5753677664000003</v>
      </c>
      <c r="AI52" s="13">
        <f>IF($A52="","",[1]!thsiFinD("ths_adjustment_nv_fund",AI$3,$A52))</f>
        <v>4.9217092226999997</v>
      </c>
      <c r="AJ52" s="13">
        <f>IF($A52="","",[1]!thsiFinD("ths_adjustment_nv_fund",AJ$3,$A52))</f>
        <v>2.0089766609000002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2.0602999999999998</v>
      </c>
    </row>
    <row r="53" spans="1:38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1.6741999999999999</v>
      </c>
      <c r="AC53" s="13">
        <f>IF($A53="","",[1]!thsiFinD("ths_adjustment_nv_fund",AC$3,$A53))</f>
        <v>3.0431099384999998</v>
      </c>
      <c r="AD53" s="13">
        <f>IF($A53="","",[1]!thsiFinD("ths_adjustment_nv_fund",AD$3,$A53))</f>
        <v>1.6667000000000001</v>
      </c>
      <c r="AE53" s="13">
        <f>IF($A53="","",[1]!thsiFinD("ths_adjustment_nv_fund",AE$3,$A53))</f>
        <v>1.8556999999999999</v>
      </c>
      <c r="AF53" s="13">
        <f>IF($A53="","",[1]!thsiFinD("ths_adjustment_nv_fund",AF$3,$A53))</f>
        <v>3.8493628258000001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4.5786957907000003</v>
      </c>
      <c r="AI53" s="13">
        <f>IF($A53="","",[1]!thsiFinD("ths_adjustment_nv_fund",AI$3,$A53))</f>
        <v>4.9640996842999998</v>
      </c>
      <c r="AJ53" s="13">
        <f>IF($A53="","",[1]!thsiFinD("ths_adjustment_nv_fund",AJ$3,$A53))</f>
        <v>2.0154993123999998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2.0556999999999999</v>
      </c>
    </row>
    <row r="54" spans="1:38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3.1204279207000001</v>
      </c>
      <c r="AD54" s="13">
        <f>IF($A54="","",[1]!thsiFinD("ths_adjustment_nv_fund",AD$3,$A54))</f>
        <v>1.708</v>
      </c>
      <c r="AE54" s="13">
        <f>IF($A54="","",[1]!thsiFinD("ths_adjustment_nv_fund",AE$3,$A54))</f>
        <v>1.8886000000000001</v>
      </c>
      <c r="AF54" s="13">
        <f>IF($A54="","",[1]!thsiFinD("ths_adjustment_nv_fund",AF$3,$A54))</f>
        <v>3.9037982596999998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4.6082042725000001</v>
      </c>
      <c r="AI54" s="13">
        <f>IF($A54="","",[1]!thsiFinD("ths_adjustment_nv_fund",AI$3,$A54))</f>
        <v>5.0288208355000004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38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1.7000999999999999</v>
      </c>
      <c r="AC55" s="13">
        <f>IF($A55="","",[1]!thsiFinD("ths_adjustment_nv_fund",AC$3,$A55))</f>
        <v>3.1055451166000001</v>
      </c>
      <c r="AD55" s="13">
        <f>IF($A55="","",[1]!thsiFinD("ths_adjustment_nv_fund",AD$3,$A55))</f>
        <v>1.7065999999999999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3.9131300483999998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4.6212945013000004</v>
      </c>
      <c r="AI55" s="13">
        <f>IF($A55="","",[1]!thsiFinD("ths_adjustment_nv_fund",AI$3,$A55))</f>
        <v>5.0578381158000001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2.0449999999999999</v>
      </c>
    </row>
    <row r="56" spans="1:38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1.7122999999999999</v>
      </c>
      <c r="AC56" s="13">
        <f>IF($A56="","",[1]!thsiFinD("ths_adjustment_nv_fund",AC$3,$A56))</f>
        <v>3.1528554938000002</v>
      </c>
      <c r="AD56" s="13">
        <f>IF($A56="","",[1]!thsiFinD("ths_adjustment_nv_fund",AD$3,$A56))</f>
        <v>1.7323999999999999</v>
      </c>
      <c r="AE56" s="13">
        <f>IF($A56="","",[1]!thsiFinD("ths_adjustment_nv_fund",AE$3,$A56))</f>
        <v>1.9001999999999999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1.8163095359000001</v>
      </c>
      <c r="AH56" s="13">
        <f>IF($A56="","",[1]!thsiFinD("ths_adjustment_nv_fund",AH$3,$A56))</f>
        <v>4.6479186954999996</v>
      </c>
      <c r="AI56" s="13">
        <f>IF($A56="","",[1]!thsiFinD("ths_adjustment_nv_fund",AI$3,$A56))</f>
        <v>5.0767624291000004</v>
      </c>
      <c r="AJ56" s="13">
        <f>IF($A56="","",[1]!thsiFinD("ths_adjustment_nv_fund",AJ$3,$A56))</f>
        <v>2.0223911706000002</v>
      </c>
      <c r="AK56" s="13">
        <f>IF($A56="","",[1]!thsiFinD("ths_adjustment_nv_fund",AK$3,$A56))</f>
        <v>1.7528807071000001</v>
      </c>
      <c r="AL56" s="13">
        <f>IF($A56="","",[1]!thsiFinD("ths_adjustment_nv_fund",AL$3,$A56))</f>
        <v>1.9743999999999999</v>
      </c>
    </row>
    <row r="57" spans="1:38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1.6928000000000001</v>
      </c>
      <c r="AC57" s="13">
        <f>IF($A57="","",[1]!thsiFinD("ths_adjustment_nv_fund",AC$3,$A57))</f>
        <v>3.1151039907999998</v>
      </c>
      <c r="AD57" s="13">
        <f>IF($A57="","",[1]!thsiFinD("ths_adjustment_nv_fund",AD$3,$A57))</f>
        <v>1.7144999999999999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3.8478075277000001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4.6550184805999999</v>
      </c>
      <c r="AI57" s="13">
        <f>IF($A57="","",[1]!thsiFinD("ths_adjustment_nv_fund",AI$3,$A57))</f>
        <v>5.0642723823000004</v>
      </c>
      <c r="AJ57" s="13">
        <f>IF($A57="","",[1]!thsiFinD("ths_adjustment_nv_fund",AJ$3,$A57))</f>
        <v>2.0450358474999999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38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1.6662999999999999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1.6961999999999999</v>
      </c>
      <c r="AE58" s="13">
        <f>IF($A58="","",[1]!thsiFinD("ths_adjustment_nv_fund",AE$3,$A58))</f>
        <v>1.8702000000000001</v>
      </c>
      <c r="AF58" s="13">
        <f>IF($A58="","",[1]!thsiFinD("ths_adjustment_nv_fund",AF$3,$A58))</f>
        <v>3.7731532184000001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4.6173008722000004</v>
      </c>
      <c r="AI58" s="13">
        <f>IF($A58="","",[1]!thsiFinD("ths_adjustment_nv_fund",AI$3,$A58))</f>
        <v>5.0154476541999999</v>
      </c>
      <c r="AJ58" s="13">
        <f>IF($A58="","",[1]!thsiFinD("ths_adjustment_nv_fund",AJ$3,$A58))</f>
        <v>2.0340827156999999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1.9226000000000001</v>
      </c>
    </row>
    <row r="59" spans="1:38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1.6718999999999999</v>
      </c>
      <c r="AC59" s="13">
        <f>IF($A59="","",[1]!thsiFinD("ths_adjustment_nv_fund",AC$3,$A59))</f>
        <v>3.0791674638000002</v>
      </c>
      <c r="AD59" s="13">
        <f>IF($A59="","",[1]!thsiFinD("ths_adjustment_nv_fund",AD$3,$A59))</f>
        <v>1.7004999999999999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3.8306992485000002</v>
      </c>
      <c r="AG59" s="13">
        <f>IF($A59="","",[1]!thsiFinD("ths_adjustment_nv_fund",AG$3,$A59))</f>
        <v>1.8033642193999999</v>
      </c>
      <c r="AH59" s="13">
        <f>IF($A59="","",[1]!thsiFinD("ths_adjustment_nv_fund",AH$3,$A59))</f>
        <v>4.6070949310999998</v>
      </c>
      <c r="AI59" s="13">
        <f>IF($A59="","",[1]!thsiFinD("ths_adjustment_nv_fund",AI$3,$A59))</f>
        <v>5.0440864481999999</v>
      </c>
      <c r="AJ59" s="13">
        <f>IF($A59="","",[1]!thsiFinD("ths_adjustment_nv_fund",AJ$3,$A59))</f>
        <v>2.0318607538000002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38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1.6506000000000001</v>
      </c>
      <c r="AC60" s="13">
        <f>IF($A60="","",[1]!thsiFinD("ths_adjustment_nv_fund",AC$3,$A60))</f>
        <v>3.0354870388999999</v>
      </c>
      <c r="AD60" s="13">
        <f>IF($A60="","",[1]!thsiFinD("ths_adjustment_nv_fund",AD$3,$A60))</f>
        <v>1.6791</v>
      </c>
      <c r="AE60" s="13">
        <f>IF($A60="","",[1]!thsiFinD("ths_adjustment_nv_fund",AE$3,$A60))</f>
        <v>1.8539000000000001</v>
      </c>
      <c r="AF60" s="13">
        <f>IF($A60="","",[1]!thsiFinD("ths_adjustment_nv_fund",AF$3,$A60))</f>
        <v>3.8291439504000002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4.6321660473000001</v>
      </c>
      <c r="AI60" s="13">
        <f>IF($A60="","",[1]!thsiFinD("ths_adjustment_nv_fund",AI$3,$A60))</f>
        <v>5.0413108823000004</v>
      </c>
      <c r="AJ60" s="13">
        <f>IF($A60="","",[1]!thsiFinD("ths_adjustment_nv_fund",AJ$3,$A60))</f>
        <v>2.0407486014999998</v>
      </c>
      <c r="AK60" s="13">
        <f>IF($A60="","",[1]!thsiFinD("ths_adjustment_nv_fund",AK$3,$A60))</f>
        <v>1.7664485464999999</v>
      </c>
      <c r="AL60" s="13">
        <f>IF($A60="","",[1]!thsiFinD("ths_adjustment_nv_fund",AL$3,$A60))</f>
        <v>1.9803999999999999</v>
      </c>
    </row>
    <row r="61" spans="1:38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1.6725000000000001</v>
      </c>
      <c r="AC61" s="13">
        <f>IF($A61="","",[1]!thsiFinD("ths_adjustment_nv_fund",AC$3,$A61))</f>
        <v>3.0769894925000001</v>
      </c>
      <c r="AD61" s="13">
        <f>IF($A61="","",[1]!thsiFinD("ths_adjustment_nv_fund",AD$3,$A61))</f>
        <v>1.7051000000000001</v>
      </c>
      <c r="AE61" s="13">
        <f>IF($A61="","",[1]!thsiFinD("ths_adjustment_nv_fund",AE$3,$A61))</f>
        <v>1.8777999999999999</v>
      </c>
      <c r="AF61" s="13">
        <f>IF($A61="","",[1]!thsiFinD("ths_adjustment_nv_fund",AF$3,$A61))</f>
        <v>3.7638214297000001</v>
      </c>
      <c r="AG61" s="13">
        <f>IF($A61="","",[1]!thsiFinD("ths_adjustment_nv_fund",AG$3,$A61))</f>
        <v>1.7918183966000001</v>
      </c>
      <c r="AH61" s="13">
        <f>IF($A61="","",[1]!thsiFinD("ths_adjustment_nv_fund",AH$3,$A61))</f>
        <v>4.6412626468999996</v>
      </c>
      <c r="AI61" s="13">
        <f>IF($A61="","",[1]!thsiFinD("ths_adjustment_nv_fund",AI$3,$A61))</f>
        <v>4.9899629124000002</v>
      </c>
      <c r="AJ61" s="13">
        <f>IF($A61="","",[1]!thsiFinD("ths_adjustment_nv_fund",AJ$3,$A61))</f>
        <v>2.0223556943999998</v>
      </c>
      <c r="AK61" s="13">
        <f>IF($A61="","",[1]!thsiFinD("ths_adjustment_nv_fund",AK$3,$A61))</f>
        <v>1.7543531858000001</v>
      </c>
      <c r="AL61" s="13">
        <f>IF($A61="","",[1]!thsiFinD("ths_adjustment_nv_fund",AL$3,$A61))</f>
        <v>1.9505999999999999</v>
      </c>
    </row>
    <row r="62" spans="1:38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3.0813454351999998</v>
      </c>
      <c r="AD62" s="13">
        <f>IF($A62="","",[1]!thsiFinD("ths_adjustment_nv_fund",AD$3,$A62))</f>
        <v>1.7081999999999999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3.7731532184000001</v>
      </c>
      <c r="AG62" s="13">
        <f>IF($A62="","",[1]!thsiFinD("ths_adjustment_nv_fund",AG$3,$A62))</f>
        <v>1.7991657383999999</v>
      </c>
      <c r="AH62" s="13">
        <f>IF($A62="","",[1]!thsiFinD("ths_adjustment_nv_fund",AH$3,$A62))</f>
        <v>4.6474749589000002</v>
      </c>
      <c r="AI62" s="13">
        <f>IF($A62="","",[1]!thsiFinD("ths_adjustment_nv_fund",AI$3,$A62))</f>
        <v>4.9950093959000004</v>
      </c>
      <c r="AJ62" s="13">
        <f>IF($A62="","",[1]!thsiFinD("ths_adjustment_nv_fund",AJ$3,$A62))</f>
        <v>2.0403782746000001</v>
      </c>
      <c r="AK62" s="13">
        <f>IF($A62="","",[1]!thsiFinD("ths_adjustment_nv_fund",AK$3,$A62))</f>
        <v>1.7629777038000001</v>
      </c>
      <c r="AL62" s="13">
        <f>IF($A62="","",[1]!thsiFinD("ths_adjustment_nv_fund",AL$3,$A62))</f>
        <v>1.9551000000000001</v>
      </c>
    </row>
    <row r="63" spans="1:38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3.0843703953000001</v>
      </c>
      <c r="AD63" s="13">
        <f>IF($A63="","",[1]!thsiFinD("ths_adjustment_nv_fund",AD$3,$A63))</f>
        <v>1.7094</v>
      </c>
      <c r="AE63" s="13">
        <f>IF($A63="","",[1]!thsiFinD("ths_adjustment_nv_fund",AE$3,$A63))</f>
        <v>1.8823000000000001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4.6328316521000001</v>
      </c>
      <c r="AI63" s="13">
        <f>IF($A63="","",[1]!thsiFinD("ths_adjustment_nv_fund",AI$3,$A63))</f>
        <v>5.0121674398999998</v>
      </c>
      <c r="AJ63" s="13">
        <f>IF($A63="","",[1]!thsiFinD("ths_adjustment_nv_fund",AJ$3,$A63))</f>
        <v>2.0465503910999998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38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1.6661999999999999</v>
      </c>
      <c r="AC64" s="13">
        <f>IF($A64="","",[1]!thsiFinD("ths_adjustment_nv_fund",AC$3,$A64))</f>
        <v>3.0587187330000001</v>
      </c>
      <c r="AD64" s="13">
        <f>IF($A64="","",[1]!thsiFinD("ths_adjustment_nv_fund",AD$3,$A64))</f>
        <v>1.6921999999999999</v>
      </c>
      <c r="AE64" s="13">
        <f>IF($A64="","",[1]!thsiFinD("ths_adjustment_nv_fund",AE$3,$A64))</f>
        <v>1.8576999999999999</v>
      </c>
      <c r="AF64" s="13">
        <f>IF($A64="","",[1]!thsiFinD("ths_adjustment_nv_fund",AF$3,$A64))</f>
        <v>3.7576002373000001</v>
      </c>
      <c r="AG64" s="13">
        <f>IF($A64="","",[1]!thsiFinD("ths_adjustment_nv_fund",AG$3,$A64))</f>
        <v>1.7997488608000001</v>
      </c>
      <c r="AH64" s="13">
        <f>IF($A64="","",[1]!thsiFinD("ths_adjustment_nv_fund",AH$3,$A64))</f>
        <v>4.5975545949000001</v>
      </c>
      <c r="AI64" s="13">
        <f>IF($A64="","",[1]!thsiFinD("ths_adjustment_nv_fund",AI$3,$A64))</f>
        <v>4.9740664893000002</v>
      </c>
      <c r="AJ64" s="13">
        <f>IF($A64="","",[1]!thsiFinD("ths_adjustment_nv_fund",AJ$3,$A64))</f>
        <v>2.0535866038999999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38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3.0058424290999999</v>
      </c>
      <c r="AD65" s="13">
        <f>IF($A65="","",[1]!thsiFinD("ths_adjustment_nv_fund",AD$3,$A65))</f>
        <v>1.6625000000000001</v>
      </c>
      <c r="AE65" s="13">
        <f>IF($A65="","",[1]!thsiFinD("ths_adjustment_nv_fund",AE$3,$A65))</f>
        <v>1.8232999999999999</v>
      </c>
      <c r="AF65" s="13">
        <f>IF($A65="","",[1]!thsiFinD("ths_adjustment_nv_fund",AF$3,$A65))</f>
        <v>3.6813906298000001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4.5593932499000003</v>
      </c>
      <c r="AI65" s="13">
        <f>IF($A65="","",[1]!thsiFinD("ths_adjustment_nv_fund",AI$3,$A65))</f>
        <v>4.9048035028000001</v>
      </c>
      <c r="AJ65" s="13">
        <f>IF($A65="","",[1]!thsiFinD("ths_adjustment_nv_fund",AJ$3,$A65))</f>
        <v>2.0356874660000002</v>
      </c>
      <c r="AK65" s="13">
        <f>IF($A65="","",[1]!thsiFinD("ths_adjustment_nv_fund",AK$3,$A65))</f>
        <v>1.7423630021000001</v>
      </c>
      <c r="AL65" s="13">
        <f>IF($A65="","",[1]!thsiFinD("ths_adjustment_nv_fund",AL$3,$A65))</f>
        <v>1.9321999999999999</v>
      </c>
    </row>
    <row r="66" spans="1:38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1.6345000000000001</v>
      </c>
      <c r="AC66" s="13">
        <f>IF($A66="","",[1]!thsiFinD("ths_adjustment_nv_fund",AC$3,$A66))</f>
        <v>3.0071734116000002</v>
      </c>
      <c r="AD66" s="13">
        <f>IF($A66="","",[1]!thsiFinD("ths_adjustment_nv_fund",AD$3,$A66))</f>
        <v>1.6734</v>
      </c>
      <c r="AE66" s="13">
        <f>IF($A66="","",[1]!thsiFinD("ths_adjustment_nv_fund",AE$3,$A66))</f>
        <v>1.8371999999999999</v>
      </c>
      <c r="AF66" s="13">
        <f>IF($A66="","",[1]!thsiFinD("ths_adjustment_nv_fund",AF$3,$A66))</f>
        <v>3.6813906298000001</v>
      </c>
      <c r="AG66" s="13">
        <f>IF($A66="","",[1]!thsiFinD("ths_adjustment_nv_fund",AG$3,$A66))</f>
        <v>1.7880864135000001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4.8896640522999997</v>
      </c>
      <c r="AJ66" s="13">
        <f>IF($A66="","",[1]!thsiFinD("ths_adjustment_nv_fund",AJ$3,$A66))</f>
        <v>2.0428471211999999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1.9186000000000001</v>
      </c>
    </row>
    <row r="67" spans="1:38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3.0036644577999998</v>
      </c>
      <c r="AD67" s="13">
        <f>IF($A67="","",[1]!thsiFinD("ths_adjustment_nv_fund",AD$3,$A67))</f>
        <v>1.6667000000000001</v>
      </c>
      <c r="AE67" s="13">
        <f>IF($A67="","",[1]!thsiFinD("ths_adjustment_nv_fund",AE$3,$A67))</f>
        <v>1.8253999999999999</v>
      </c>
      <c r="AF67" s="13">
        <f>IF($A67="","",[1]!thsiFinD("ths_adjustment_nv_fund",AF$3,$A67))</f>
        <v>3.6580611581000002</v>
      </c>
      <c r="AG67" s="13">
        <f>IF($A67="","",[1]!thsiFinD("ths_adjustment_nv_fund",AG$3,$A67))</f>
        <v>1.7788730801999999</v>
      </c>
      <c r="AH67" s="13">
        <f>IF($A67="","",[1]!thsiFinD("ths_adjustment_nv_fund",AH$3,$A67))</f>
        <v>4.5474123625000002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2.0270465029000002</v>
      </c>
      <c r="AK67" s="13">
        <f>IF($A67="","",[1]!thsiFinD("ths_adjustment_nv_fund",AK$3,$A67))</f>
        <v>1.7400491070999999</v>
      </c>
      <c r="AL67" s="13">
        <f>IF($A67="","",[1]!thsiFinD("ths_adjustment_nv_fund",AL$3,$A67))</f>
        <v>1.9078999999999999</v>
      </c>
    </row>
    <row r="68" spans="1:38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3.6611717543000002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4.5573964353000003</v>
      </c>
      <c r="AI68" s="13">
        <f>IF($A68="","",[1]!thsiFinD("ths_adjustment_nv_fund",AI$3,$A68))</f>
        <v>4.8720013598999996</v>
      </c>
      <c r="AJ68" s="13">
        <f>IF($A68="","",[1]!thsiFinD("ths_adjustment_nv_fund",AJ$3,$A68))</f>
        <v>2.0128506348999999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38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1.6559999999999999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1.7648781435000001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2.0055675375000002</v>
      </c>
      <c r="AK69" s="13">
        <f>IF($A69="","",[1]!thsiFinD("ths_adjustment_nv_fund",AK$3,$A69))</f>
        <v>1.7271551571999999</v>
      </c>
      <c r="AL69" s="13">
        <f>IF($A69="","",[1]!thsiFinD("ths_adjustment_nv_fund",AL$3,$A69))</f>
        <v>1.9181999999999999</v>
      </c>
    </row>
    <row r="70" spans="1:38">
      <c r="A70" s="9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1.6847000000000001</v>
      </c>
      <c r="AC70" s="13">
        <f>IF($A70="","",[1]!thsiFinD("ths_adjustment_nv_fund",AC$3,$A70))</f>
        <v>3.1089330720000001</v>
      </c>
      <c r="AD70" s="13">
        <f>IF($A70="","",[1]!thsiFinD("ths_adjustment_nv_fund",AD$3,$A70))</f>
        <v>1.7296</v>
      </c>
      <c r="AE70" s="13">
        <f>IF($A70="","",[1]!thsiFinD("ths_adjustment_nv_fund",AE$3,$A70))</f>
        <v>1.9041999999999999</v>
      </c>
      <c r="AF70" s="13">
        <f>IF($A70="","",[1]!thsiFinD("ths_adjustment_nv_fund",AF$3,$A70))</f>
        <v>3.6596164562000002</v>
      </c>
      <c r="AG70" s="13">
        <f>IF($A70="","",[1]!thsiFinD("ths_adjustment_nv_fund",AG$3,$A70))</f>
        <v>1.7635952743000001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4.9106069588999999</v>
      </c>
      <c r="AJ70" s="13">
        <f>IF($A70="","",[1]!thsiFinD("ths_adjustment_nv_fund",AJ$3,$A70))</f>
        <v>2.0038393447999998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38">
      <c r="A71" s="9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3.6845012260000001</v>
      </c>
      <c r="AG71" s="13">
        <f>IF($A71="","",[1]!thsiFinD("ths_adjustment_nv_fund",AG$3,$A71))</f>
        <v>1.7731584810000001</v>
      </c>
      <c r="AH71" s="13">
        <f>IF($A71="","",[1]!thsiFinD("ths_adjustment_nv_fund",AH$3,$A71))</f>
        <v>4.6277286815999998</v>
      </c>
      <c r="AI71" s="13">
        <f>IF($A71="","",[1]!thsiFinD("ths_adjustment_nv_fund",AI$3,$A71))</f>
        <v>4.9470678024000003</v>
      </c>
      <c r="AJ71" s="13">
        <f>IF($A71="","",[1]!thsiFinD("ths_adjustment_nv_fund",AJ$3,$A71))</f>
        <v>2.0077894993999998</v>
      </c>
      <c r="AK71" s="13">
        <f>IF($A71="","",[1]!thsiFinD("ths_adjustment_nv_fund",AK$3,$A71))</f>
        <v>1.7297973600000001</v>
      </c>
      <c r="AL71" s="13">
        <f>IF($A71="","",[1]!thsiFinD("ths_adjustment_nv_fund",AL$3,$A71))</f>
        <v>1.9285000000000001</v>
      </c>
    </row>
    <row r="72" spans="1:38">
      <c r="A72" s="9">
        <v>46287</v>
      </c>
      <c r="B72" s="13">
        <f>IF($A72="","",[1]!thsiFinD("ths_adjustment_nv_fund",B$3,$A72))</f>
        <v>3.2241</v>
      </c>
      <c r="C72" s="13">
        <f>IF($A72="","",[1]!thsiFinD("ths_adjustment_nv_fund",C$3,$A72))</f>
        <v>1.3215580579999999</v>
      </c>
      <c r="D72" s="13">
        <f>IF($A72="","",[1]!thsiFinD("ths_adjustment_nv_fund",D$3,$A72))</f>
        <v>4.72</v>
      </c>
      <c r="E72" s="13">
        <f>IF($A72="","",[1]!thsiFinD("ths_adjustment_nv_fund",E$3,$A72))</f>
        <v>1.9121999999999999</v>
      </c>
      <c r="F72" s="13">
        <f>IF($A72="","",[1]!thsiFinD("ths_adjustment_nv_fund",F$3,$A72))</f>
        <v>1.8565</v>
      </c>
      <c r="G72" s="13">
        <f>IF($A72="","",[1]!thsiFinD("ths_adjustment_nv_fund",G$3,$A72))</f>
        <v>4.0102000000000002</v>
      </c>
      <c r="H72" s="13">
        <f>IF($A72="","",[1]!thsiFinD("ths_adjustment_nv_fund",H$3,$A72))</f>
        <v>3.9224999999999999</v>
      </c>
      <c r="I72" s="13">
        <f>IF($A72="","",[1]!thsiFinD("ths_adjustment_nv_fund",I$3,$A72))</f>
        <v>2.4192</v>
      </c>
      <c r="J72" s="13">
        <f>IF($A72="","",[1]!thsiFinD("ths_adjustment_nv_fund",J$3,$A72))</f>
        <v>3.1465999999999998</v>
      </c>
      <c r="K72" s="13">
        <f>IF($A72="","",[1]!thsiFinD("ths_adjustment_nv_fund",K$3,$A72))</f>
        <v>3.1164999999999998</v>
      </c>
      <c r="L72" s="13">
        <f>IF($A72="","",[1]!thsiFinD("ths_adjustment_nv_fund",L$3,$A72))</f>
        <v>1.5765</v>
      </c>
      <c r="M72" s="13">
        <f>IF($A72="","",[1]!thsiFinD("ths_adjustment_nv_fund",M$3,$A72))</f>
        <v>1.5545</v>
      </c>
      <c r="N72" s="13">
        <f>IF($A72="","",[1]!thsiFinD("ths_adjustment_nv_fund",N$3,$A72))</f>
        <v>1.5409999999999999</v>
      </c>
      <c r="O72" s="13">
        <f>IF($A72="","",[1]!thsiFinD("ths_adjustment_nv_fund",O$3,$A72))</f>
        <v>1.5012000000000001</v>
      </c>
      <c r="P72" s="13">
        <f>IF($A72="","",[1]!thsiFinD("ths_adjustment_nv_fund",P$3,$A72))</f>
        <v>3.0345</v>
      </c>
      <c r="Q72" s="13">
        <f>IF($A72="","",[1]!thsiFinD("ths_adjustment_nv_fund",Q$3,$A72))</f>
        <v>3.6751</v>
      </c>
      <c r="R72" s="13">
        <f>IF($A72="","",[1]!thsiFinD("ths_adjustment_nv_fund",R$3,$A72))</f>
        <v>3.5937999999999999</v>
      </c>
      <c r="S72" s="13">
        <f>IF($A72="","",[1]!thsiFinD("ths_adjustment_nv_fund",S$3,$A72))</f>
        <v>4.6689999999999996</v>
      </c>
      <c r="T72" s="13">
        <f>IF($A72="","",[1]!thsiFinD("ths_adjustment_nv_fund",T$3,$A72))</f>
        <v>2.8589000000000002</v>
      </c>
      <c r="U72" s="13">
        <f>IF($A72="","",[1]!thsiFinD("ths_adjustment_nv_fund",U$3,$A72))</f>
        <v>2.8426999999999998</v>
      </c>
      <c r="V72" s="13">
        <f>IF($A72="","",[1]!thsiFinD("ths_adjustment_nv_fund",V$3,$A72))</f>
        <v>1.9862</v>
      </c>
      <c r="W72" s="13">
        <f>IF($A72="","",[1]!thsiFinD("ths_adjustment_nv_fund",W$3,$A72))</f>
        <v>1.9651000000000001</v>
      </c>
      <c r="X72" s="13">
        <f>IF($A72="","",[1]!thsiFinD("ths_adjustment_nv_fund",X$3,$A72))</f>
        <v>1.8070999999999999</v>
      </c>
      <c r="Y72" s="13">
        <f>IF($A72="","",[1]!thsiFinD("ths_adjustment_nv_fund",Y$3,$A72))</f>
        <v>2.4769999999999999</v>
      </c>
      <c r="Z72" s="13">
        <f>IF($A72="","",[1]!thsiFinD("ths_adjustment_nv_fund",Z$3,$A72))</f>
        <v>1.5260129155</v>
      </c>
      <c r="AA72" s="13">
        <f>IF($A72="","",[1]!thsiFinD("ths_adjustment_nv_fund",AA$3,$A72))</f>
        <v>1.2387600325000001</v>
      </c>
      <c r="AB72" s="13">
        <f>IF($A72="","",[1]!thsiFinD("ths_adjustment_nv_fund",AB$3,$A72))</f>
        <v>1.69</v>
      </c>
      <c r="AC72" s="13">
        <f>IF($A72="","",[1]!thsiFinD("ths_adjustment_nv_fund",AC$3,$A72))</f>
        <v>3.1275668266999999</v>
      </c>
      <c r="AD72" s="13">
        <f>IF($A72="","",[1]!thsiFinD("ths_adjustment_nv_fund",AD$3,$A72))</f>
        <v>1.7501</v>
      </c>
      <c r="AE72" s="13">
        <f>IF($A72="","",[1]!thsiFinD("ths_adjustment_nv_fund",AE$3,$A72))</f>
        <v>1.9338</v>
      </c>
      <c r="AF72" s="13">
        <f>IF($A72="","",[1]!thsiFinD("ths_adjustment_nv_fund",AF$3,$A72))</f>
        <v>3.6813906298000001</v>
      </c>
      <c r="AG72" s="13">
        <f>IF($A72="","",[1]!thsiFinD("ths_adjustment_nv_fund",AG$3,$A72))</f>
        <v>1.7735083544000001</v>
      </c>
      <c r="AH72" s="13">
        <f>IF($A72="","",[1]!thsiFinD("ths_adjustment_nv_fund",AH$3,$A72))</f>
        <v>4.6139728479000004</v>
      </c>
      <c r="AI72" s="13">
        <f>IF($A72="","",[1]!thsiFinD("ths_adjustment_nv_fund",AI$3,$A72))</f>
        <v>4.9355870523999998</v>
      </c>
      <c r="AJ72" s="13">
        <f>IF($A72="","",[1]!thsiFinD("ths_adjustment_nv_fund",AJ$3,$A72))</f>
        <v>2.0084067111000001</v>
      </c>
      <c r="AK72" s="13">
        <f>IF($A72="","",[1]!thsiFinD("ths_adjustment_nv_fund",AK$3,$A72))</f>
        <v>1.7300087362000001</v>
      </c>
      <c r="AL72" s="13">
        <f>IF($A72="","",[1]!thsiFinD("ths_adjustment_nv_fund",AL$3,$A72))</f>
        <v>1.9154</v>
      </c>
    </row>
    <row r="73" spans="1:38">
      <c r="A73" s="9">
        <v>46288</v>
      </c>
      <c r="B73" s="13">
        <f>IF($A73="","",[1]!thsiFinD("ths_adjustment_nv_fund",B$3,$A73))</f>
        <v>3.2305999999999999</v>
      </c>
      <c r="C73" s="13">
        <f>IF($A73="","",[1]!thsiFinD("ths_adjustment_nv_fund",C$3,$A73))</f>
        <v>1.3216019337</v>
      </c>
      <c r="D73" s="13">
        <f>IF($A73="","",[1]!thsiFinD("ths_adjustment_nv_fund",D$3,$A73))</f>
        <v>4.7089999999999996</v>
      </c>
      <c r="E73" s="13">
        <f>IF($A73="","",[1]!thsiFinD("ths_adjustment_nv_fund",E$3,$A73))</f>
        <v>1.903</v>
      </c>
      <c r="F73" s="13">
        <f>IF($A73="","",[1]!thsiFinD("ths_adjustment_nv_fund",F$3,$A73))</f>
        <v>1.8474999999999999</v>
      </c>
      <c r="G73" s="13">
        <f>IF($A73="","",[1]!thsiFinD("ths_adjustment_nv_fund",G$3,$A73))</f>
        <v>3.9750999999999999</v>
      </c>
      <c r="H73" s="13">
        <f>IF($A73="","",[1]!thsiFinD("ths_adjustment_nv_fund",H$3,$A73))</f>
        <v>3.8881999999999999</v>
      </c>
      <c r="I73" s="13">
        <f>IF($A73="","",[1]!thsiFinD("ths_adjustment_nv_fund",I$3,$A73))</f>
        <v>2.4245000000000001</v>
      </c>
      <c r="J73" s="13">
        <f>IF($A73="","",[1]!thsiFinD("ths_adjustment_nv_fund",J$3,$A73))</f>
        <v>3.1404999999999998</v>
      </c>
      <c r="K73" s="13">
        <f>IF($A73="","",[1]!thsiFinD("ths_adjustment_nv_fund",K$3,$A73))</f>
        <v>3.1103999999999998</v>
      </c>
      <c r="L73" s="13">
        <f>IF($A73="","",[1]!thsiFinD("ths_adjustment_nv_fund",L$3,$A73))</f>
        <v>1.5712999999999999</v>
      </c>
      <c r="M73" s="13">
        <f>IF($A73="","",[1]!thsiFinD("ths_adjustment_nv_fund",M$3,$A73))</f>
        <v>1.5492999999999999</v>
      </c>
      <c r="N73" s="13">
        <f>IF($A73="","",[1]!thsiFinD("ths_adjustment_nv_fund",N$3,$A73))</f>
        <v>1.5319</v>
      </c>
      <c r="O73" s="13">
        <f>IF($A73="","",[1]!thsiFinD("ths_adjustment_nv_fund",O$3,$A73))</f>
        <v>1.4923</v>
      </c>
      <c r="P73" s="13">
        <f>IF($A73="","",[1]!thsiFinD("ths_adjustment_nv_fund",P$3,$A73))</f>
        <v>3.0341999999999998</v>
      </c>
      <c r="Q73" s="13">
        <f>IF($A73="","",[1]!thsiFinD("ths_adjustment_nv_fund",Q$3,$A73))</f>
        <v>3.6642999999999999</v>
      </c>
      <c r="R73" s="13">
        <f>IF($A73="","",[1]!thsiFinD("ths_adjustment_nv_fund",R$3,$A73))</f>
        <v>3.5832999999999999</v>
      </c>
      <c r="S73" s="13">
        <f>IF($A73="","",[1]!thsiFinD("ths_adjustment_nv_fund",S$3,$A73))</f>
        <v>4.657</v>
      </c>
      <c r="T73" s="13">
        <f>IF($A73="","",[1]!thsiFinD("ths_adjustment_nv_fund",T$3,$A73))</f>
        <v>2.8725999999999998</v>
      </c>
      <c r="U73" s="13">
        <f>IF($A73="","",[1]!thsiFinD("ths_adjustment_nv_fund",U$3,$A73))</f>
        <v>2.8563000000000001</v>
      </c>
      <c r="V73" s="13">
        <f>IF($A73="","",[1]!thsiFinD("ths_adjustment_nv_fund",V$3,$A73))</f>
        <v>1.9925999999999999</v>
      </c>
      <c r="W73" s="13">
        <f>IF($A73="","",[1]!thsiFinD("ths_adjustment_nv_fund",W$3,$A73))</f>
        <v>1.9714</v>
      </c>
      <c r="X73" s="13">
        <f>IF($A73="","",[1]!thsiFinD("ths_adjustment_nv_fund",X$3,$A73))</f>
        <v>1.8072999999999999</v>
      </c>
      <c r="Y73" s="13">
        <f>IF($A73="","",[1]!thsiFinD("ths_adjustment_nv_fund",Y$3,$A73))</f>
        <v>2.484</v>
      </c>
      <c r="Z73" s="13">
        <f>IF($A73="","",[1]!thsiFinD("ths_adjustment_nv_fund",Z$3,$A73))</f>
        <v>1.5259027579</v>
      </c>
      <c r="AA73" s="13">
        <f>IF($A73="","",[1]!thsiFinD("ths_adjustment_nv_fund",AA$3,$A73))</f>
        <v>1.2388784382</v>
      </c>
      <c r="AB73" s="13">
        <f>IF($A73="","",[1]!thsiFinD("ths_adjustment_nv_fund",AB$3,$A73))</f>
        <v>1.6832</v>
      </c>
      <c r="AC73" s="13">
        <f>IF($A73="","",[1]!thsiFinD("ths_adjustment_nv_fund",AC$3,$A73))</f>
        <v>3.1166769699999999</v>
      </c>
      <c r="AD73" s="13">
        <f>IF($A73="","",[1]!thsiFinD("ths_adjustment_nv_fund",AD$3,$A73))</f>
        <v>1.7479</v>
      </c>
      <c r="AE73" s="13">
        <f>IF($A73="","",[1]!thsiFinD("ths_adjustment_nv_fund",AE$3,$A73))</f>
        <v>1.9415</v>
      </c>
      <c r="AF73" s="13">
        <f>IF($A73="","",[1]!thsiFinD("ths_adjustment_nv_fund",AF$3,$A73))</f>
        <v>3.6642823506000002</v>
      </c>
      <c r="AG73" s="13">
        <f>IF($A73="","",[1]!thsiFinD("ths_adjustment_nv_fund",AG$3,$A73))</f>
        <v>1.7616126582</v>
      </c>
      <c r="AH73" s="13">
        <f>IF($A73="","",[1]!thsiFinD("ths_adjustment_nv_fund",AH$3,$A73))</f>
        <v>4.6184102135999998</v>
      </c>
      <c r="AI73" s="13">
        <f>IF($A73="","",[1]!thsiFinD("ths_adjustment_nv_fund",AI$3,$A73))</f>
        <v>4.9183028462999996</v>
      </c>
      <c r="AJ73" s="13">
        <f>IF($A73="","",[1]!thsiFinD("ths_adjustment_nv_fund",AJ$3,$A73))</f>
        <v>1.9997657478999999</v>
      </c>
      <c r="AK73" s="13">
        <f>IF($A73="","",[1]!thsiFinD("ths_adjustment_nv_fund",AK$3,$A73))</f>
        <v>1.7253584592</v>
      </c>
      <c r="AL73" s="13">
        <f>IF($A73="","",[1]!thsiFinD("ths_adjustment_nv_fund",AL$3,$A73))</f>
        <v>1.9220999999999999</v>
      </c>
    </row>
    <row r="74" spans="1:38">
      <c r="A74" s="9">
        <v>46289</v>
      </c>
      <c r="B74" s="13">
        <f>IF($A74="","",[1]!thsiFinD("ths_adjustment_nv_fund",B$3,$A74))</f>
        <v>3.2025000000000001</v>
      </c>
      <c r="C74" s="13">
        <f>IF($A74="","",[1]!thsiFinD("ths_adjustment_nv_fund",C$3,$A74))</f>
        <v>1.3216499210999999</v>
      </c>
      <c r="D74" s="13">
        <f>IF($A74="","",[1]!thsiFinD("ths_adjustment_nv_fund",D$3,$A74))</f>
        <v>4.569</v>
      </c>
      <c r="E74" s="13">
        <f>IF($A74="","",[1]!thsiFinD("ths_adjustment_nv_fund",E$3,$A74))</f>
        <v>1.8742000000000001</v>
      </c>
      <c r="F74" s="13">
        <f>IF($A74="","",[1]!thsiFinD("ths_adjustment_nv_fund",F$3,$A74))</f>
        <v>1.8194999999999999</v>
      </c>
      <c r="G74" s="13">
        <f>IF($A74="","",[1]!thsiFinD("ths_adjustment_nv_fund",G$3,$A74))</f>
        <v>3.8588</v>
      </c>
      <c r="H74" s="13">
        <f>IF($A74="","",[1]!thsiFinD("ths_adjustment_nv_fund",H$3,$A74))</f>
        <v>3.7744</v>
      </c>
      <c r="I74" s="13">
        <f>IF($A74="","",[1]!thsiFinD("ths_adjustment_nv_fund",I$3,$A74))</f>
        <v>2.3491</v>
      </c>
      <c r="J74" s="13">
        <f>IF($A74="","",[1]!thsiFinD("ths_adjustment_nv_fund",J$3,$A74))</f>
        <v>3.0623999999999998</v>
      </c>
      <c r="K74" s="13">
        <f>IF($A74="","",[1]!thsiFinD("ths_adjustment_nv_fund",K$3,$A74))</f>
        <v>3.0331000000000001</v>
      </c>
      <c r="L74" s="13">
        <f>IF($A74="","",[1]!thsiFinD("ths_adjustment_nv_fund",L$3,$A74))</f>
        <v>1.5405</v>
      </c>
      <c r="M74" s="13">
        <f>IF($A74="","",[1]!thsiFinD("ths_adjustment_nv_fund",M$3,$A74))</f>
        <v>1.5189999999999999</v>
      </c>
      <c r="N74" s="13">
        <f>IF($A74="","",[1]!thsiFinD("ths_adjustment_nv_fund",N$3,$A74))</f>
        <v>1.5001</v>
      </c>
      <c r="O74" s="13">
        <f>IF($A74="","",[1]!thsiFinD("ths_adjustment_nv_fund",O$3,$A74))</f>
        <v>1.4613</v>
      </c>
      <c r="P74" s="13">
        <f>IF($A74="","",[1]!thsiFinD("ths_adjustment_nv_fund",P$3,$A74))</f>
        <v>2.9436</v>
      </c>
      <c r="Q74" s="13">
        <f>IF($A74="","",[1]!thsiFinD("ths_adjustment_nv_fund",Q$3,$A74))</f>
        <v>3.5432000000000001</v>
      </c>
      <c r="R74" s="13">
        <f>IF($A74="","",[1]!thsiFinD("ths_adjustment_nv_fund",R$3,$A74))</f>
        <v>3.4647999999999999</v>
      </c>
      <c r="S74" s="13">
        <f>IF($A74="","",[1]!thsiFinD("ths_adjustment_nv_fund",S$3,$A74))</f>
        <v>4.5190000000000001</v>
      </c>
      <c r="T74" s="13">
        <f>IF($A74="","",[1]!thsiFinD("ths_adjustment_nv_fund",T$3,$A74))</f>
        <v>2.8075999999999999</v>
      </c>
      <c r="U74" s="13">
        <f>IF($A74="","",[1]!thsiFinD("ths_adjustment_nv_fund",U$3,$A74))</f>
        <v>2.7917000000000001</v>
      </c>
      <c r="V74" s="13">
        <f>IF($A74="","",[1]!thsiFinD("ths_adjustment_nv_fund",V$3,$A74))</f>
        <v>1.9635</v>
      </c>
      <c r="W74" s="13">
        <f>IF($A74="","",[1]!thsiFinD("ths_adjustment_nv_fund",W$3,$A74))</f>
        <v>1.9426000000000001</v>
      </c>
      <c r="X74" s="13">
        <f>IF($A74="","",[1]!thsiFinD("ths_adjustment_nv_fund",X$3,$A74))</f>
        <v>1.8091999999999999</v>
      </c>
      <c r="Y74" s="13">
        <f>IF($A74="","",[1]!thsiFinD("ths_adjustment_nv_fund",Y$3,$A74))</f>
        <v>2.431</v>
      </c>
      <c r="Z74" s="13">
        <f>IF($A74="","",[1]!thsiFinD("ths_adjustment_nv_fund",Z$3,$A74))</f>
        <v>1.5275551216000001</v>
      </c>
      <c r="AA74" s="13">
        <f>IF($A74="","",[1]!thsiFinD("ths_adjustment_nv_fund",AA$3,$A74))</f>
        <v>1.2393520607999999</v>
      </c>
      <c r="AB74" s="13">
        <f>IF($A74="","",[1]!thsiFinD("ths_adjustment_nv_fund",AB$3,$A74))</f>
        <v>1.6477999999999999</v>
      </c>
      <c r="AC74" s="13">
        <f>IF($A74="","",[1]!thsiFinD("ths_adjustment_nv_fund",AC$3,$A74))</f>
        <v>3.0496438525</v>
      </c>
      <c r="AD74" s="13">
        <f>IF($A74="","",[1]!thsiFinD("ths_adjustment_nv_fund",AD$3,$A74))</f>
        <v>1.716</v>
      </c>
      <c r="AE74" s="13">
        <f>IF($A74="","",[1]!thsiFinD("ths_adjustment_nv_fund",AE$3,$A74))</f>
        <v>1.9131</v>
      </c>
      <c r="AF74" s="13">
        <f>IF($A74="","",[1]!thsiFinD("ths_adjustment_nv_fund",AF$3,$A74))</f>
        <v>3.5911833393000001</v>
      </c>
      <c r="AG74" s="13">
        <f>IF($A74="","",[1]!thsiFinD("ths_adjustment_nv_fund",AG$3,$A74))</f>
        <v>1.7612627848</v>
      </c>
      <c r="AH74" s="13">
        <f>IF($A74="","",[1]!thsiFinD("ths_adjustment_nv_fund",AH$3,$A74))</f>
        <v>4.6075386677000001</v>
      </c>
      <c r="AI74" s="13">
        <f>IF($A74="","",[1]!thsiFinD("ths_adjustment_nv_fund",AI$3,$A74))</f>
        <v>4.8688473077000003</v>
      </c>
      <c r="AJ74" s="13">
        <f>IF($A74="","",[1]!thsiFinD("ths_adjustment_nv_fund",AJ$3,$A74))</f>
        <v>2.0034690179000001</v>
      </c>
      <c r="AK74" s="13">
        <f>IF($A74="","",[1]!thsiFinD("ths_adjustment_nv_fund",AK$3,$A74))</f>
        <v>1.7209195584000001</v>
      </c>
      <c r="AL74" s="13">
        <f>IF($A74="","",[1]!thsiFinD("ths_adjustment_nv_fund",AL$3,$A74))</f>
        <v>1.8996999999999999</v>
      </c>
    </row>
    <row r="75" spans="1:38">
      <c r="A75" s="9">
        <v>46293</v>
      </c>
      <c r="B75" s="13">
        <f>IF($A75="","",[1]!thsiFinD("ths_adjustment_nv_fund",B$3,$A75))</f>
        <v>3.117</v>
      </c>
      <c r="C75" s="13">
        <f>IF($A75="","",[1]!thsiFinD("ths_adjustment_nv_fund",C$3,$A75))</f>
        <v>1.3218272689999999</v>
      </c>
      <c r="D75" s="13">
        <f>IF($A75="","",[1]!thsiFinD("ths_adjustment_nv_fund",D$3,$A75))</f>
        <v>4.2779999999999996</v>
      </c>
      <c r="E75" s="13">
        <f>IF($A75="","",[1]!thsiFinD("ths_adjustment_nv_fund",E$3,$A75))</f>
        <v>1.8307</v>
      </c>
      <c r="F75" s="13">
        <f>IF($A75="","",[1]!thsiFinD("ths_adjustment_nv_fund",F$3,$A75))</f>
        <v>1.7771999999999999</v>
      </c>
      <c r="G75" s="13">
        <f>IF($A75="","",[1]!thsiFinD("ths_adjustment_nv_fund",G$3,$A75))</f>
        <v>3.5924</v>
      </c>
      <c r="H75" s="13">
        <f>IF($A75="","",[1]!thsiFinD("ths_adjustment_nv_fund",H$3,$A75))</f>
        <v>3.5137</v>
      </c>
      <c r="I75" s="13">
        <f>IF($A75="","",[1]!thsiFinD("ths_adjustment_nv_fund",I$3,$A75))</f>
        <v>2.2221000000000002</v>
      </c>
      <c r="J75" s="13">
        <f>IF($A75="","",[1]!thsiFinD("ths_adjustment_nv_fund",J$3,$A75))</f>
        <v>2.9405999999999999</v>
      </c>
      <c r="K75" s="13">
        <f>IF($A75="","",[1]!thsiFinD("ths_adjustment_nv_fund",K$3,$A75))</f>
        <v>2.9123999999999999</v>
      </c>
      <c r="L75" s="13">
        <f>IF($A75="","",[1]!thsiFinD("ths_adjustment_nv_fund",L$3,$A75))</f>
        <v>1.49</v>
      </c>
      <c r="M75" s="13">
        <f>IF($A75="","",[1]!thsiFinD("ths_adjustment_nv_fund",M$3,$A75))</f>
        <v>1.4691000000000001</v>
      </c>
      <c r="N75" s="13">
        <f>IF($A75="","",[1]!thsiFinD("ths_adjustment_nv_fund",N$3,$A75))</f>
        <v>1.4563999999999999</v>
      </c>
      <c r="O75" s="13">
        <f>IF($A75="","",[1]!thsiFinD("ths_adjustment_nv_fund",O$3,$A75))</f>
        <v>1.4186000000000001</v>
      </c>
      <c r="P75" s="13">
        <f>IF($A75="","",[1]!thsiFinD("ths_adjustment_nv_fund",P$3,$A75))</f>
        <v>2.7145999999999999</v>
      </c>
      <c r="Q75" s="13">
        <f>IF($A75="","",[1]!thsiFinD("ths_adjustment_nv_fund",Q$3,$A75))</f>
        <v>3.2785000000000002</v>
      </c>
      <c r="R75" s="13">
        <f>IF($A75="","",[1]!thsiFinD("ths_adjustment_nv_fund",R$3,$A75))</f>
        <v>3.2057000000000002</v>
      </c>
      <c r="S75" s="13">
        <f>IF($A75="","",[1]!thsiFinD("ths_adjustment_nv_fund",S$3,$A75))</f>
        <v>4.2309999999999999</v>
      </c>
      <c r="T75" s="13">
        <f>IF($A75="","",[1]!thsiFinD("ths_adjustment_nv_fund",T$3,$A75))</f>
        <v>2.6966000000000001</v>
      </c>
      <c r="U75" s="13">
        <f>IF($A75="","",[1]!thsiFinD("ths_adjustment_nv_fund",U$3,$A75))</f>
        <v>2.6812</v>
      </c>
      <c r="V75" s="13">
        <f>IF($A75="","",[1]!thsiFinD("ths_adjustment_nv_fund",V$3,$A75))</f>
        <v>1.9020999999999999</v>
      </c>
      <c r="W75" s="13">
        <f>IF($A75="","",[1]!thsiFinD("ths_adjustment_nv_fund",W$3,$A75))</f>
        <v>1.8817999999999999</v>
      </c>
      <c r="X75" s="13">
        <f>IF($A75="","",[1]!thsiFinD("ths_adjustment_nv_fund",X$3,$A75))</f>
        <v>1.8085</v>
      </c>
      <c r="Y75" s="13">
        <f>IF($A75="","",[1]!thsiFinD("ths_adjustment_nv_fund",Y$3,$A75))</f>
        <v>2.3239999999999998</v>
      </c>
      <c r="Z75" s="13">
        <f>IF($A75="","",[1]!thsiFinD("ths_adjustment_nv_fund",Z$3,$A75))</f>
        <v>1.5270043337000001</v>
      </c>
      <c r="AA75" s="13">
        <f>IF($A75="","",[1]!thsiFinD("ths_adjustment_nv_fund",AA$3,$A75))</f>
        <v>1.2397072778</v>
      </c>
      <c r="AB75" s="13">
        <f>IF($A75="","",[1]!thsiFinD("ths_adjustment_nv_fund",AB$3,$A75))</f>
        <v>1.5963000000000001</v>
      </c>
      <c r="AC75" s="13">
        <f>IF($A75="","",[1]!thsiFinD("ths_adjustment_nv_fund",AC$3,$A75))</f>
        <v>2.9557490886000002</v>
      </c>
      <c r="AD75" s="13">
        <f>IF($A75="","",[1]!thsiFinD("ths_adjustment_nv_fund",AD$3,$A75))</f>
        <v>1.6592</v>
      </c>
      <c r="AE75" s="13">
        <f>IF($A75="","",[1]!thsiFinD("ths_adjustment_nv_fund",AE$3,$A75))</f>
        <v>1.8521000000000001</v>
      </c>
      <c r="AF75" s="13">
        <f>IF($A75="","",[1]!thsiFinD("ths_adjustment_nv_fund",AF$3,$A75))</f>
        <v>3.5631879732999998</v>
      </c>
      <c r="AG75" s="13">
        <f>IF($A75="","",[1]!thsiFinD("ths_adjustment_nv_fund",AG$3,$A75))</f>
        <v>1.7597466666999999</v>
      </c>
      <c r="AH75" s="13">
        <f>IF($A75="","",[1]!thsiFinD("ths_adjustment_nv_fund",AH$3,$A75))</f>
        <v>4.6186320819000004</v>
      </c>
      <c r="AI75" s="13">
        <f>IF($A75="","",[1]!thsiFinD("ths_adjustment_nv_fund",AI$3,$A75))</f>
        <v>4.8446241868</v>
      </c>
      <c r="AJ75" s="13">
        <f>IF($A75="","",[1]!thsiFinD("ths_adjustment_nv_fund",AJ$3,$A75))</f>
        <v>1.9996423055999999</v>
      </c>
      <c r="AK75" s="13">
        <f>IF($A75="","",[1]!thsiFinD("ths_adjustment_nv_fund",AK$3,$A75))</f>
        <v>1.7220821277</v>
      </c>
      <c r="AL75" s="13">
        <f>IF($A75="","",[1]!thsiFinD("ths_adjustment_nv_fund",AL$3,$A75))</f>
        <v>1.8531</v>
      </c>
    </row>
    <row r="76" spans="1:38">
      <c r="A76" s="9">
        <v>46294</v>
      </c>
      <c r="B76" s="13">
        <f>IF($A76="","",[1]!thsiFinD("ths_adjustment_nv_fund",B$3,$A76))</f>
        <v>3.1030000000000002</v>
      </c>
      <c r="C76" s="13">
        <f>IF($A76="","",[1]!thsiFinD("ths_adjustment_nv_fund",C$3,$A76))</f>
        <v>1.3218719995999999</v>
      </c>
      <c r="D76" s="13">
        <f>IF($A76="","",[1]!thsiFinD("ths_adjustment_nv_fund",D$3,$A76))</f>
        <v>4.32</v>
      </c>
      <c r="E76" s="13">
        <f>IF($A76="","",[1]!thsiFinD("ths_adjustment_nv_fund",E$3,$A76))</f>
        <v>1.8373999999999999</v>
      </c>
      <c r="F76" s="13">
        <f>IF($A76="","",[1]!thsiFinD("ths_adjustment_nv_fund",F$3,$A76))</f>
        <v>1.7837000000000001</v>
      </c>
      <c r="G76" s="13">
        <f>IF($A76="","",[1]!thsiFinD("ths_adjustment_nv_fund",G$3,$A76))</f>
        <v>3.5933000000000002</v>
      </c>
      <c r="H76" s="13">
        <f>IF($A76="","",[1]!thsiFinD("ths_adjustment_nv_fund",H$3,$A76))</f>
        <v>3.5146000000000002</v>
      </c>
      <c r="I76" s="13">
        <f>IF($A76="","",[1]!thsiFinD("ths_adjustment_nv_fund",I$3,$A76))</f>
        <v>2.2326999999999999</v>
      </c>
      <c r="J76" s="13">
        <f>IF($A76="","",[1]!thsiFinD("ths_adjustment_nv_fund",J$3,$A76))</f>
        <v>2.9508999999999999</v>
      </c>
      <c r="K76" s="13">
        <f>IF($A76="","",[1]!thsiFinD("ths_adjustment_nv_fund",K$3,$A76))</f>
        <v>2.9226000000000001</v>
      </c>
      <c r="L76" s="13">
        <f>IF($A76="","",[1]!thsiFinD("ths_adjustment_nv_fund",L$3,$A76))</f>
        <v>1.4955000000000001</v>
      </c>
      <c r="M76" s="13">
        <f>IF($A76="","",[1]!thsiFinD("ths_adjustment_nv_fund",M$3,$A76))</f>
        <v>1.4745999999999999</v>
      </c>
      <c r="N76" s="13">
        <f>IF($A76="","",[1]!thsiFinD("ths_adjustment_nv_fund",N$3,$A76))</f>
        <v>1.4671000000000001</v>
      </c>
      <c r="O76" s="13">
        <f>IF($A76="","",[1]!thsiFinD("ths_adjustment_nv_fund",O$3,$A76))</f>
        <v>1.429</v>
      </c>
      <c r="P76" s="13">
        <f>IF($A76="","",[1]!thsiFinD("ths_adjustment_nv_fund",P$3,$A76))</f>
        <v>2.7616000000000001</v>
      </c>
      <c r="Q76" s="13">
        <f>IF($A76="","",[1]!thsiFinD("ths_adjustment_nv_fund",Q$3,$A76))</f>
        <v>3.3172999999999999</v>
      </c>
      <c r="R76" s="13">
        <f>IF($A76="","",[1]!thsiFinD("ths_adjustment_nv_fund",R$3,$A76))</f>
        <v>3.2435999999999998</v>
      </c>
      <c r="S76" s="13">
        <f>IF($A76="","",[1]!thsiFinD("ths_adjustment_nv_fund",S$3,$A76))</f>
        <v>4.2720000000000002</v>
      </c>
      <c r="T76" s="13">
        <f>IF($A76="","",[1]!thsiFinD("ths_adjustment_nv_fund",T$3,$A76))</f>
        <v>2.6901000000000002</v>
      </c>
      <c r="U76" s="13">
        <f>IF($A76="","",[1]!thsiFinD("ths_adjustment_nv_fund",U$3,$A76))</f>
        <v>2.6747999999999998</v>
      </c>
      <c r="V76" s="13">
        <f>IF($A76="","",[1]!thsiFinD("ths_adjustment_nv_fund",V$3,$A76))</f>
        <v>1.9194</v>
      </c>
      <c r="W76" s="13">
        <f>IF($A76="","",[1]!thsiFinD("ths_adjustment_nv_fund",W$3,$A76))</f>
        <v>1.8989</v>
      </c>
      <c r="X76" s="13">
        <f>IF($A76="","",[1]!thsiFinD("ths_adjustment_nv_fund",X$3,$A76))</f>
        <v>1.8103</v>
      </c>
      <c r="Y76" s="13">
        <f>IF($A76="","",[1]!thsiFinD("ths_adjustment_nv_fund",Y$3,$A76))</f>
        <v>2.3370000000000002</v>
      </c>
      <c r="Z76" s="13">
        <f>IF($A76="","",[1]!thsiFinD("ths_adjustment_nv_fund",Z$3,$A76))</f>
        <v>1.5292074852999999</v>
      </c>
      <c r="AA76" s="13">
        <f>IF($A76="","",[1]!thsiFinD("ths_adjustment_nv_fund",AA$3,$A76))</f>
        <v>1.2406545230999999</v>
      </c>
      <c r="AB76" s="13">
        <f>IF($A76="","",[1]!thsiFinD("ths_adjustment_nv_fund",AB$3,$A76))</f>
        <v>1.6048</v>
      </c>
      <c r="AC76" s="13">
        <f>IF($A76="","",[1]!thsiFinD("ths_adjustment_nv_fund",AC$3,$A76))</f>
        <v>2.9781337939000001</v>
      </c>
      <c r="AD76" s="13">
        <f>IF($A76="","",[1]!thsiFinD("ths_adjustment_nv_fund",AD$3,$A76))</f>
        <v>1.6687000000000001</v>
      </c>
      <c r="AE76" s="13">
        <f>IF($A76="","",[1]!thsiFinD("ths_adjustment_nv_fund",AE$3,$A76))</f>
        <v>1.8665</v>
      </c>
      <c r="AF76" s="13">
        <f>IF($A76="","",[1]!thsiFinD("ths_adjustment_nv_fund",AF$3,$A76))</f>
        <v>3.5787409544000002</v>
      </c>
      <c r="AG76" s="13">
        <f>IF($A76="","",[1]!thsiFinD("ths_adjustment_nv_fund",AG$3,$A76))</f>
        <v>1.7514663291000001</v>
      </c>
      <c r="AH76" s="13">
        <f>IF($A76="","",[1]!thsiFinD("ths_adjustment_nv_fund",AH$3,$A76))</f>
        <v>4.6170790038999998</v>
      </c>
      <c r="AI76" s="13">
        <f>IF($A76="","",[1]!thsiFinD("ths_adjustment_nv_fund",AI$3,$A76))</f>
        <v>4.8327649504999997</v>
      </c>
      <c r="AJ76" s="13">
        <f>IF($A76="","",[1]!thsiFinD("ths_adjustment_nv_fund",AJ$3,$A76))</f>
        <v>1.9981609977000001</v>
      </c>
      <c r="AK76" s="13">
        <f>IF($A76="","",[1]!thsiFinD("ths_adjustment_nv_fund",AK$3,$A76))</f>
        <v>1.7276835977</v>
      </c>
      <c r="AL76" s="13">
        <f>IF($A76="","",[1]!thsiFinD("ths_adjustment_nv_fund",AL$3,$A76))</f>
        <v>1.8404</v>
      </c>
    </row>
    <row r="77" spans="1:38">
      <c r="A77" s="9">
        <v>46295</v>
      </c>
      <c r="B77" s="13">
        <f>IF($A77="","",[1]!thsiFinD("ths_adjustment_nv_fund",B$3,$A77))</f>
        <v>3.1358999999999999</v>
      </c>
      <c r="C77" s="13">
        <f>IF($A77="","",[1]!thsiFinD("ths_adjustment_nv_fund",C$3,$A77))</f>
        <v>1.32191656</v>
      </c>
      <c r="D77" s="13">
        <f>IF($A77="","",[1]!thsiFinD("ths_adjustment_nv_fund",D$3,$A77))</f>
        <v>4.2670000000000003</v>
      </c>
      <c r="E77" s="13">
        <f>IF($A77="","",[1]!thsiFinD("ths_adjustment_nv_fund",E$3,$A77))</f>
        <v>1.8382000000000001</v>
      </c>
      <c r="F77" s="13">
        <f>IF($A77="","",[1]!thsiFinD("ths_adjustment_nv_fund",F$3,$A77))</f>
        <v>1.7844</v>
      </c>
      <c r="G77" s="13">
        <f>IF($A77="","",[1]!thsiFinD("ths_adjustment_nv_fund",G$3,$A77))</f>
        <v>3.5792999999999999</v>
      </c>
      <c r="H77" s="13">
        <f>IF($A77="","",[1]!thsiFinD("ths_adjustment_nv_fund",H$3,$A77))</f>
        <v>3.5009000000000001</v>
      </c>
      <c r="I77" s="13">
        <f>IF($A77="","",[1]!thsiFinD("ths_adjustment_nv_fund",I$3,$A77))</f>
        <v>2.1855000000000002</v>
      </c>
      <c r="J77" s="13">
        <f>IF($A77="","",[1]!thsiFinD("ths_adjustment_nv_fund",J$3,$A77))</f>
        <v>2.8696999999999999</v>
      </c>
      <c r="K77" s="13">
        <f>IF($A77="","",[1]!thsiFinD("ths_adjustment_nv_fund",K$3,$A77))</f>
        <v>2.8422000000000001</v>
      </c>
      <c r="L77" s="13">
        <f>IF($A77="","",[1]!thsiFinD("ths_adjustment_nv_fund",L$3,$A77))</f>
        <v>1.4950000000000001</v>
      </c>
      <c r="M77" s="13">
        <f>IF($A77="","",[1]!thsiFinD("ths_adjustment_nv_fund",M$3,$A77))</f>
        <v>1.474</v>
      </c>
      <c r="N77" s="13">
        <f>IF($A77="","",[1]!thsiFinD("ths_adjustment_nv_fund",N$3,$A77))</f>
        <v>1.4654</v>
      </c>
      <c r="O77" s="13">
        <f>IF($A77="","",[1]!thsiFinD("ths_adjustment_nv_fund",O$3,$A77))</f>
        <v>1.4273</v>
      </c>
      <c r="P77" s="13">
        <f>IF($A77="","",[1]!thsiFinD("ths_adjustment_nv_fund",P$3,$A77))</f>
        <v>2.7622</v>
      </c>
      <c r="Q77" s="13">
        <f>IF($A77="","",[1]!thsiFinD("ths_adjustment_nv_fund",Q$3,$A77))</f>
        <v>3.2858999999999998</v>
      </c>
      <c r="R77" s="13">
        <f>IF($A77="","",[1]!thsiFinD("ths_adjustment_nv_fund",R$3,$A77))</f>
        <v>3.2128999999999999</v>
      </c>
      <c r="S77" s="13">
        <f>IF($A77="","",[1]!thsiFinD("ths_adjustment_nv_fund",S$3,$A77))</f>
        <v>4.22</v>
      </c>
      <c r="T77" s="13">
        <f>IF($A77="","",[1]!thsiFinD("ths_adjustment_nv_fund",T$3,$A77))</f>
        <v>2.6193</v>
      </c>
      <c r="U77" s="13">
        <f>IF($A77="","",[1]!thsiFinD("ths_adjustment_nv_fund",U$3,$A77))</f>
        <v>2.6044</v>
      </c>
      <c r="V77" s="13">
        <f>IF($A77="","",[1]!thsiFinD("ths_adjustment_nv_fund",V$3,$A77))</f>
        <v>1.9072</v>
      </c>
      <c r="W77" s="13">
        <f>IF($A77="","",[1]!thsiFinD("ths_adjustment_nv_fund",W$3,$A77))</f>
        <v>1.8867</v>
      </c>
      <c r="X77" s="13">
        <f>IF($A77="","",[1]!thsiFinD("ths_adjustment_nv_fund",X$3,$A77))</f>
        <v>1.8081</v>
      </c>
      <c r="Y77" s="13">
        <f>IF($A77="","",[1]!thsiFinD("ths_adjustment_nv_fund",Y$3,$A77))</f>
        <v>2.27</v>
      </c>
      <c r="Z77" s="13">
        <f>IF($A77="","",[1]!thsiFinD("ths_adjustment_nv_fund",Z$3,$A77))</f>
        <v>1.5266738609999999</v>
      </c>
      <c r="AA77" s="13">
        <f>IF($A77="","",[1]!thsiFinD("ths_adjustment_nv_fund",AA$3,$A77))</f>
        <v>1.2399440891</v>
      </c>
      <c r="AB77" s="13">
        <f>IF($A77="","",[1]!thsiFinD("ths_adjustment_nv_fund",AB$3,$A77))</f>
        <v>1.6035999999999999</v>
      </c>
      <c r="AC77" s="13">
        <f>IF($A77="","",[1]!thsiFinD("ths_adjustment_nv_fund",AC$3,$A77))</f>
        <v>2.9706318927000002</v>
      </c>
      <c r="AD77" s="13">
        <f>IF($A77="","",[1]!thsiFinD("ths_adjustment_nv_fund",AD$3,$A77))</f>
        <v>1.6586000000000001</v>
      </c>
      <c r="AE77" s="13">
        <f>IF($A77="","",[1]!thsiFinD("ths_adjustment_nv_fund",AE$3,$A77))</f>
        <v>1.8502000000000001</v>
      </c>
      <c r="AF77" s="13">
        <f>IF($A77="","",[1]!thsiFinD("ths_adjustment_nv_fund",AF$3,$A77))</f>
        <v>3.6331763882999999</v>
      </c>
      <c r="AG77" s="13">
        <f>IF($A77="","",[1]!thsiFinD("ths_adjustment_nv_fund",AG$3,$A77))</f>
        <v>1.7604464135</v>
      </c>
      <c r="AH77" s="13">
        <f>IF($A77="","",[1]!thsiFinD("ths_adjustment_nv_fund",AH$3,$A77))</f>
        <v>4.6463656174999999</v>
      </c>
      <c r="AI77" s="13">
        <f>IF($A77="","",[1]!thsiFinD("ths_adjustment_nv_fund",AI$3,$A77))</f>
        <v>4.8473997527000003</v>
      </c>
      <c r="AJ77" s="13">
        <f>IF($A77="","",[1]!thsiFinD("ths_adjustment_nv_fund",AJ$3,$A77))</f>
        <v>2.0261824065999998</v>
      </c>
      <c r="AK77" s="13">
        <f>IF($A77="","",[1]!thsiFinD("ths_adjustment_nv_fund",AK$3,$A77))</f>
        <v>1.7469188345</v>
      </c>
      <c r="AL77" s="13">
        <f>IF($A77="","",[1]!thsiFinD("ths_adjustment_nv_fund",AL$3,$A77))</f>
        <v>1.8638999999999999</v>
      </c>
    </row>
    <row r="78" spans="1:38">
      <c r="A78" s="9">
        <v>46303</v>
      </c>
      <c r="B78" s="13">
        <f>IF($A78="","",[1]!thsiFinD("ths_adjustment_nv_fund",B$3,$A78))</f>
        <v>3.0838999999999999</v>
      </c>
      <c r="C78" s="13">
        <f>IF($A78="","",[1]!thsiFinD("ths_adjustment_nv_fund",C$3,$A78))</f>
        <v>1.3222707561</v>
      </c>
      <c r="D78" s="13">
        <f>IF($A78="","",[1]!thsiFinD("ths_adjustment_nv_fund",D$3,$A78))</f>
        <v>4.0359999999999996</v>
      </c>
      <c r="E78" s="13">
        <f>IF($A78="","",[1]!thsiFinD("ths_adjustment_nv_fund",E$3,$A78))</f>
        <v>1.8213999999999999</v>
      </c>
      <c r="F78" s="13">
        <f>IF($A78="","",[1]!thsiFinD("ths_adjustment_nv_fund",F$3,$A78))</f>
        <v>1.768</v>
      </c>
      <c r="G78" s="13">
        <f>IF($A78="","",[1]!thsiFinD("ths_adjustment_nv_fund",G$3,$A78))</f>
        <v>3.4135</v>
      </c>
      <c r="H78" s="13">
        <f>IF($A78="","",[1]!thsiFinD("ths_adjustment_nv_fund",H$3,$A78))</f>
        <v>3.3384999999999998</v>
      </c>
      <c r="I78" s="13">
        <f>IF($A78="","",[1]!thsiFinD("ths_adjustment_nv_fund",I$3,$A78))</f>
        <v>2.0969000000000002</v>
      </c>
      <c r="J78" s="13">
        <f>IF($A78="","",[1]!thsiFinD("ths_adjustment_nv_fund",J$3,$A78))</f>
        <v>2.7505999999999999</v>
      </c>
      <c r="K78" s="13">
        <f>IF($A78="","",[1]!thsiFinD("ths_adjustment_nv_fund",K$3,$A78))</f>
        <v>2.7240000000000002</v>
      </c>
      <c r="L78" s="13">
        <f>IF($A78="","",[1]!thsiFinD("ths_adjustment_nv_fund",L$3,$A78))</f>
        <v>1.4663999999999999</v>
      </c>
      <c r="M78" s="13">
        <f>IF($A78="","",[1]!thsiFinD("ths_adjustment_nv_fund",M$3,$A78))</f>
        <v>1.4457</v>
      </c>
      <c r="N78" s="13">
        <f>IF($A78="","",[1]!thsiFinD("ths_adjustment_nv_fund",N$3,$A78))</f>
        <v>1.4330000000000001</v>
      </c>
      <c r="O78" s="13">
        <f>IF($A78="","",[1]!thsiFinD("ths_adjustment_nv_fund",O$3,$A78))</f>
        <v>1.3956</v>
      </c>
      <c r="P78" s="13">
        <f>IF($A78="","",[1]!thsiFinD("ths_adjustment_nv_fund",P$3,$A78))</f>
        <v>2.5533000000000001</v>
      </c>
      <c r="Q78" s="13">
        <f>IF($A78="","",[1]!thsiFinD("ths_adjustment_nv_fund",Q$3,$A78))</f>
        <v>3.0442999999999998</v>
      </c>
      <c r="R78" s="13">
        <f>IF($A78="","",[1]!thsiFinD("ths_adjustment_nv_fund",R$3,$A78))</f>
        <v>2.9762</v>
      </c>
      <c r="S78" s="13">
        <f>IF($A78="","",[1]!thsiFinD("ths_adjustment_nv_fund",S$3,$A78))</f>
        <v>3.992</v>
      </c>
      <c r="T78" s="13">
        <f>IF($A78="","",[1]!thsiFinD("ths_adjustment_nv_fund",T$3,$A78))</f>
        <v>2.5465</v>
      </c>
      <c r="U78" s="13">
        <f>IF($A78="","",[1]!thsiFinD("ths_adjustment_nv_fund",U$3,$A78))</f>
        <v>2.5318999999999998</v>
      </c>
      <c r="V78" s="13">
        <f>IF($A78="","",[1]!thsiFinD("ths_adjustment_nv_fund",V$3,$A78))</f>
        <v>1.8803000000000001</v>
      </c>
      <c r="W78" s="13">
        <f>IF($A78="","",[1]!thsiFinD("ths_adjustment_nv_fund",W$3,$A78))</f>
        <v>1.86</v>
      </c>
      <c r="X78" s="13">
        <f>IF($A78="","",[1]!thsiFinD("ths_adjustment_nv_fund",X$3,$A78))</f>
        <v>1.8080000000000001</v>
      </c>
      <c r="Y78" s="13">
        <f>IF($A78="","",[1]!thsiFinD("ths_adjustment_nv_fund",Y$3,$A78))</f>
        <v>2.1709999999999998</v>
      </c>
      <c r="Z78" s="13">
        <f>IF($A78="","",[1]!thsiFinD("ths_adjustment_nv_fund",Z$3,$A78))</f>
        <v>1.5265637033999999</v>
      </c>
      <c r="AA78" s="13">
        <f>IF($A78="","",[1]!thsiFinD("ths_adjustment_nv_fund",AA$3,$A78))</f>
        <v>1.2398256834000001</v>
      </c>
      <c r="AB78" s="13">
        <f>IF($A78="","",[1]!thsiFinD("ths_adjustment_nv_fund",AB$3,$A78))</f>
        <v>1.5632999999999999</v>
      </c>
      <c r="AC78" s="13">
        <f>IF($A78="","",[1]!thsiFinD("ths_adjustment_nv_fund",AC$3,$A78))</f>
        <v>2.9217485362</v>
      </c>
      <c r="AD78" s="13">
        <f>IF($A78="","",[1]!thsiFinD("ths_adjustment_nv_fund",AD$3,$A78))</f>
        <v>1.6241000000000001</v>
      </c>
      <c r="AE78" s="13">
        <f>IF($A78="","",[1]!thsiFinD("ths_adjustment_nv_fund",AE$3,$A78))</f>
        <v>1.8265</v>
      </c>
      <c r="AF78" s="13">
        <f>IF($A78="","",[1]!thsiFinD("ths_adjustment_nv_fund",AF$3,$A78))</f>
        <v>3.6393975807999999</v>
      </c>
      <c r="AG78" s="13">
        <f>IF($A78="","",[1]!thsiFinD("ths_adjustment_nv_fund",AG$3,$A78))</f>
        <v>1.7750244726</v>
      </c>
      <c r="AH78" s="13">
        <f>IF($A78="","",[1]!thsiFinD("ths_adjustment_nv_fund",AH$3,$A78))</f>
        <v>4.6062074580000001</v>
      </c>
      <c r="AI78" s="13">
        <f>IF($A78="","",[1]!thsiFinD("ths_adjustment_nv_fund",AI$3,$A78))</f>
        <v>4.8262045219000003</v>
      </c>
      <c r="AJ78" s="13">
        <f>IF($A78="","",[1]!thsiFinD("ths_adjustment_nv_fund",AJ$3,$A78))</f>
        <v>2.048031699</v>
      </c>
      <c r="AK78" s="13">
        <f>IF($A78="","",[1]!thsiFinD("ths_adjustment_nv_fund",AK$3,$A78))</f>
        <v>1.7582274626000001</v>
      </c>
      <c r="AL78" s="13">
        <f>IF($A78="","",[1]!thsiFinD("ths_adjustment_nv_fund",AL$3,$A78))</f>
        <v>1.8298000000000001</v>
      </c>
    </row>
    <row r="79" spans="1:38">
      <c r="A79" s="9">
        <v>46304</v>
      </c>
      <c r="B79" s="13">
        <f>IF($A79="","",[1]!thsiFinD("ths_adjustment_nv_fund",B$3,$A79))</f>
        <v>3.0838999999999999</v>
      </c>
      <c r="C79" s="13">
        <f>IF($A79="","",[1]!thsiFinD("ths_adjustment_nv_fund",C$3,$A79))</f>
        <v>1.3222707561</v>
      </c>
      <c r="D79" s="13">
        <f>IF($A79="","",[1]!thsiFinD("ths_adjustment_nv_fund",D$3,$A79))</f>
        <v>4.0359999999999996</v>
      </c>
      <c r="E79" s="13">
        <f>IF($A79="","",[1]!thsiFinD("ths_adjustment_nv_fund",E$3,$A79))</f>
        <v>1.8213999999999999</v>
      </c>
      <c r="F79" s="13">
        <f>IF($A79="","",[1]!thsiFinD("ths_adjustment_nv_fund",F$3,$A79))</f>
        <v>1.768</v>
      </c>
      <c r="G79" s="13">
        <f>IF($A79="","",[1]!thsiFinD("ths_adjustment_nv_fund",G$3,$A79))</f>
        <v>3.4135</v>
      </c>
      <c r="H79" s="13">
        <f>IF($A79="","",[1]!thsiFinD("ths_adjustment_nv_fund",H$3,$A79))</f>
        <v>3.3384999999999998</v>
      </c>
      <c r="I79" s="13">
        <f>IF($A79="","",[1]!thsiFinD("ths_adjustment_nv_fund",I$3,$A79))</f>
        <v>2.0969000000000002</v>
      </c>
      <c r="J79" s="13">
        <f>IF($A79="","",[1]!thsiFinD("ths_adjustment_nv_fund",J$3,$A79))</f>
        <v>2.7505999999999999</v>
      </c>
      <c r="K79" s="13">
        <f>IF($A79="","",[1]!thsiFinD("ths_adjustment_nv_fund",K$3,$A79))</f>
        <v>2.7240000000000002</v>
      </c>
      <c r="L79" s="13">
        <f>IF($A79="","",[1]!thsiFinD("ths_adjustment_nv_fund",L$3,$A79))</f>
        <v>1.4663999999999999</v>
      </c>
      <c r="M79" s="13">
        <f>IF($A79="","",[1]!thsiFinD("ths_adjustment_nv_fund",M$3,$A79))</f>
        <v>1.4457</v>
      </c>
      <c r="N79" s="13">
        <f>IF($A79="","",[1]!thsiFinD("ths_adjustment_nv_fund",N$3,$A79))</f>
        <v>1.4330000000000001</v>
      </c>
      <c r="O79" s="13">
        <f>IF($A79="","",[1]!thsiFinD("ths_adjustment_nv_fund",O$3,$A79))</f>
        <v>1.3956</v>
      </c>
      <c r="P79" s="13">
        <f>IF($A79="","",[1]!thsiFinD("ths_adjustment_nv_fund",P$3,$A79))</f>
        <v>2.5533000000000001</v>
      </c>
      <c r="Q79" s="13">
        <f>IF($A79="","",[1]!thsiFinD("ths_adjustment_nv_fund",Q$3,$A79))</f>
        <v>3.0442999999999998</v>
      </c>
      <c r="R79" s="13">
        <f>IF($A79="","",[1]!thsiFinD("ths_adjustment_nv_fund",R$3,$A79))</f>
        <v>2.9762</v>
      </c>
      <c r="S79" s="13">
        <f>IF($A79="","",[1]!thsiFinD("ths_adjustment_nv_fund",S$3,$A79))</f>
        <v>3.992</v>
      </c>
      <c r="T79" s="13">
        <f>IF($A79="","",[1]!thsiFinD("ths_adjustment_nv_fund",T$3,$A79))</f>
        <v>2.5465</v>
      </c>
      <c r="U79" s="13">
        <f>IF($A79="","",[1]!thsiFinD("ths_adjustment_nv_fund",U$3,$A79))</f>
        <v>2.5318999999999998</v>
      </c>
      <c r="V79" s="13">
        <f>IF($A79="","",[1]!thsiFinD("ths_adjustment_nv_fund",V$3,$A79))</f>
        <v>1.8803000000000001</v>
      </c>
      <c r="W79" s="13">
        <f>IF($A79="","",[1]!thsiFinD("ths_adjustment_nv_fund",W$3,$A79))</f>
        <v>1.86</v>
      </c>
      <c r="X79" s="13">
        <f>IF($A79="","",[1]!thsiFinD("ths_adjustment_nv_fund",X$3,$A79))</f>
        <v>1.8080000000000001</v>
      </c>
      <c r="Y79" s="13">
        <f>IF($A79="","",[1]!thsiFinD("ths_adjustment_nv_fund",Y$3,$A79))</f>
        <v>2.1709999999999998</v>
      </c>
      <c r="Z79" s="13">
        <f>IF($A79="","",[1]!thsiFinD("ths_adjustment_nv_fund",Z$3,$A79))</f>
        <v>1.5265637033999999</v>
      </c>
      <c r="AA79" s="13">
        <f>IF($A79="","",[1]!thsiFinD("ths_adjustment_nv_fund",AA$3,$A79))</f>
        <v>1.2398256834000001</v>
      </c>
      <c r="AB79" s="13">
        <f>IF($A79="","",[1]!thsiFinD("ths_adjustment_nv_fund",AB$3,$A79))</f>
        <v>1.5632999999999999</v>
      </c>
      <c r="AC79" s="13">
        <f>IF($A79="","",[1]!thsiFinD("ths_adjustment_nv_fund",AC$3,$A79))</f>
        <v>2.9217485362</v>
      </c>
      <c r="AD79" s="13">
        <f>IF($A79="","",[1]!thsiFinD("ths_adjustment_nv_fund",AD$3,$A79))</f>
        <v>1.6241000000000001</v>
      </c>
      <c r="AE79" s="13">
        <f>IF($A79="","",[1]!thsiFinD("ths_adjustment_nv_fund",AE$3,$A79))</f>
        <v>1.8265</v>
      </c>
      <c r="AF79" s="13">
        <f>IF($A79="","",[1]!thsiFinD("ths_adjustment_nv_fund",AF$3,$A79))</f>
        <v>3.6393975807999999</v>
      </c>
      <c r="AG79" s="13">
        <f>IF($A79="","",[1]!thsiFinD("ths_adjustment_nv_fund",AG$3,$A79))</f>
        <v>1.7750244726</v>
      </c>
      <c r="AH79" s="13">
        <f>IF($A79="","",[1]!thsiFinD("ths_adjustment_nv_fund",AH$3,$A79))</f>
        <v>4.6062074580000001</v>
      </c>
      <c r="AI79" s="13">
        <f>IF($A79="","",[1]!thsiFinD("ths_adjustment_nv_fund",AI$3,$A79))</f>
        <v>4.8262045219000003</v>
      </c>
      <c r="AJ79" s="13">
        <f>IF($A79="","",[1]!thsiFinD("ths_adjustment_nv_fund",AJ$3,$A79))</f>
        <v>2.048031699</v>
      </c>
      <c r="AK79" s="13">
        <f>IF($A79="","",[1]!thsiFinD("ths_adjustment_nv_fund",AK$3,$A79))</f>
        <v>1.7582274626000001</v>
      </c>
      <c r="AL79" s="13">
        <f>IF($A79="","",[1]!thsiFinD("ths_adjustment_nv_fund",AL$3,$A79))</f>
        <v>1.8298000000000001</v>
      </c>
    </row>
    <row r="80" spans="1:38">
      <c r="A80" s="9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  <c r="AB80" s="13" t="str">
        <f>IF($A80="","",[1]!thsiFinD("ths_adjustment_nv_fund",AB$3,$A80))</f>
        <v/>
      </c>
      <c r="AC80" s="13" t="str">
        <f>IF($A80="","",[1]!thsiFinD("ths_adjustment_nv_fund",AC$3,$A80))</f>
        <v/>
      </c>
      <c r="AD80" s="13" t="str">
        <f>IF($A80="","",[1]!thsiFinD("ths_adjustment_nv_fund",AD$3,$A80))</f>
        <v/>
      </c>
      <c r="AE80" s="13" t="str">
        <f>IF($A80="","",[1]!thsiFinD("ths_adjustment_nv_fund",AE$3,$A80))</f>
        <v/>
      </c>
      <c r="AF80" s="13" t="str">
        <f>IF($A80="","",[1]!thsiFinD("ths_adjustment_nv_fund",AF$3,$A80))</f>
        <v/>
      </c>
      <c r="AG80" s="13" t="str">
        <f>IF($A80="","",[1]!thsiFinD("ths_adjustment_nv_fund",AG$3,$A80))</f>
        <v/>
      </c>
      <c r="AH80" s="13" t="str">
        <f>IF($A80="","",[1]!thsiFinD("ths_adjustment_nv_fund",AH$3,$A80))</f>
        <v/>
      </c>
      <c r="AI80" s="13" t="str">
        <f>IF($A80="","",[1]!thsiFinD("ths_adjustment_nv_fund",AI$3,$A80))</f>
        <v/>
      </c>
      <c r="AJ80" s="13" t="str">
        <f>IF($A80="","",[1]!thsiFinD("ths_adjustment_nv_fund",AJ$3,$A80))</f>
        <v/>
      </c>
      <c r="AK80" s="13" t="str">
        <f>IF($A80="","",[1]!thsiFinD("ths_adjustment_nv_fund",AK$3,$A80))</f>
        <v/>
      </c>
      <c r="AL80" s="13" t="str">
        <f>IF($A80="","",[1]!thsiFinD("ths_adjustment_nv_fund",AL$3,$A80))</f>
        <v/>
      </c>
    </row>
    <row r="81" spans="1:38">
      <c r="A81" s="9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  <c r="AB81" s="13" t="str">
        <f>IF($A81="","",[1]!thsiFinD("ths_adjustment_nv_fund",AB$3,$A81))</f>
        <v/>
      </c>
      <c r="AC81" s="13" t="str">
        <f>IF($A81="","",[1]!thsiFinD("ths_adjustment_nv_fund",AC$3,$A81))</f>
        <v/>
      </c>
      <c r="AD81" s="13" t="str">
        <f>IF($A81="","",[1]!thsiFinD("ths_adjustment_nv_fund",AD$3,$A81))</f>
        <v/>
      </c>
      <c r="AE81" s="13" t="str">
        <f>IF($A81="","",[1]!thsiFinD("ths_adjustment_nv_fund",AE$3,$A81))</f>
        <v/>
      </c>
      <c r="AF81" s="13" t="str">
        <f>IF($A81="","",[1]!thsiFinD("ths_adjustment_nv_fund",AF$3,$A81))</f>
        <v/>
      </c>
      <c r="AG81" s="13" t="str">
        <f>IF($A81="","",[1]!thsiFinD("ths_adjustment_nv_fund",AG$3,$A81))</f>
        <v/>
      </c>
      <c r="AH81" s="13" t="str">
        <f>IF($A81="","",[1]!thsiFinD("ths_adjustment_nv_fund",AH$3,$A81))</f>
        <v/>
      </c>
      <c r="AI81" s="13" t="str">
        <f>IF($A81="","",[1]!thsiFinD("ths_adjustment_nv_fund",AI$3,$A81))</f>
        <v/>
      </c>
      <c r="AJ81" s="13" t="str">
        <f>IF($A81="","",[1]!thsiFinD("ths_adjustment_nv_fund",AJ$3,$A81))</f>
        <v/>
      </c>
      <c r="AK81" s="13" t="str">
        <f>IF($A81="","",[1]!thsiFinD("ths_adjustment_nv_fund",AK$3,$A81))</f>
        <v/>
      </c>
      <c r="AL81" s="13" t="str">
        <f>IF($A81="","",[1]!thsiFinD("ths_adjustment_nv_fund",AL$3,$A81))</f>
        <v/>
      </c>
    </row>
    <row r="82" spans="1:38">
      <c r="A82" s="9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  <c r="AB82" s="13" t="str">
        <f>IF($A82="","",[1]!thsiFinD("ths_adjustment_nv_fund",AB$3,$A82))</f>
        <v/>
      </c>
      <c r="AC82" s="13" t="str">
        <f>IF($A82="","",[1]!thsiFinD("ths_adjustment_nv_fund",AC$3,$A82))</f>
        <v/>
      </c>
      <c r="AD82" s="13" t="str">
        <f>IF($A82="","",[1]!thsiFinD("ths_adjustment_nv_fund",AD$3,$A82))</f>
        <v/>
      </c>
      <c r="AE82" s="13" t="str">
        <f>IF($A82="","",[1]!thsiFinD("ths_adjustment_nv_fund",AE$3,$A82))</f>
        <v/>
      </c>
      <c r="AF82" s="13" t="str">
        <f>IF($A82="","",[1]!thsiFinD("ths_adjustment_nv_fund",AF$3,$A82))</f>
        <v/>
      </c>
      <c r="AG82" s="13" t="str">
        <f>IF($A82="","",[1]!thsiFinD("ths_adjustment_nv_fund",AG$3,$A82))</f>
        <v/>
      </c>
      <c r="AH82" s="13" t="str">
        <f>IF($A82="","",[1]!thsiFinD("ths_adjustment_nv_fund",AH$3,$A82))</f>
        <v/>
      </c>
      <c r="AI82" s="13" t="str">
        <f>IF($A82="","",[1]!thsiFinD("ths_adjustment_nv_fund",AI$3,$A82))</f>
        <v/>
      </c>
      <c r="AJ82" s="13" t="str">
        <f>IF($A82="","",[1]!thsiFinD("ths_adjustment_nv_fund",AJ$3,$A82))</f>
        <v/>
      </c>
      <c r="AK82" s="13" t="str">
        <f>IF($A82="","",[1]!thsiFinD("ths_adjustment_nv_fund",AK$3,$A82))</f>
        <v/>
      </c>
      <c r="AL82" s="13" t="str">
        <f>IF($A82="","",[1]!thsiFinD("ths_adjustment_nv_fund",AL$3,$A82))</f>
        <v/>
      </c>
    </row>
    <row r="83" spans="1:38">
      <c r="A83" s="9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  <c r="AB83" s="13" t="str">
        <f>IF($A83="","",[1]!thsiFinD("ths_adjustment_nv_fund",AB$3,$A83))</f>
        <v/>
      </c>
      <c r="AC83" s="13" t="str">
        <f>IF($A83="","",[1]!thsiFinD("ths_adjustment_nv_fund",AC$3,$A83))</f>
        <v/>
      </c>
      <c r="AD83" s="13" t="str">
        <f>IF($A83="","",[1]!thsiFinD("ths_adjustment_nv_fund",AD$3,$A83))</f>
        <v/>
      </c>
      <c r="AE83" s="13" t="str">
        <f>IF($A83="","",[1]!thsiFinD("ths_adjustment_nv_fund",AE$3,$A83))</f>
        <v/>
      </c>
      <c r="AF83" s="13" t="str">
        <f>IF($A83="","",[1]!thsiFinD("ths_adjustment_nv_fund",AF$3,$A83))</f>
        <v/>
      </c>
      <c r="AG83" s="13" t="str">
        <f>IF($A83="","",[1]!thsiFinD("ths_adjustment_nv_fund",AG$3,$A83))</f>
        <v/>
      </c>
      <c r="AH83" s="13" t="str">
        <f>IF($A83="","",[1]!thsiFinD("ths_adjustment_nv_fund",AH$3,$A83))</f>
        <v/>
      </c>
      <c r="AI83" s="13" t="str">
        <f>IF($A83="","",[1]!thsiFinD("ths_adjustment_nv_fund",AI$3,$A83))</f>
        <v/>
      </c>
      <c r="AJ83" s="13" t="str">
        <f>IF($A83="","",[1]!thsiFinD("ths_adjustment_nv_fund",AJ$3,$A83))</f>
        <v/>
      </c>
      <c r="AK83" s="13" t="str">
        <f>IF($A83="","",[1]!thsiFinD("ths_adjustment_nv_fund",AK$3,$A83))</f>
        <v/>
      </c>
      <c r="AL83" s="13" t="str">
        <f>IF($A83="","",[1]!thsiFinD("ths_adjustment_nv_fund",AL$3,$A83))</f>
        <v/>
      </c>
    </row>
    <row r="84" spans="1:38">
      <c r="A84" s="9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  <c r="AB84" s="13" t="str">
        <f>IF($A84="","",[1]!thsiFinD("ths_adjustment_nv_fund",AB$3,$A84))</f>
        <v/>
      </c>
      <c r="AC84" s="13" t="str">
        <f>IF($A84="","",[1]!thsiFinD("ths_adjustment_nv_fund",AC$3,$A84))</f>
        <v/>
      </c>
      <c r="AD84" s="13" t="str">
        <f>IF($A84="","",[1]!thsiFinD("ths_adjustment_nv_fund",AD$3,$A84))</f>
        <v/>
      </c>
      <c r="AE84" s="13" t="str">
        <f>IF($A84="","",[1]!thsiFinD("ths_adjustment_nv_fund",AE$3,$A84))</f>
        <v/>
      </c>
      <c r="AF84" s="13" t="str">
        <f>IF($A84="","",[1]!thsiFinD("ths_adjustment_nv_fund",AF$3,$A84))</f>
        <v/>
      </c>
      <c r="AG84" s="13" t="str">
        <f>IF($A84="","",[1]!thsiFinD("ths_adjustment_nv_fund",AG$3,$A84))</f>
        <v/>
      </c>
      <c r="AH84" s="13" t="str">
        <f>IF($A84="","",[1]!thsiFinD("ths_adjustment_nv_fund",AH$3,$A84))</f>
        <v/>
      </c>
      <c r="AI84" s="13" t="str">
        <f>IF($A84="","",[1]!thsiFinD("ths_adjustment_nv_fund",AI$3,$A84))</f>
        <v/>
      </c>
      <c r="AJ84" s="13" t="str">
        <f>IF($A84="","",[1]!thsiFinD("ths_adjustment_nv_fund",AJ$3,$A84))</f>
        <v/>
      </c>
      <c r="AK84" s="13" t="str">
        <f>IF($A84="","",[1]!thsiFinD("ths_adjustment_nv_fund",AK$3,$A84))</f>
        <v/>
      </c>
      <c r="AL84" s="13" t="str">
        <f>IF($A84="","",[1]!thsiFinD("ths_adjustment_nv_fund",AL$3,$A84))</f>
        <v/>
      </c>
    </row>
    <row r="85" spans="1:38">
      <c r="A85" s="9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  <c r="AB85" s="13" t="str">
        <f>IF($A85="","",[1]!thsiFinD("ths_adjustment_nv_fund",AB$3,$A85))</f>
        <v/>
      </c>
      <c r="AC85" s="13" t="str">
        <f>IF($A85="","",[1]!thsiFinD("ths_adjustment_nv_fund",AC$3,$A85))</f>
        <v/>
      </c>
      <c r="AD85" s="13" t="str">
        <f>IF($A85="","",[1]!thsiFinD("ths_adjustment_nv_fund",AD$3,$A85))</f>
        <v/>
      </c>
      <c r="AE85" s="13" t="str">
        <f>IF($A85="","",[1]!thsiFinD("ths_adjustment_nv_fund",AE$3,$A85))</f>
        <v/>
      </c>
      <c r="AF85" s="13" t="str">
        <f>IF($A85="","",[1]!thsiFinD("ths_adjustment_nv_fund",AF$3,$A85))</f>
        <v/>
      </c>
      <c r="AG85" s="13" t="str">
        <f>IF($A85="","",[1]!thsiFinD("ths_adjustment_nv_fund",AG$3,$A85))</f>
        <v/>
      </c>
      <c r="AH85" s="13" t="str">
        <f>IF($A85="","",[1]!thsiFinD("ths_adjustment_nv_fund",AH$3,$A85))</f>
        <v/>
      </c>
      <c r="AI85" s="13" t="str">
        <f>IF($A85="","",[1]!thsiFinD("ths_adjustment_nv_fund",AI$3,$A85))</f>
        <v/>
      </c>
      <c r="AJ85" s="13" t="str">
        <f>IF($A85="","",[1]!thsiFinD("ths_adjustment_nv_fund",AJ$3,$A85))</f>
        <v/>
      </c>
      <c r="AK85" s="13" t="str">
        <f>IF($A85="","",[1]!thsiFinD("ths_adjustment_nv_fund",AK$3,$A85))</f>
        <v/>
      </c>
      <c r="AL85" s="13" t="str">
        <f>IF($A85="","",[1]!thsiFinD("ths_adjustment_nv_fund",AL$3,$A85))</f>
        <v/>
      </c>
    </row>
    <row r="86" spans="1:38">
      <c r="A86" s="9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  <c r="AB86" s="13" t="str">
        <f>IF($A86="","",[1]!thsiFinD("ths_adjustment_nv_fund",AB$3,$A86))</f>
        <v/>
      </c>
      <c r="AC86" s="13" t="str">
        <f>IF($A86="","",[1]!thsiFinD("ths_adjustment_nv_fund",AC$3,$A86))</f>
        <v/>
      </c>
      <c r="AD86" s="13" t="str">
        <f>IF($A86="","",[1]!thsiFinD("ths_adjustment_nv_fund",AD$3,$A86))</f>
        <v/>
      </c>
      <c r="AE86" s="13" t="str">
        <f>IF($A86="","",[1]!thsiFinD("ths_adjustment_nv_fund",AE$3,$A86))</f>
        <v/>
      </c>
      <c r="AF86" s="13" t="str">
        <f>IF($A86="","",[1]!thsiFinD("ths_adjustment_nv_fund",AF$3,$A86))</f>
        <v/>
      </c>
      <c r="AG86" s="13" t="str">
        <f>IF($A86="","",[1]!thsiFinD("ths_adjustment_nv_fund",AG$3,$A86))</f>
        <v/>
      </c>
      <c r="AH86" s="13" t="str">
        <f>IF($A86="","",[1]!thsiFinD("ths_adjustment_nv_fund",AH$3,$A86))</f>
        <v/>
      </c>
      <c r="AI86" s="13" t="str">
        <f>IF($A86="","",[1]!thsiFinD("ths_adjustment_nv_fund",AI$3,$A86))</f>
        <v/>
      </c>
      <c r="AJ86" s="13" t="str">
        <f>IF($A86="","",[1]!thsiFinD("ths_adjustment_nv_fund",AJ$3,$A86))</f>
        <v/>
      </c>
      <c r="AK86" s="13" t="str">
        <f>IF($A86="","",[1]!thsiFinD("ths_adjustment_nv_fund",AK$3,$A86))</f>
        <v/>
      </c>
      <c r="AL86" s="13" t="str">
        <f>IF($A86="","",[1]!thsiFinD("ths_adjustment_nv_fund",AL$3,$A86))</f>
        <v/>
      </c>
    </row>
    <row r="87" spans="1:38">
      <c r="A87" s="9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  <c r="AB87" s="13" t="str">
        <f>IF($A87="","",[1]!thsiFinD("ths_adjustment_nv_fund",AB$3,$A87))</f>
        <v/>
      </c>
      <c r="AC87" s="13" t="str">
        <f>IF($A87="","",[1]!thsiFinD("ths_adjustment_nv_fund",AC$3,$A87))</f>
        <v/>
      </c>
      <c r="AD87" s="13" t="str">
        <f>IF($A87="","",[1]!thsiFinD("ths_adjustment_nv_fund",AD$3,$A87))</f>
        <v/>
      </c>
      <c r="AE87" s="13" t="str">
        <f>IF($A87="","",[1]!thsiFinD("ths_adjustment_nv_fund",AE$3,$A87))</f>
        <v/>
      </c>
      <c r="AF87" s="13" t="str">
        <f>IF($A87="","",[1]!thsiFinD("ths_adjustment_nv_fund",AF$3,$A87))</f>
        <v/>
      </c>
      <c r="AG87" s="13" t="str">
        <f>IF($A87="","",[1]!thsiFinD("ths_adjustment_nv_fund",AG$3,$A87))</f>
        <v/>
      </c>
      <c r="AH87" s="13" t="str">
        <f>IF($A87="","",[1]!thsiFinD("ths_adjustment_nv_fund",AH$3,$A87))</f>
        <v/>
      </c>
      <c r="AI87" s="13" t="str">
        <f>IF($A87="","",[1]!thsiFinD("ths_adjustment_nv_fund",AI$3,$A87))</f>
        <v/>
      </c>
      <c r="AJ87" s="13" t="str">
        <f>IF($A87="","",[1]!thsiFinD("ths_adjustment_nv_fund",AJ$3,$A87))</f>
        <v/>
      </c>
      <c r="AK87" s="13" t="str">
        <f>IF($A87="","",[1]!thsiFinD("ths_adjustment_nv_fund",AK$3,$A87))</f>
        <v/>
      </c>
      <c r="AL87" s="13" t="str">
        <f>IF($A87="","",[1]!thsiFinD("ths_adjustment_nv_fund",AL$3,$A87))</f>
        <v/>
      </c>
    </row>
    <row r="88" spans="1:38">
      <c r="A88" s="9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  <c r="AB88" s="13" t="str">
        <f>IF($A88="","",[1]!thsiFinD("ths_adjustment_nv_fund",AB$3,$A88))</f>
        <v/>
      </c>
      <c r="AC88" s="13" t="str">
        <f>IF($A88="","",[1]!thsiFinD("ths_adjustment_nv_fund",AC$3,$A88))</f>
        <v/>
      </c>
      <c r="AD88" s="13" t="str">
        <f>IF($A88="","",[1]!thsiFinD("ths_adjustment_nv_fund",AD$3,$A88))</f>
        <v/>
      </c>
      <c r="AE88" s="13" t="str">
        <f>IF($A88="","",[1]!thsiFinD("ths_adjustment_nv_fund",AE$3,$A88))</f>
        <v/>
      </c>
      <c r="AF88" s="13" t="str">
        <f>IF($A88="","",[1]!thsiFinD("ths_adjustment_nv_fund",AF$3,$A88))</f>
        <v/>
      </c>
      <c r="AG88" s="13" t="str">
        <f>IF($A88="","",[1]!thsiFinD("ths_adjustment_nv_fund",AG$3,$A88))</f>
        <v/>
      </c>
      <c r="AH88" s="13" t="str">
        <f>IF($A88="","",[1]!thsiFinD("ths_adjustment_nv_fund",AH$3,$A88))</f>
        <v/>
      </c>
      <c r="AI88" s="13" t="str">
        <f>IF($A88="","",[1]!thsiFinD("ths_adjustment_nv_fund",AI$3,$A88))</f>
        <v/>
      </c>
      <c r="AJ88" s="13" t="str">
        <f>IF($A88="","",[1]!thsiFinD("ths_adjustment_nv_fund",AJ$3,$A88))</f>
        <v/>
      </c>
      <c r="AK88" s="13" t="str">
        <f>IF($A88="","",[1]!thsiFinD("ths_adjustment_nv_fund",AK$3,$A88))</f>
        <v/>
      </c>
      <c r="AL88" s="13" t="str">
        <f>IF($A88="","",[1]!thsiFinD("ths_adjustment_nv_fund",AL$3,$A88))</f>
        <v/>
      </c>
    </row>
    <row r="89" spans="1:38">
      <c r="A89" s="9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  <c r="AB89" s="13" t="str">
        <f>IF($A89="","",[1]!thsiFinD("ths_adjustment_nv_fund",AB$3,$A89))</f>
        <v/>
      </c>
      <c r="AC89" s="13" t="str">
        <f>IF($A89="","",[1]!thsiFinD("ths_adjustment_nv_fund",AC$3,$A89))</f>
        <v/>
      </c>
      <c r="AD89" s="13" t="str">
        <f>IF($A89="","",[1]!thsiFinD("ths_adjustment_nv_fund",AD$3,$A89))</f>
        <v/>
      </c>
      <c r="AE89" s="13" t="str">
        <f>IF($A89="","",[1]!thsiFinD("ths_adjustment_nv_fund",AE$3,$A89))</f>
        <v/>
      </c>
      <c r="AF89" s="13" t="str">
        <f>IF($A89="","",[1]!thsiFinD("ths_adjustment_nv_fund",AF$3,$A89))</f>
        <v/>
      </c>
      <c r="AG89" s="13" t="str">
        <f>IF($A89="","",[1]!thsiFinD("ths_adjustment_nv_fund",AG$3,$A89))</f>
        <v/>
      </c>
      <c r="AH89" s="13" t="str">
        <f>IF($A89="","",[1]!thsiFinD("ths_adjustment_nv_fund",AH$3,$A89))</f>
        <v/>
      </c>
      <c r="AI89" s="13" t="str">
        <f>IF($A89="","",[1]!thsiFinD("ths_adjustment_nv_fund",AI$3,$A89))</f>
        <v/>
      </c>
      <c r="AJ89" s="13" t="str">
        <f>IF($A89="","",[1]!thsiFinD("ths_adjustment_nv_fund",AJ$3,$A89))</f>
        <v/>
      </c>
      <c r="AK89" s="13" t="str">
        <f>IF($A89="","",[1]!thsiFinD("ths_adjustment_nv_fund",AK$3,$A89))</f>
        <v/>
      </c>
      <c r="AL89" s="13" t="str">
        <f>IF($A89="","",[1]!thsiFinD("ths_adjustment_nv_fund",AL$3,$A89))</f>
        <v/>
      </c>
    </row>
    <row r="90" spans="1:38">
      <c r="A90" s="9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  <c r="AB90" s="13" t="str">
        <f>IF($A90="","",[1]!thsiFinD("ths_adjustment_nv_fund",AB$3,$A90))</f>
        <v/>
      </c>
      <c r="AC90" s="13" t="str">
        <f>IF($A90="","",[1]!thsiFinD("ths_adjustment_nv_fund",AC$3,$A90))</f>
        <v/>
      </c>
      <c r="AD90" s="13" t="str">
        <f>IF($A90="","",[1]!thsiFinD("ths_adjustment_nv_fund",AD$3,$A90))</f>
        <v/>
      </c>
      <c r="AE90" s="13" t="str">
        <f>IF($A90="","",[1]!thsiFinD("ths_adjustment_nv_fund",AE$3,$A90))</f>
        <v/>
      </c>
      <c r="AF90" s="13" t="str">
        <f>IF($A90="","",[1]!thsiFinD("ths_adjustment_nv_fund",AF$3,$A90))</f>
        <v/>
      </c>
      <c r="AG90" s="13" t="str">
        <f>IF($A90="","",[1]!thsiFinD("ths_adjustment_nv_fund",AG$3,$A90))</f>
        <v/>
      </c>
      <c r="AH90" s="13" t="str">
        <f>IF($A90="","",[1]!thsiFinD("ths_adjustment_nv_fund",AH$3,$A90))</f>
        <v/>
      </c>
      <c r="AI90" s="13" t="str">
        <f>IF($A90="","",[1]!thsiFinD("ths_adjustment_nv_fund",AI$3,$A90))</f>
        <v/>
      </c>
      <c r="AJ90" s="13" t="str">
        <f>IF($A90="","",[1]!thsiFinD("ths_adjustment_nv_fund",AJ$3,$A90))</f>
        <v/>
      </c>
      <c r="AK90" s="13" t="str">
        <f>IF($A90="","",[1]!thsiFinD("ths_adjustment_nv_fund",AK$3,$A90))</f>
        <v/>
      </c>
      <c r="AL90" s="13" t="str">
        <f>IF($A90="","",[1]!thsiFinD("ths_adjustment_nv_fund",AL$3,$A90))</f>
        <v/>
      </c>
    </row>
    <row r="91" spans="1:38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 t="str">
        <f>IF($A91="","",[1]!thsiFinD("ths_adjustment_nv_fund",AB$3,$A91))</f>
        <v/>
      </c>
      <c r="AC91" s="13" t="str">
        <f>IF($A91="","",[1]!thsiFinD("ths_adjustment_nv_fund",AC$3,$A91))</f>
        <v/>
      </c>
      <c r="AD91" s="13" t="str">
        <f>IF($A91="","",[1]!thsiFinD("ths_adjustment_nv_fund",AD$3,$A91))</f>
        <v/>
      </c>
      <c r="AE91" s="13" t="str">
        <f>IF($A91="","",[1]!thsiFinD("ths_adjustment_nv_fund",AE$3,$A91))</f>
        <v/>
      </c>
      <c r="AF91" s="13" t="str">
        <f>IF($A91="","",[1]!thsiFinD("ths_adjustment_nv_fund",AF$3,$A91))</f>
        <v/>
      </c>
      <c r="AG91" s="13" t="str">
        <f>IF($A91="","",[1]!thsiFinD("ths_adjustment_nv_fund",AG$3,$A91))</f>
        <v/>
      </c>
      <c r="AH91" s="13" t="str">
        <f>IF($A91="","",[1]!thsiFinD("ths_adjustment_nv_fund",AH$3,$A91))</f>
        <v/>
      </c>
      <c r="AI91" s="13" t="str">
        <f>IF($A91="","",[1]!thsiFinD("ths_adjustment_nv_fund",AI$3,$A91))</f>
        <v/>
      </c>
      <c r="AJ91" s="13" t="str">
        <f>IF($A91="","",[1]!thsiFinD("ths_adjustment_nv_fund",AJ$3,$A91))</f>
        <v/>
      </c>
      <c r="AK91" s="13" t="str">
        <f>IF($A91="","",[1]!thsiFinD("ths_adjustment_nv_fund",AK$3,$A91))</f>
        <v/>
      </c>
      <c r="AL91" s="13" t="str">
        <f>IF($A91="","",[1]!thsiFinD("ths_adjustment_nv_fund",AL$3,$A91))</f>
        <v/>
      </c>
    </row>
    <row r="92" spans="1:38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 t="str">
        <f>IF($A92="","",[1]!thsiFinD("ths_adjustment_nv_fund",AB$3,$A92))</f>
        <v/>
      </c>
      <c r="AC92" s="13" t="str">
        <f>IF($A92="","",[1]!thsiFinD("ths_adjustment_nv_fund",AC$3,$A92))</f>
        <v/>
      </c>
      <c r="AD92" s="13" t="str">
        <f>IF($A92="","",[1]!thsiFinD("ths_adjustment_nv_fund",AD$3,$A92))</f>
        <v/>
      </c>
      <c r="AE92" s="13" t="str">
        <f>IF($A92="","",[1]!thsiFinD("ths_adjustment_nv_fund",AE$3,$A92))</f>
        <v/>
      </c>
      <c r="AF92" s="13" t="str">
        <f>IF($A92="","",[1]!thsiFinD("ths_adjustment_nv_fund",AF$3,$A92))</f>
        <v/>
      </c>
      <c r="AG92" s="13" t="str">
        <f>IF($A92="","",[1]!thsiFinD("ths_adjustment_nv_fund",AG$3,$A92))</f>
        <v/>
      </c>
      <c r="AH92" s="13" t="str">
        <f>IF($A92="","",[1]!thsiFinD("ths_adjustment_nv_fund",AH$3,$A92))</f>
        <v/>
      </c>
      <c r="AI92" s="13" t="str">
        <f>IF($A92="","",[1]!thsiFinD("ths_adjustment_nv_fund",AI$3,$A92))</f>
        <v/>
      </c>
      <c r="AJ92" s="13" t="str">
        <f>IF($A92="","",[1]!thsiFinD("ths_adjustment_nv_fund",AJ$3,$A92))</f>
        <v/>
      </c>
      <c r="AK92" s="13" t="str">
        <f>IF($A92="","",[1]!thsiFinD("ths_adjustment_nv_fund",AK$3,$A92))</f>
        <v/>
      </c>
      <c r="AL92" s="13" t="str">
        <f>IF($A92="","",[1]!thsiFinD("ths_adjustment_nv_fund",AL$3,$A92))</f>
        <v/>
      </c>
    </row>
    <row r="93" spans="1:38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 t="str">
        <f>IF($A93="","",[1]!thsiFinD("ths_adjustment_nv_fund",AB$3,$A93))</f>
        <v/>
      </c>
      <c r="AC93" s="13" t="str">
        <f>IF($A93="","",[1]!thsiFinD("ths_adjustment_nv_fund",AC$3,$A93))</f>
        <v/>
      </c>
      <c r="AD93" s="13" t="str">
        <f>IF($A93="","",[1]!thsiFinD("ths_adjustment_nv_fund",AD$3,$A93))</f>
        <v/>
      </c>
      <c r="AE93" s="13" t="str">
        <f>IF($A93="","",[1]!thsiFinD("ths_adjustment_nv_fund",AE$3,$A93))</f>
        <v/>
      </c>
      <c r="AF93" s="13" t="str">
        <f>IF($A93="","",[1]!thsiFinD("ths_adjustment_nv_fund",AF$3,$A93))</f>
        <v/>
      </c>
      <c r="AG93" s="13" t="str">
        <f>IF($A93="","",[1]!thsiFinD("ths_adjustment_nv_fund",AG$3,$A93))</f>
        <v/>
      </c>
      <c r="AH93" s="13" t="str">
        <f>IF($A93="","",[1]!thsiFinD("ths_adjustment_nv_fund",AH$3,$A93))</f>
        <v/>
      </c>
      <c r="AI93" s="13" t="str">
        <f>IF($A93="","",[1]!thsiFinD("ths_adjustment_nv_fund",AI$3,$A93))</f>
        <v/>
      </c>
      <c r="AJ93" s="13" t="str">
        <f>IF($A93="","",[1]!thsiFinD("ths_adjustment_nv_fund",AJ$3,$A93))</f>
        <v/>
      </c>
      <c r="AK93" s="13" t="str">
        <f>IF($A93="","",[1]!thsiFinD("ths_adjustment_nv_fund",AK$3,$A93))</f>
        <v/>
      </c>
      <c r="AL93" s="13" t="str">
        <f>IF($A93="","",[1]!thsiFinD("ths_adjustment_nv_fund",AL$3,$A93))</f>
        <v/>
      </c>
    </row>
    <row r="94" spans="1:38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 t="str">
        <f>IF($A94="","",[1]!thsiFinD("ths_adjustment_nv_fund",AB$3,$A94))</f>
        <v/>
      </c>
      <c r="AC94" s="13" t="str">
        <f>IF($A94="","",[1]!thsiFinD("ths_adjustment_nv_fund",AC$3,$A94))</f>
        <v/>
      </c>
      <c r="AD94" s="13" t="str">
        <f>IF($A94="","",[1]!thsiFinD("ths_adjustment_nv_fund",AD$3,$A94))</f>
        <v/>
      </c>
      <c r="AE94" s="13" t="str">
        <f>IF($A94="","",[1]!thsiFinD("ths_adjustment_nv_fund",AE$3,$A94))</f>
        <v/>
      </c>
      <c r="AF94" s="13" t="str">
        <f>IF($A94="","",[1]!thsiFinD("ths_adjustment_nv_fund",AF$3,$A94))</f>
        <v/>
      </c>
      <c r="AG94" s="13" t="str">
        <f>IF($A94="","",[1]!thsiFinD("ths_adjustment_nv_fund",AG$3,$A94))</f>
        <v/>
      </c>
      <c r="AH94" s="13" t="str">
        <f>IF($A94="","",[1]!thsiFinD("ths_adjustment_nv_fund",AH$3,$A94))</f>
        <v/>
      </c>
      <c r="AI94" s="13" t="str">
        <f>IF($A94="","",[1]!thsiFinD("ths_adjustment_nv_fund",AI$3,$A94))</f>
        <v/>
      </c>
      <c r="AJ94" s="13" t="str">
        <f>IF($A94="","",[1]!thsiFinD("ths_adjustment_nv_fund",AJ$3,$A94))</f>
        <v/>
      </c>
      <c r="AK94" s="13" t="str">
        <f>IF($A94="","",[1]!thsiFinD("ths_adjustment_nv_fund",AK$3,$A94))</f>
        <v/>
      </c>
      <c r="AL94" s="13" t="str">
        <f>IF($A94="","",[1]!thsiFinD("ths_adjustment_nv_fund",AL$3,$A94))</f>
        <v/>
      </c>
    </row>
    <row r="95" spans="1:38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 t="str">
        <f>IF($A95="","",[1]!thsiFinD("ths_adjustment_nv_fund",AB$3,$A95))</f>
        <v/>
      </c>
      <c r="AC95" s="13" t="str">
        <f>IF($A95="","",[1]!thsiFinD("ths_adjustment_nv_fund",AC$3,$A95))</f>
        <v/>
      </c>
      <c r="AD95" s="13" t="str">
        <f>IF($A95="","",[1]!thsiFinD("ths_adjustment_nv_fund",AD$3,$A95))</f>
        <v/>
      </c>
      <c r="AE95" s="13" t="str">
        <f>IF($A95="","",[1]!thsiFinD("ths_adjustment_nv_fund",AE$3,$A95))</f>
        <v/>
      </c>
      <c r="AF95" s="13" t="str">
        <f>IF($A95="","",[1]!thsiFinD("ths_adjustment_nv_fund",AF$3,$A95))</f>
        <v/>
      </c>
      <c r="AG95" s="13" t="str">
        <f>IF($A95="","",[1]!thsiFinD("ths_adjustment_nv_fund",AG$3,$A95))</f>
        <v/>
      </c>
      <c r="AH95" s="13" t="str">
        <f>IF($A95="","",[1]!thsiFinD("ths_adjustment_nv_fund",AH$3,$A95))</f>
        <v/>
      </c>
      <c r="AI95" s="13" t="str">
        <f>IF($A95="","",[1]!thsiFinD("ths_adjustment_nv_fund",AI$3,$A95))</f>
        <v/>
      </c>
      <c r="AJ95" s="13" t="str">
        <f>IF($A95="","",[1]!thsiFinD("ths_adjustment_nv_fund",AJ$3,$A95))</f>
        <v/>
      </c>
      <c r="AK95" s="13" t="str">
        <f>IF($A95="","",[1]!thsiFinD("ths_adjustment_nv_fund",AK$3,$A95))</f>
        <v/>
      </c>
      <c r="AL95" s="13" t="str">
        <f>IF($A95="","",[1]!thsiFinD("ths_adjustment_nv_fund",AL$3,$A95))</f>
        <v/>
      </c>
    </row>
    <row r="96" spans="1:38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 t="str">
        <f>IF($A96="","",[1]!thsiFinD("ths_adjustment_nv_fund",AB$3,$A96))</f>
        <v/>
      </c>
      <c r="AC96" s="13" t="str">
        <f>IF($A96="","",[1]!thsiFinD("ths_adjustment_nv_fund",AC$3,$A96))</f>
        <v/>
      </c>
      <c r="AD96" s="13" t="str">
        <f>IF($A96="","",[1]!thsiFinD("ths_adjustment_nv_fund",AD$3,$A96))</f>
        <v/>
      </c>
      <c r="AE96" s="13" t="str">
        <f>IF($A96="","",[1]!thsiFinD("ths_adjustment_nv_fund",AE$3,$A96))</f>
        <v/>
      </c>
      <c r="AF96" s="13" t="str">
        <f>IF($A96="","",[1]!thsiFinD("ths_adjustment_nv_fund",AF$3,$A96))</f>
        <v/>
      </c>
      <c r="AG96" s="13" t="str">
        <f>IF($A96="","",[1]!thsiFinD("ths_adjustment_nv_fund",AG$3,$A96))</f>
        <v/>
      </c>
      <c r="AH96" s="13" t="str">
        <f>IF($A96="","",[1]!thsiFinD("ths_adjustment_nv_fund",AH$3,$A96))</f>
        <v/>
      </c>
      <c r="AI96" s="13" t="str">
        <f>IF($A96="","",[1]!thsiFinD("ths_adjustment_nv_fund",AI$3,$A96))</f>
        <v/>
      </c>
      <c r="AJ96" s="13" t="str">
        <f>IF($A96="","",[1]!thsiFinD("ths_adjustment_nv_fund",AJ$3,$A96))</f>
        <v/>
      </c>
      <c r="AK96" s="13" t="str">
        <f>IF($A96="","",[1]!thsiFinD("ths_adjustment_nv_fund",AK$3,$A96))</f>
        <v/>
      </c>
      <c r="AL96" s="13" t="str">
        <f>IF($A96="","",[1]!thsiFinD("ths_adjustment_nv_fund",AL$3,$A96))</f>
        <v/>
      </c>
    </row>
    <row r="97" spans="1:38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 t="str">
        <f>IF($A97="","",[1]!thsiFinD("ths_adjustment_nv_fund",AB$3,$A97))</f>
        <v/>
      </c>
      <c r="AC97" s="13" t="str">
        <f>IF($A97="","",[1]!thsiFinD("ths_adjustment_nv_fund",AC$3,$A97))</f>
        <v/>
      </c>
      <c r="AD97" s="13" t="str">
        <f>IF($A97="","",[1]!thsiFinD("ths_adjustment_nv_fund",AD$3,$A97))</f>
        <v/>
      </c>
      <c r="AE97" s="13" t="str">
        <f>IF($A97="","",[1]!thsiFinD("ths_adjustment_nv_fund",AE$3,$A97))</f>
        <v/>
      </c>
      <c r="AF97" s="13" t="str">
        <f>IF($A97="","",[1]!thsiFinD("ths_adjustment_nv_fund",AF$3,$A97))</f>
        <v/>
      </c>
      <c r="AG97" s="13" t="str">
        <f>IF($A97="","",[1]!thsiFinD("ths_adjustment_nv_fund",AG$3,$A97))</f>
        <v/>
      </c>
      <c r="AH97" s="13" t="str">
        <f>IF($A97="","",[1]!thsiFinD("ths_adjustment_nv_fund",AH$3,$A97))</f>
        <v/>
      </c>
      <c r="AI97" s="13" t="str">
        <f>IF($A97="","",[1]!thsiFinD("ths_adjustment_nv_fund",AI$3,$A97))</f>
        <v/>
      </c>
      <c r="AJ97" s="13" t="str">
        <f>IF($A97="","",[1]!thsiFinD("ths_adjustment_nv_fund",AJ$3,$A97))</f>
        <v/>
      </c>
      <c r="AK97" s="13" t="str">
        <f>IF($A97="","",[1]!thsiFinD("ths_adjustment_nv_fund",AK$3,$A97))</f>
        <v/>
      </c>
      <c r="AL97" s="13" t="str">
        <f>IF($A97="","",[1]!thsiFinD("ths_adjustment_nv_fund",AL$3,$A97))</f>
        <v/>
      </c>
    </row>
    <row r="98" spans="1:38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 t="str">
        <f>IF($A98="","",[1]!thsiFinD("ths_adjustment_nv_fund",AB$3,$A98))</f>
        <v/>
      </c>
      <c r="AC98" s="13" t="str">
        <f>IF($A98="","",[1]!thsiFinD("ths_adjustment_nv_fund",AC$3,$A98))</f>
        <v/>
      </c>
      <c r="AD98" s="13" t="str">
        <f>IF($A98="","",[1]!thsiFinD("ths_adjustment_nv_fund",AD$3,$A98))</f>
        <v/>
      </c>
      <c r="AE98" s="13" t="str">
        <f>IF($A98="","",[1]!thsiFinD("ths_adjustment_nv_fund",AE$3,$A98))</f>
        <v/>
      </c>
      <c r="AF98" s="13" t="str">
        <f>IF($A98="","",[1]!thsiFinD("ths_adjustment_nv_fund",AF$3,$A98))</f>
        <v/>
      </c>
      <c r="AG98" s="13" t="str">
        <f>IF($A98="","",[1]!thsiFinD("ths_adjustment_nv_fund",AG$3,$A98))</f>
        <v/>
      </c>
      <c r="AH98" s="13" t="str">
        <f>IF($A98="","",[1]!thsiFinD("ths_adjustment_nv_fund",AH$3,$A98))</f>
        <v/>
      </c>
      <c r="AI98" s="13" t="str">
        <f>IF($A98="","",[1]!thsiFinD("ths_adjustment_nv_fund",AI$3,$A98))</f>
        <v/>
      </c>
      <c r="AJ98" s="13" t="str">
        <f>IF($A98="","",[1]!thsiFinD("ths_adjustment_nv_fund",AJ$3,$A98))</f>
        <v/>
      </c>
      <c r="AK98" s="13" t="str">
        <f>IF($A98="","",[1]!thsiFinD("ths_adjustment_nv_fund",AK$3,$A98))</f>
        <v/>
      </c>
      <c r="AL98" s="13" t="str">
        <f>IF($A98="","",[1]!thsiFinD("ths_adjustment_nv_fund",AL$3,$A98))</f>
        <v/>
      </c>
    </row>
    <row r="99" spans="1:38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 t="str">
        <f>IF($A99="","",[1]!thsiFinD("ths_adjustment_nv_fund",AB$3,$A99))</f>
        <v/>
      </c>
      <c r="AC99" s="13" t="str">
        <f>IF($A99="","",[1]!thsiFinD("ths_adjustment_nv_fund",AC$3,$A99))</f>
        <v/>
      </c>
      <c r="AD99" s="13" t="str">
        <f>IF($A99="","",[1]!thsiFinD("ths_adjustment_nv_fund",AD$3,$A99))</f>
        <v/>
      </c>
      <c r="AE99" s="13" t="str">
        <f>IF($A99="","",[1]!thsiFinD("ths_adjustment_nv_fund",AE$3,$A99))</f>
        <v/>
      </c>
      <c r="AF99" s="13" t="str">
        <f>IF($A99="","",[1]!thsiFinD("ths_adjustment_nv_fund",AF$3,$A99))</f>
        <v/>
      </c>
      <c r="AG99" s="13" t="str">
        <f>IF($A99="","",[1]!thsiFinD("ths_adjustment_nv_fund",AG$3,$A99))</f>
        <v/>
      </c>
      <c r="AH99" s="13" t="str">
        <f>IF($A99="","",[1]!thsiFinD("ths_adjustment_nv_fund",AH$3,$A99))</f>
        <v/>
      </c>
      <c r="AI99" s="13" t="str">
        <f>IF($A99="","",[1]!thsiFinD("ths_adjustment_nv_fund",AI$3,$A99))</f>
        <v/>
      </c>
      <c r="AJ99" s="13" t="str">
        <f>IF($A99="","",[1]!thsiFinD("ths_adjustment_nv_fund",AJ$3,$A99))</f>
        <v/>
      </c>
      <c r="AK99" s="13" t="str">
        <f>IF($A99="","",[1]!thsiFinD("ths_adjustment_nv_fund",AK$3,$A99))</f>
        <v/>
      </c>
      <c r="AL99" s="13" t="str">
        <f>IF($A99="","",[1]!thsiFinD("ths_adjustment_nv_fund",AL$3,$A99))</f>
        <v/>
      </c>
    </row>
    <row r="100" spans="1:38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 t="str">
        <f>IF($A100="","",[1]!thsiFinD("ths_adjustment_nv_fund",AB$3,$A100))</f>
        <v/>
      </c>
      <c r="AC100" s="13" t="str">
        <f>IF($A100="","",[1]!thsiFinD("ths_adjustment_nv_fund",AC$3,$A100))</f>
        <v/>
      </c>
      <c r="AD100" s="13" t="str">
        <f>IF($A100="","",[1]!thsiFinD("ths_adjustment_nv_fund",AD$3,$A100))</f>
        <v/>
      </c>
      <c r="AE100" s="13" t="str">
        <f>IF($A100="","",[1]!thsiFinD("ths_adjustment_nv_fund",AE$3,$A100))</f>
        <v/>
      </c>
      <c r="AF100" s="13" t="str">
        <f>IF($A100="","",[1]!thsiFinD("ths_adjustment_nv_fund",AF$3,$A100))</f>
        <v/>
      </c>
      <c r="AG100" s="13" t="str">
        <f>IF($A100="","",[1]!thsiFinD("ths_adjustment_nv_fund",AG$3,$A100))</f>
        <v/>
      </c>
      <c r="AH100" s="13" t="str">
        <f>IF($A100="","",[1]!thsiFinD("ths_adjustment_nv_fund",AH$3,$A100))</f>
        <v/>
      </c>
      <c r="AI100" s="13" t="str">
        <f>IF($A100="","",[1]!thsiFinD("ths_adjustment_nv_fund",AI$3,$A100))</f>
        <v/>
      </c>
      <c r="AJ100" s="13" t="str">
        <f>IF($A100="","",[1]!thsiFinD("ths_adjustment_nv_fund",AJ$3,$A100))</f>
        <v/>
      </c>
      <c r="AK100" s="13" t="str">
        <f>IF($A100="","",[1]!thsiFinD("ths_adjustment_nv_fund",AK$3,$A100))</f>
        <v/>
      </c>
      <c r="AL100" s="13" t="str">
        <f>IF($A100="","",[1]!thsiFinD("ths_adjustment_nv_fund",AL$3,$A100))</f>
        <v/>
      </c>
    </row>
    <row r="101" spans="1:38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 t="str">
        <f>IF($A101="","",[1]!thsiFinD("ths_adjustment_nv_fund",AB$3,$A101))</f>
        <v/>
      </c>
      <c r="AC101" s="13" t="str">
        <f>IF($A101="","",[1]!thsiFinD("ths_adjustment_nv_fund",AC$3,$A101))</f>
        <v/>
      </c>
      <c r="AD101" s="13" t="str">
        <f>IF($A101="","",[1]!thsiFinD("ths_adjustment_nv_fund",AD$3,$A101))</f>
        <v/>
      </c>
      <c r="AE101" s="13" t="str">
        <f>IF($A101="","",[1]!thsiFinD("ths_adjustment_nv_fund",AE$3,$A101))</f>
        <v/>
      </c>
      <c r="AF101" s="13" t="str">
        <f>IF($A101="","",[1]!thsiFinD("ths_adjustment_nv_fund",AF$3,$A101))</f>
        <v/>
      </c>
      <c r="AG101" s="13" t="str">
        <f>IF($A101="","",[1]!thsiFinD("ths_adjustment_nv_fund",AG$3,$A101))</f>
        <v/>
      </c>
      <c r="AH101" s="13" t="str">
        <f>IF($A101="","",[1]!thsiFinD("ths_adjustment_nv_fund",AH$3,$A101))</f>
        <v/>
      </c>
      <c r="AI101" s="13" t="str">
        <f>IF($A101="","",[1]!thsiFinD("ths_adjustment_nv_fund",AI$3,$A101))</f>
        <v/>
      </c>
      <c r="AJ101" s="13" t="str">
        <f>IF($A101="","",[1]!thsiFinD("ths_adjustment_nv_fund",AJ$3,$A101))</f>
        <v/>
      </c>
      <c r="AK101" s="13" t="str">
        <f>IF($A101="","",[1]!thsiFinD("ths_adjustment_nv_fund",AK$3,$A101))</f>
        <v/>
      </c>
      <c r="AL101" s="13" t="str">
        <f>IF($A101="","",[1]!thsiFinD("ths_adjustment_nv_fund",AL$3,$A101))</f>
        <v/>
      </c>
    </row>
    <row r="102" spans="1:38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 t="str">
        <f>IF($A102="","",[1]!thsiFinD("ths_adjustment_nv_fund",AB$3,$A102))</f>
        <v/>
      </c>
      <c r="AC102" s="13" t="str">
        <f>IF($A102="","",[1]!thsiFinD("ths_adjustment_nv_fund",AC$3,$A102))</f>
        <v/>
      </c>
      <c r="AD102" s="13" t="str">
        <f>IF($A102="","",[1]!thsiFinD("ths_adjustment_nv_fund",AD$3,$A102))</f>
        <v/>
      </c>
      <c r="AE102" s="13" t="str">
        <f>IF($A102="","",[1]!thsiFinD("ths_adjustment_nv_fund",AE$3,$A102))</f>
        <v/>
      </c>
      <c r="AF102" s="13" t="str">
        <f>IF($A102="","",[1]!thsiFinD("ths_adjustment_nv_fund",AF$3,$A102))</f>
        <v/>
      </c>
      <c r="AG102" s="13" t="str">
        <f>IF($A102="","",[1]!thsiFinD("ths_adjustment_nv_fund",AG$3,$A102))</f>
        <v/>
      </c>
      <c r="AH102" s="13" t="str">
        <f>IF($A102="","",[1]!thsiFinD("ths_adjustment_nv_fund",AH$3,$A102))</f>
        <v/>
      </c>
      <c r="AI102" s="13" t="str">
        <f>IF($A102="","",[1]!thsiFinD("ths_adjustment_nv_fund",AI$3,$A102))</f>
        <v/>
      </c>
      <c r="AJ102" s="13" t="str">
        <f>IF($A102="","",[1]!thsiFinD("ths_adjustment_nv_fund",AJ$3,$A102))</f>
        <v/>
      </c>
      <c r="AK102" s="13" t="str">
        <f>IF($A102="","",[1]!thsiFinD("ths_adjustment_nv_fund",AK$3,$A102))</f>
        <v/>
      </c>
      <c r="AL102" s="13" t="str">
        <f>IF($A102="","",[1]!thsiFinD("ths_adjustment_nv_fund",AL$3,$A102))</f>
        <v/>
      </c>
    </row>
    <row r="103" spans="1:38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 t="str">
        <f>IF($A103="","",[1]!thsiFinD("ths_adjustment_nv_fund",AB$3,$A103))</f>
        <v/>
      </c>
      <c r="AC103" s="13" t="str">
        <f>IF($A103="","",[1]!thsiFinD("ths_adjustment_nv_fund",AC$3,$A103))</f>
        <v/>
      </c>
      <c r="AD103" s="13" t="str">
        <f>IF($A103="","",[1]!thsiFinD("ths_adjustment_nv_fund",AD$3,$A103))</f>
        <v/>
      </c>
      <c r="AE103" s="13" t="str">
        <f>IF($A103="","",[1]!thsiFinD("ths_adjustment_nv_fund",AE$3,$A103))</f>
        <v/>
      </c>
      <c r="AF103" s="13" t="str">
        <f>IF($A103="","",[1]!thsiFinD("ths_adjustment_nv_fund",AF$3,$A103))</f>
        <v/>
      </c>
      <c r="AG103" s="13" t="str">
        <f>IF($A103="","",[1]!thsiFinD("ths_adjustment_nv_fund",AG$3,$A103))</f>
        <v/>
      </c>
      <c r="AH103" s="13" t="str">
        <f>IF($A103="","",[1]!thsiFinD("ths_adjustment_nv_fund",AH$3,$A103))</f>
        <v/>
      </c>
      <c r="AI103" s="13" t="str">
        <f>IF($A103="","",[1]!thsiFinD("ths_adjustment_nv_fund",AI$3,$A103))</f>
        <v/>
      </c>
      <c r="AJ103" s="13" t="str">
        <f>IF($A103="","",[1]!thsiFinD("ths_adjustment_nv_fund",AJ$3,$A103))</f>
        <v/>
      </c>
      <c r="AK103" s="13" t="str">
        <f>IF($A103="","",[1]!thsiFinD("ths_adjustment_nv_fund",AK$3,$A103))</f>
        <v/>
      </c>
      <c r="AL103" s="13" t="str">
        <f>IF($A103="","",[1]!thsiFinD("ths_adjustment_nv_fund",AL$3,$A103))</f>
        <v/>
      </c>
    </row>
    <row r="104" spans="1:38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 t="str">
        <f>IF($A104="","",[1]!thsiFinD("ths_adjustment_nv_fund",AB$3,$A104))</f>
        <v/>
      </c>
      <c r="AC104" s="13" t="str">
        <f>IF($A104="","",[1]!thsiFinD("ths_adjustment_nv_fund",AC$3,$A104))</f>
        <v/>
      </c>
      <c r="AD104" s="13" t="str">
        <f>IF($A104="","",[1]!thsiFinD("ths_adjustment_nv_fund",AD$3,$A104))</f>
        <v/>
      </c>
      <c r="AE104" s="13" t="str">
        <f>IF($A104="","",[1]!thsiFinD("ths_adjustment_nv_fund",AE$3,$A104))</f>
        <v/>
      </c>
      <c r="AF104" s="13" t="str">
        <f>IF($A104="","",[1]!thsiFinD("ths_adjustment_nv_fund",AF$3,$A104))</f>
        <v/>
      </c>
      <c r="AG104" s="13" t="str">
        <f>IF($A104="","",[1]!thsiFinD("ths_adjustment_nv_fund",AG$3,$A104))</f>
        <v/>
      </c>
      <c r="AH104" s="13" t="str">
        <f>IF($A104="","",[1]!thsiFinD("ths_adjustment_nv_fund",AH$3,$A104))</f>
        <v/>
      </c>
      <c r="AI104" s="13" t="str">
        <f>IF($A104="","",[1]!thsiFinD("ths_adjustment_nv_fund",AI$3,$A104))</f>
        <v/>
      </c>
      <c r="AJ104" s="13" t="str">
        <f>IF($A104="","",[1]!thsiFinD("ths_adjustment_nv_fund",AJ$3,$A104))</f>
        <v/>
      </c>
      <c r="AK104" s="13" t="str">
        <f>IF($A104="","",[1]!thsiFinD("ths_adjustment_nv_fund",AK$3,$A104))</f>
        <v/>
      </c>
      <c r="AL104" s="13" t="str">
        <f>IF($A104="","",[1]!thsiFinD("ths_adjustment_nv_fund",AL$3,$A104))</f>
        <v/>
      </c>
    </row>
    <row r="105" spans="1:38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 t="str">
        <f>IF($A105="","",[1]!thsiFinD("ths_adjustment_nv_fund",AB$3,$A105))</f>
        <v/>
      </c>
      <c r="AC105" s="13" t="str">
        <f>IF($A105="","",[1]!thsiFinD("ths_adjustment_nv_fund",AC$3,$A105))</f>
        <v/>
      </c>
      <c r="AD105" s="13" t="str">
        <f>IF($A105="","",[1]!thsiFinD("ths_adjustment_nv_fund",AD$3,$A105))</f>
        <v/>
      </c>
      <c r="AE105" s="13" t="str">
        <f>IF($A105="","",[1]!thsiFinD("ths_adjustment_nv_fund",AE$3,$A105))</f>
        <v/>
      </c>
      <c r="AF105" s="13" t="str">
        <f>IF($A105="","",[1]!thsiFinD("ths_adjustment_nv_fund",AF$3,$A105))</f>
        <v/>
      </c>
      <c r="AG105" s="13" t="str">
        <f>IF($A105="","",[1]!thsiFinD("ths_adjustment_nv_fund",AG$3,$A105))</f>
        <v/>
      </c>
      <c r="AH105" s="13" t="str">
        <f>IF($A105="","",[1]!thsiFinD("ths_adjustment_nv_fund",AH$3,$A105))</f>
        <v/>
      </c>
      <c r="AI105" s="13" t="str">
        <f>IF($A105="","",[1]!thsiFinD("ths_adjustment_nv_fund",AI$3,$A105))</f>
        <v/>
      </c>
      <c r="AJ105" s="13" t="str">
        <f>IF($A105="","",[1]!thsiFinD("ths_adjustment_nv_fund",AJ$3,$A105))</f>
        <v/>
      </c>
      <c r="AK105" s="13" t="str">
        <f>IF($A105="","",[1]!thsiFinD("ths_adjustment_nv_fund",AK$3,$A105))</f>
        <v/>
      </c>
      <c r="AL105" s="13" t="str">
        <f>IF($A105="","",[1]!thsiFinD("ths_adjustment_nv_fund",AL$3,$A105))</f>
        <v/>
      </c>
    </row>
    <row r="106" spans="1:38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 t="str">
        <f>IF($A106="","",[1]!thsiFinD("ths_adjustment_nv_fund",AB$3,$A106))</f>
        <v/>
      </c>
      <c r="AC106" s="13" t="str">
        <f>IF($A106="","",[1]!thsiFinD("ths_adjustment_nv_fund",AC$3,$A106))</f>
        <v/>
      </c>
      <c r="AD106" s="13" t="str">
        <f>IF($A106="","",[1]!thsiFinD("ths_adjustment_nv_fund",AD$3,$A106))</f>
        <v/>
      </c>
      <c r="AE106" s="13" t="str">
        <f>IF($A106="","",[1]!thsiFinD("ths_adjustment_nv_fund",AE$3,$A106))</f>
        <v/>
      </c>
      <c r="AF106" s="13" t="str">
        <f>IF($A106="","",[1]!thsiFinD("ths_adjustment_nv_fund",AF$3,$A106))</f>
        <v/>
      </c>
      <c r="AG106" s="13" t="str">
        <f>IF($A106="","",[1]!thsiFinD("ths_adjustment_nv_fund",AG$3,$A106))</f>
        <v/>
      </c>
      <c r="AH106" s="13" t="str">
        <f>IF($A106="","",[1]!thsiFinD("ths_adjustment_nv_fund",AH$3,$A106))</f>
        <v/>
      </c>
      <c r="AI106" s="13" t="str">
        <f>IF($A106="","",[1]!thsiFinD("ths_adjustment_nv_fund",AI$3,$A106))</f>
        <v/>
      </c>
      <c r="AJ106" s="13" t="str">
        <f>IF($A106="","",[1]!thsiFinD("ths_adjustment_nv_fund",AJ$3,$A106))</f>
        <v/>
      </c>
      <c r="AK106" s="13" t="str">
        <f>IF($A106="","",[1]!thsiFinD("ths_adjustment_nv_fund",AK$3,$A106))</f>
        <v/>
      </c>
      <c r="AL106" s="13" t="str">
        <f>IF($A106="","",[1]!thsiFinD("ths_adjustment_nv_fund",AL$3,$A106))</f>
        <v/>
      </c>
    </row>
    <row r="107" spans="1:38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 t="str">
        <f>IF($A107="","",[1]!thsiFinD("ths_adjustment_nv_fund",AB$3,$A107))</f>
        <v/>
      </c>
      <c r="AC107" s="13" t="str">
        <f>IF($A107="","",[1]!thsiFinD("ths_adjustment_nv_fund",AC$3,$A107))</f>
        <v/>
      </c>
      <c r="AD107" s="13" t="str">
        <f>IF($A107="","",[1]!thsiFinD("ths_adjustment_nv_fund",AD$3,$A107))</f>
        <v/>
      </c>
      <c r="AE107" s="13" t="str">
        <f>IF($A107="","",[1]!thsiFinD("ths_adjustment_nv_fund",AE$3,$A107))</f>
        <v/>
      </c>
      <c r="AF107" s="13" t="str">
        <f>IF($A107="","",[1]!thsiFinD("ths_adjustment_nv_fund",AF$3,$A107))</f>
        <v/>
      </c>
      <c r="AG107" s="13" t="str">
        <f>IF($A107="","",[1]!thsiFinD("ths_adjustment_nv_fund",AG$3,$A107))</f>
        <v/>
      </c>
      <c r="AH107" s="13" t="str">
        <f>IF($A107="","",[1]!thsiFinD("ths_adjustment_nv_fund",AH$3,$A107))</f>
        <v/>
      </c>
      <c r="AI107" s="13" t="str">
        <f>IF($A107="","",[1]!thsiFinD("ths_adjustment_nv_fund",AI$3,$A107))</f>
        <v/>
      </c>
      <c r="AJ107" s="13" t="str">
        <f>IF($A107="","",[1]!thsiFinD("ths_adjustment_nv_fund",AJ$3,$A107))</f>
        <v/>
      </c>
      <c r="AK107" s="13" t="str">
        <f>IF($A107="","",[1]!thsiFinD("ths_adjustment_nv_fund",AK$3,$A107))</f>
        <v/>
      </c>
      <c r="AL107" s="13" t="str">
        <f>IF($A107="","",[1]!thsiFinD("ths_adjustment_nv_fund",AL$3,$A107))</f>
        <v/>
      </c>
    </row>
    <row r="108" spans="1:38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 t="str">
        <f>IF($A108="","",[1]!thsiFinD("ths_adjustment_nv_fund",AB$3,$A108))</f>
        <v/>
      </c>
      <c r="AC108" s="13" t="str">
        <f>IF($A108="","",[1]!thsiFinD("ths_adjustment_nv_fund",AC$3,$A108))</f>
        <v/>
      </c>
      <c r="AD108" s="13" t="str">
        <f>IF($A108="","",[1]!thsiFinD("ths_adjustment_nv_fund",AD$3,$A108))</f>
        <v/>
      </c>
      <c r="AE108" s="13" t="str">
        <f>IF($A108="","",[1]!thsiFinD("ths_adjustment_nv_fund",AE$3,$A108))</f>
        <v/>
      </c>
      <c r="AF108" s="13" t="str">
        <f>IF($A108="","",[1]!thsiFinD("ths_adjustment_nv_fund",AF$3,$A108))</f>
        <v/>
      </c>
      <c r="AG108" s="13" t="str">
        <f>IF($A108="","",[1]!thsiFinD("ths_adjustment_nv_fund",AG$3,$A108))</f>
        <v/>
      </c>
      <c r="AH108" s="13" t="str">
        <f>IF($A108="","",[1]!thsiFinD("ths_adjustment_nv_fund",AH$3,$A108))</f>
        <v/>
      </c>
      <c r="AI108" s="13" t="str">
        <f>IF($A108="","",[1]!thsiFinD("ths_adjustment_nv_fund",AI$3,$A108))</f>
        <v/>
      </c>
      <c r="AJ108" s="13" t="str">
        <f>IF($A108="","",[1]!thsiFinD("ths_adjustment_nv_fund",AJ$3,$A108))</f>
        <v/>
      </c>
      <c r="AK108" s="13" t="str">
        <f>IF($A108="","",[1]!thsiFinD("ths_adjustment_nv_fund",AK$3,$A108))</f>
        <v/>
      </c>
      <c r="AL108" s="13" t="str">
        <f>IF($A108="","",[1]!thsiFinD("ths_adjustment_nv_fund",AL$3,$A108))</f>
        <v/>
      </c>
    </row>
    <row r="109" spans="1:38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 t="str">
        <f>IF($A109="","",[1]!thsiFinD("ths_adjustment_nv_fund",AB$3,$A109))</f>
        <v/>
      </c>
      <c r="AC109" s="13" t="str">
        <f>IF($A109="","",[1]!thsiFinD("ths_adjustment_nv_fund",AC$3,$A109))</f>
        <v/>
      </c>
      <c r="AD109" s="13" t="str">
        <f>IF($A109="","",[1]!thsiFinD("ths_adjustment_nv_fund",AD$3,$A109))</f>
        <v/>
      </c>
      <c r="AE109" s="13" t="str">
        <f>IF($A109="","",[1]!thsiFinD("ths_adjustment_nv_fund",AE$3,$A109))</f>
        <v/>
      </c>
      <c r="AF109" s="13" t="str">
        <f>IF($A109="","",[1]!thsiFinD("ths_adjustment_nv_fund",AF$3,$A109))</f>
        <v/>
      </c>
      <c r="AG109" s="13" t="str">
        <f>IF($A109="","",[1]!thsiFinD("ths_adjustment_nv_fund",AG$3,$A109))</f>
        <v/>
      </c>
      <c r="AH109" s="13" t="str">
        <f>IF($A109="","",[1]!thsiFinD("ths_adjustment_nv_fund",AH$3,$A109))</f>
        <v/>
      </c>
      <c r="AI109" s="13" t="str">
        <f>IF($A109="","",[1]!thsiFinD("ths_adjustment_nv_fund",AI$3,$A109))</f>
        <v/>
      </c>
      <c r="AJ109" s="13" t="str">
        <f>IF($A109="","",[1]!thsiFinD("ths_adjustment_nv_fund",AJ$3,$A109))</f>
        <v/>
      </c>
      <c r="AK109" s="13" t="str">
        <f>IF($A109="","",[1]!thsiFinD("ths_adjustment_nv_fund",AK$3,$A109))</f>
        <v/>
      </c>
      <c r="AL109" s="13" t="str">
        <f>IF($A109="","",[1]!thsiFinD("ths_adjustment_nv_fund",AL$3,$A109))</f>
        <v/>
      </c>
    </row>
    <row r="110" spans="1:38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 t="str">
        <f>IF($A110="","",[1]!thsiFinD("ths_adjustment_nv_fund",AB$3,$A110))</f>
        <v/>
      </c>
      <c r="AC110" s="13" t="str">
        <f>IF($A110="","",[1]!thsiFinD("ths_adjustment_nv_fund",AC$3,$A110))</f>
        <v/>
      </c>
      <c r="AD110" s="13" t="str">
        <f>IF($A110="","",[1]!thsiFinD("ths_adjustment_nv_fund",AD$3,$A110))</f>
        <v/>
      </c>
      <c r="AE110" s="13" t="str">
        <f>IF($A110="","",[1]!thsiFinD("ths_adjustment_nv_fund",AE$3,$A110))</f>
        <v/>
      </c>
      <c r="AF110" s="13" t="str">
        <f>IF($A110="","",[1]!thsiFinD("ths_adjustment_nv_fund",AF$3,$A110))</f>
        <v/>
      </c>
      <c r="AG110" s="13" t="str">
        <f>IF($A110="","",[1]!thsiFinD("ths_adjustment_nv_fund",AG$3,$A110))</f>
        <v/>
      </c>
      <c r="AH110" s="13" t="str">
        <f>IF($A110="","",[1]!thsiFinD("ths_adjustment_nv_fund",AH$3,$A110))</f>
        <v/>
      </c>
      <c r="AI110" s="13" t="str">
        <f>IF($A110="","",[1]!thsiFinD("ths_adjustment_nv_fund",AI$3,$A110))</f>
        <v/>
      </c>
      <c r="AJ110" s="13" t="str">
        <f>IF($A110="","",[1]!thsiFinD("ths_adjustment_nv_fund",AJ$3,$A110))</f>
        <v/>
      </c>
      <c r="AK110" s="13" t="str">
        <f>IF($A110="","",[1]!thsiFinD("ths_adjustment_nv_fund",AK$3,$A110))</f>
        <v/>
      </c>
      <c r="AL110" s="13" t="str">
        <f>IF($A110="","",[1]!thsiFinD("ths_adjustment_nv_fund",AL$3,$A110))</f>
        <v/>
      </c>
    </row>
    <row r="111" spans="1:38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 t="str">
        <f>IF($A111="","",[1]!thsiFinD("ths_adjustment_nv_fund",AB$3,$A111))</f>
        <v/>
      </c>
      <c r="AC111" s="13" t="str">
        <f>IF($A111="","",[1]!thsiFinD("ths_adjustment_nv_fund",AC$3,$A111))</f>
        <v/>
      </c>
      <c r="AD111" s="13" t="str">
        <f>IF($A111="","",[1]!thsiFinD("ths_adjustment_nv_fund",AD$3,$A111))</f>
        <v/>
      </c>
      <c r="AE111" s="13" t="str">
        <f>IF($A111="","",[1]!thsiFinD("ths_adjustment_nv_fund",AE$3,$A111))</f>
        <v/>
      </c>
      <c r="AF111" s="13" t="str">
        <f>IF($A111="","",[1]!thsiFinD("ths_adjustment_nv_fund",AF$3,$A111))</f>
        <v/>
      </c>
      <c r="AG111" s="13" t="str">
        <f>IF($A111="","",[1]!thsiFinD("ths_adjustment_nv_fund",AG$3,$A111))</f>
        <v/>
      </c>
      <c r="AH111" s="13" t="str">
        <f>IF($A111="","",[1]!thsiFinD("ths_adjustment_nv_fund",AH$3,$A111))</f>
        <v/>
      </c>
      <c r="AI111" s="13" t="str">
        <f>IF($A111="","",[1]!thsiFinD("ths_adjustment_nv_fund",AI$3,$A111))</f>
        <v/>
      </c>
      <c r="AJ111" s="13" t="str">
        <f>IF($A111="","",[1]!thsiFinD("ths_adjustment_nv_fund",AJ$3,$A111))</f>
        <v/>
      </c>
      <c r="AK111" s="13" t="str">
        <f>IF($A111="","",[1]!thsiFinD("ths_adjustment_nv_fund",AK$3,$A111))</f>
        <v/>
      </c>
      <c r="AL111" s="13" t="str">
        <f>IF($A111="","",[1]!thsiFinD("ths_adjustment_nv_fund",AL$3,$A111))</f>
        <v/>
      </c>
    </row>
    <row r="112" spans="1:38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 t="str">
        <f>IF($A112="","",[1]!thsiFinD("ths_adjustment_nv_fund",AB$3,$A112))</f>
        <v/>
      </c>
      <c r="AC112" s="13" t="str">
        <f>IF($A112="","",[1]!thsiFinD("ths_adjustment_nv_fund",AC$3,$A112))</f>
        <v/>
      </c>
      <c r="AD112" s="13" t="str">
        <f>IF($A112="","",[1]!thsiFinD("ths_adjustment_nv_fund",AD$3,$A112))</f>
        <v/>
      </c>
      <c r="AE112" s="13" t="str">
        <f>IF($A112="","",[1]!thsiFinD("ths_adjustment_nv_fund",AE$3,$A112))</f>
        <v/>
      </c>
      <c r="AF112" s="13" t="str">
        <f>IF($A112="","",[1]!thsiFinD("ths_adjustment_nv_fund",AF$3,$A112))</f>
        <v/>
      </c>
      <c r="AG112" s="13" t="str">
        <f>IF($A112="","",[1]!thsiFinD("ths_adjustment_nv_fund",AG$3,$A112))</f>
        <v/>
      </c>
      <c r="AH112" s="13" t="str">
        <f>IF($A112="","",[1]!thsiFinD("ths_adjustment_nv_fund",AH$3,$A112))</f>
        <v/>
      </c>
      <c r="AI112" s="13" t="str">
        <f>IF($A112="","",[1]!thsiFinD("ths_adjustment_nv_fund",AI$3,$A112))</f>
        <v/>
      </c>
      <c r="AJ112" s="13" t="str">
        <f>IF($A112="","",[1]!thsiFinD("ths_adjustment_nv_fund",AJ$3,$A112))</f>
        <v/>
      </c>
      <c r="AK112" s="13" t="str">
        <f>IF($A112="","",[1]!thsiFinD("ths_adjustment_nv_fund",AK$3,$A112))</f>
        <v/>
      </c>
      <c r="AL112" s="13" t="str">
        <f>IF($A112="","",[1]!thsiFinD("ths_adjustment_nv_fund",AL$3,$A112))</f>
        <v/>
      </c>
    </row>
    <row r="113" spans="1:38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 t="str">
        <f>IF($A113="","",[1]!thsiFinD("ths_adjustment_nv_fund",AB$3,$A113))</f>
        <v/>
      </c>
      <c r="AC113" s="13" t="str">
        <f>IF($A113="","",[1]!thsiFinD("ths_adjustment_nv_fund",AC$3,$A113))</f>
        <v/>
      </c>
      <c r="AD113" s="13" t="str">
        <f>IF($A113="","",[1]!thsiFinD("ths_adjustment_nv_fund",AD$3,$A113))</f>
        <v/>
      </c>
      <c r="AE113" s="13" t="str">
        <f>IF($A113="","",[1]!thsiFinD("ths_adjustment_nv_fund",AE$3,$A113))</f>
        <v/>
      </c>
      <c r="AF113" s="13" t="str">
        <f>IF($A113="","",[1]!thsiFinD("ths_adjustment_nv_fund",AF$3,$A113))</f>
        <v/>
      </c>
      <c r="AG113" s="13" t="str">
        <f>IF($A113="","",[1]!thsiFinD("ths_adjustment_nv_fund",AG$3,$A113))</f>
        <v/>
      </c>
      <c r="AH113" s="13" t="str">
        <f>IF($A113="","",[1]!thsiFinD("ths_adjustment_nv_fund",AH$3,$A113))</f>
        <v/>
      </c>
      <c r="AI113" s="13" t="str">
        <f>IF($A113="","",[1]!thsiFinD("ths_adjustment_nv_fund",AI$3,$A113))</f>
        <v/>
      </c>
      <c r="AJ113" s="13" t="str">
        <f>IF($A113="","",[1]!thsiFinD("ths_adjustment_nv_fund",AJ$3,$A113))</f>
        <v/>
      </c>
      <c r="AK113" s="13" t="str">
        <f>IF($A113="","",[1]!thsiFinD("ths_adjustment_nv_fund",AK$3,$A113))</f>
        <v/>
      </c>
      <c r="AL113" s="13" t="str">
        <f>IF($A113="","",[1]!thsiFinD("ths_adjustment_nv_fund",AL$3,$A113))</f>
        <v/>
      </c>
    </row>
    <row r="114" spans="1:38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 t="str">
        <f>IF($A114="","",[1]!thsiFinD("ths_adjustment_nv_fund",AB$3,$A114))</f>
        <v/>
      </c>
      <c r="AC114" s="13" t="str">
        <f>IF($A114="","",[1]!thsiFinD("ths_adjustment_nv_fund",AC$3,$A114))</f>
        <v/>
      </c>
      <c r="AD114" s="13" t="str">
        <f>IF($A114="","",[1]!thsiFinD("ths_adjustment_nv_fund",AD$3,$A114))</f>
        <v/>
      </c>
      <c r="AE114" s="13" t="str">
        <f>IF($A114="","",[1]!thsiFinD("ths_adjustment_nv_fund",AE$3,$A114))</f>
        <v/>
      </c>
      <c r="AF114" s="13" t="str">
        <f>IF($A114="","",[1]!thsiFinD("ths_adjustment_nv_fund",AF$3,$A114))</f>
        <v/>
      </c>
      <c r="AG114" s="13" t="str">
        <f>IF($A114="","",[1]!thsiFinD("ths_adjustment_nv_fund",AG$3,$A114))</f>
        <v/>
      </c>
      <c r="AH114" s="13" t="str">
        <f>IF($A114="","",[1]!thsiFinD("ths_adjustment_nv_fund",AH$3,$A114))</f>
        <v/>
      </c>
      <c r="AI114" s="13" t="str">
        <f>IF($A114="","",[1]!thsiFinD("ths_adjustment_nv_fund",AI$3,$A114))</f>
        <v/>
      </c>
      <c r="AJ114" s="13" t="str">
        <f>IF($A114="","",[1]!thsiFinD("ths_adjustment_nv_fund",AJ$3,$A114))</f>
        <v/>
      </c>
      <c r="AK114" s="13" t="str">
        <f>IF($A114="","",[1]!thsiFinD("ths_adjustment_nv_fund",AK$3,$A114))</f>
        <v/>
      </c>
      <c r="AL114" s="13" t="str">
        <f>IF($A114="","",[1]!thsiFinD("ths_adjustment_nv_fund",AL$3,$A114))</f>
        <v/>
      </c>
    </row>
    <row r="115" spans="1:38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 t="str">
        <f>IF($A115="","",[1]!thsiFinD("ths_adjustment_nv_fund",AB$3,$A115))</f>
        <v/>
      </c>
      <c r="AC115" s="13" t="str">
        <f>IF($A115="","",[1]!thsiFinD("ths_adjustment_nv_fund",AC$3,$A115))</f>
        <v/>
      </c>
      <c r="AD115" s="13" t="str">
        <f>IF($A115="","",[1]!thsiFinD("ths_adjustment_nv_fund",AD$3,$A115))</f>
        <v/>
      </c>
      <c r="AE115" s="13" t="str">
        <f>IF($A115="","",[1]!thsiFinD("ths_adjustment_nv_fund",AE$3,$A115))</f>
        <v/>
      </c>
      <c r="AF115" s="13" t="str">
        <f>IF($A115="","",[1]!thsiFinD("ths_adjustment_nv_fund",AF$3,$A115))</f>
        <v/>
      </c>
      <c r="AG115" s="13" t="str">
        <f>IF($A115="","",[1]!thsiFinD("ths_adjustment_nv_fund",AG$3,$A115))</f>
        <v/>
      </c>
      <c r="AH115" s="13" t="str">
        <f>IF($A115="","",[1]!thsiFinD("ths_adjustment_nv_fund",AH$3,$A115))</f>
        <v/>
      </c>
      <c r="AI115" s="13" t="str">
        <f>IF($A115="","",[1]!thsiFinD("ths_adjustment_nv_fund",AI$3,$A115))</f>
        <v/>
      </c>
      <c r="AJ115" s="13" t="str">
        <f>IF($A115="","",[1]!thsiFinD("ths_adjustment_nv_fund",AJ$3,$A115))</f>
        <v/>
      </c>
      <c r="AK115" s="13" t="str">
        <f>IF($A115="","",[1]!thsiFinD("ths_adjustment_nv_fund",AK$3,$A115))</f>
        <v/>
      </c>
      <c r="AL115" s="13" t="str">
        <f>IF($A115="","",[1]!thsiFinD("ths_adjustment_nv_fund",AL$3,$A115))</f>
        <v/>
      </c>
    </row>
    <row r="116" spans="1:38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 t="str">
        <f>IF($A116="","",[1]!thsiFinD("ths_adjustment_nv_fund",AB$3,$A116))</f>
        <v/>
      </c>
      <c r="AC116" s="13" t="str">
        <f>IF($A116="","",[1]!thsiFinD("ths_adjustment_nv_fund",AC$3,$A116))</f>
        <v/>
      </c>
      <c r="AD116" s="13" t="str">
        <f>IF($A116="","",[1]!thsiFinD("ths_adjustment_nv_fund",AD$3,$A116))</f>
        <v/>
      </c>
      <c r="AE116" s="13" t="str">
        <f>IF($A116="","",[1]!thsiFinD("ths_adjustment_nv_fund",AE$3,$A116))</f>
        <v/>
      </c>
      <c r="AF116" s="13" t="str">
        <f>IF($A116="","",[1]!thsiFinD("ths_adjustment_nv_fund",AF$3,$A116))</f>
        <v/>
      </c>
      <c r="AG116" s="13" t="str">
        <f>IF($A116="","",[1]!thsiFinD("ths_adjustment_nv_fund",AG$3,$A116))</f>
        <v/>
      </c>
      <c r="AH116" s="13" t="str">
        <f>IF($A116="","",[1]!thsiFinD("ths_adjustment_nv_fund",AH$3,$A116))</f>
        <v/>
      </c>
      <c r="AI116" s="13" t="str">
        <f>IF($A116="","",[1]!thsiFinD("ths_adjustment_nv_fund",AI$3,$A116))</f>
        <v/>
      </c>
      <c r="AJ116" s="13" t="str">
        <f>IF($A116="","",[1]!thsiFinD("ths_adjustment_nv_fund",AJ$3,$A116))</f>
        <v/>
      </c>
      <c r="AK116" s="13" t="str">
        <f>IF($A116="","",[1]!thsiFinD("ths_adjustment_nv_fund",AK$3,$A116))</f>
        <v/>
      </c>
      <c r="AL116" s="13" t="str">
        <f>IF($A116="","",[1]!thsiFinD("ths_adjustment_nv_fund",AL$3,$A116))</f>
        <v/>
      </c>
    </row>
    <row r="117" spans="1:38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 t="str">
        <f>IF($A117="","",[1]!thsiFinD("ths_adjustment_nv_fund",AB$3,$A117))</f>
        <v/>
      </c>
      <c r="AC117" s="13" t="str">
        <f>IF($A117="","",[1]!thsiFinD("ths_adjustment_nv_fund",AC$3,$A117))</f>
        <v/>
      </c>
      <c r="AD117" s="13" t="str">
        <f>IF($A117="","",[1]!thsiFinD("ths_adjustment_nv_fund",AD$3,$A117))</f>
        <v/>
      </c>
      <c r="AE117" s="13" t="str">
        <f>IF($A117="","",[1]!thsiFinD("ths_adjustment_nv_fund",AE$3,$A117))</f>
        <v/>
      </c>
      <c r="AF117" s="13" t="str">
        <f>IF($A117="","",[1]!thsiFinD("ths_adjustment_nv_fund",AF$3,$A117))</f>
        <v/>
      </c>
      <c r="AG117" s="13" t="str">
        <f>IF($A117="","",[1]!thsiFinD("ths_adjustment_nv_fund",AG$3,$A117))</f>
        <v/>
      </c>
      <c r="AH117" s="13" t="str">
        <f>IF($A117="","",[1]!thsiFinD("ths_adjustment_nv_fund",AH$3,$A117))</f>
        <v/>
      </c>
      <c r="AI117" s="13" t="str">
        <f>IF($A117="","",[1]!thsiFinD("ths_adjustment_nv_fund",AI$3,$A117))</f>
        <v/>
      </c>
      <c r="AJ117" s="13" t="str">
        <f>IF($A117="","",[1]!thsiFinD("ths_adjustment_nv_fund",AJ$3,$A117))</f>
        <v/>
      </c>
      <c r="AK117" s="13" t="str">
        <f>IF($A117="","",[1]!thsiFinD("ths_adjustment_nv_fund",AK$3,$A117))</f>
        <v/>
      </c>
      <c r="AL117" s="13" t="str">
        <f>IF($A117="","",[1]!thsiFinD("ths_adjustment_nv_fund",AL$3,$A117))</f>
        <v/>
      </c>
    </row>
    <row r="118" spans="1:38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 t="str">
        <f>IF($A118="","",[1]!thsiFinD("ths_adjustment_nv_fund",AB$3,$A118))</f>
        <v/>
      </c>
      <c r="AC118" s="13" t="str">
        <f>IF($A118="","",[1]!thsiFinD("ths_adjustment_nv_fund",AC$3,$A118))</f>
        <v/>
      </c>
      <c r="AD118" s="13" t="str">
        <f>IF($A118="","",[1]!thsiFinD("ths_adjustment_nv_fund",AD$3,$A118))</f>
        <v/>
      </c>
      <c r="AE118" s="13" t="str">
        <f>IF($A118="","",[1]!thsiFinD("ths_adjustment_nv_fund",AE$3,$A118))</f>
        <v/>
      </c>
      <c r="AF118" s="13" t="str">
        <f>IF($A118="","",[1]!thsiFinD("ths_adjustment_nv_fund",AF$3,$A118))</f>
        <v/>
      </c>
      <c r="AG118" s="13" t="str">
        <f>IF($A118="","",[1]!thsiFinD("ths_adjustment_nv_fund",AG$3,$A118))</f>
        <v/>
      </c>
      <c r="AH118" s="13" t="str">
        <f>IF($A118="","",[1]!thsiFinD("ths_adjustment_nv_fund",AH$3,$A118))</f>
        <v/>
      </c>
      <c r="AI118" s="13" t="str">
        <f>IF($A118="","",[1]!thsiFinD("ths_adjustment_nv_fund",AI$3,$A118))</f>
        <v/>
      </c>
      <c r="AJ118" s="13" t="str">
        <f>IF($A118="","",[1]!thsiFinD("ths_adjustment_nv_fund",AJ$3,$A118))</f>
        <v/>
      </c>
      <c r="AK118" s="13" t="str">
        <f>IF($A118="","",[1]!thsiFinD("ths_adjustment_nv_fund",AK$3,$A118))</f>
        <v/>
      </c>
      <c r="AL118" s="13" t="str">
        <f>IF($A118="","",[1]!thsiFinD("ths_adjustment_nv_fund",AL$3,$A118))</f>
        <v/>
      </c>
    </row>
    <row r="119" spans="1:38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 t="str">
        <f>IF($A119="","",[1]!thsiFinD("ths_adjustment_nv_fund",AB$3,$A119))</f>
        <v/>
      </c>
      <c r="AC119" s="13" t="str">
        <f>IF($A119="","",[1]!thsiFinD("ths_adjustment_nv_fund",AC$3,$A119))</f>
        <v/>
      </c>
      <c r="AD119" s="13" t="str">
        <f>IF($A119="","",[1]!thsiFinD("ths_adjustment_nv_fund",AD$3,$A119))</f>
        <v/>
      </c>
      <c r="AE119" s="13" t="str">
        <f>IF($A119="","",[1]!thsiFinD("ths_adjustment_nv_fund",AE$3,$A119))</f>
        <v/>
      </c>
      <c r="AF119" s="13" t="str">
        <f>IF($A119="","",[1]!thsiFinD("ths_adjustment_nv_fund",AF$3,$A119))</f>
        <v/>
      </c>
      <c r="AG119" s="13" t="str">
        <f>IF($A119="","",[1]!thsiFinD("ths_adjustment_nv_fund",AG$3,$A119))</f>
        <v/>
      </c>
      <c r="AH119" s="13" t="str">
        <f>IF($A119="","",[1]!thsiFinD("ths_adjustment_nv_fund",AH$3,$A119))</f>
        <v/>
      </c>
      <c r="AI119" s="13" t="str">
        <f>IF($A119="","",[1]!thsiFinD("ths_adjustment_nv_fund",AI$3,$A119))</f>
        <v/>
      </c>
      <c r="AJ119" s="13" t="str">
        <f>IF($A119="","",[1]!thsiFinD("ths_adjustment_nv_fund",AJ$3,$A119))</f>
        <v/>
      </c>
      <c r="AK119" s="13" t="str">
        <f>IF($A119="","",[1]!thsiFinD("ths_adjustment_nv_fund",AK$3,$A119))</f>
        <v/>
      </c>
      <c r="AL119" s="13" t="str">
        <f>IF($A119="","",[1]!thsiFinD("ths_adjustment_nv_fund",AL$3,$A119))</f>
        <v/>
      </c>
    </row>
    <row r="120" spans="1:38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 t="str">
        <f>IF($A120="","",[1]!thsiFinD("ths_adjustment_nv_fund",AB$3,$A120))</f>
        <v/>
      </c>
      <c r="AC120" s="13" t="str">
        <f>IF($A120="","",[1]!thsiFinD("ths_adjustment_nv_fund",AC$3,$A120))</f>
        <v/>
      </c>
      <c r="AD120" s="13" t="str">
        <f>IF($A120="","",[1]!thsiFinD("ths_adjustment_nv_fund",AD$3,$A120))</f>
        <v/>
      </c>
      <c r="AE120" s="13" t="str">
        <f>IF($A120="","",[1]!thsiFinD("ths_adjustment_nv_fund",AE$3,$A120))</f>
        <v/>
      </c>
      <c r="AF120" s="13" t="str">
        <f>IF($A120="","",[1]!thsiFinD("ths_adjustment_nv_fund",AF$3,$A120))</f>
        <v/>
      </c>
      <c r="AG120" s="13" t="str">
        <f>IF($A120="","",[1]!thsiFinD("ths_adjustment_nv_fund",AG$3,$A120))</f>
        <v/>
      </c>
      <c r="AH120" s="13" t="str">
        <f>IF($A120="","",[1]!thsiFinD("ths_adjustment_nv_fund",AH$3,$A120))</f>
        <v/>
      </c>
      <c r="AI120" s="13" t="str">
        <f>IF($A120="","",[1]!thsiFinD("ths_adjustment_nv_fund",AI$3,$A120))</f>
        <v/>
      </c>
      <c r="AJ120" s="13" t="str">
        <f>IF($A120="","",[1]!thsiFinD("ths_adjustment_nv_fund",AJ$3,$A120))</f>
        <v/>
      </c>
      <c r="AK120" s="13" t="str">
        <f>IF($A120="","",[1]!thsiFinD("ths_adjustment_nv_fund",AK$3,$A120))</f>
        <v/>
      </c>
      <c r="AL120" s="13" t="str">
        <f>IF($A120="","",[1]!thsiFinD("ths_adjustment_nv_fund",AL$3,$A120))</f>
        <v/>
      </c>
    </row>
    <row r="121" spans="1:38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 t="str">
        <f>IF($A121="","",[1]!thsiFinD("ths_adjustment_nv_fund",AB$3,$A121))</f>
        <v/>
      </c>
      <c r="AC121" s="13" t="str">
        <f>IF($A121="","",[1]!thsiFinD("ths_adjustment_nv_fund",AC$3,$A121))</f>
        <v/>
      </c>
      <c r="AD121" s="13" t="str">
        <f>IF($A121="","",[1]!thsiFinD("ths_adjustment_nv_fund",AD$3,$A121))</f>
        <v/>
      </c>
      <c r="AE121" s="13" t="str">
        <f>IF($A121="","",[1]!thsiFinD("ths_adjustment_nv_fund",AE$3,$A121))</f>
        <v/>
      </c>
      <c r="AF121" s="13" t="str">
        <f>IF($A121="","",[1]!thsiFinD("ths_adjustment_nv_fund",AF$3,$A121))</f>
        <v/>
      </c>
      <c r="AG121" s="13" t="str">
        <f>IF($A121="","",[1]!thsiFinD("ths_adjustment_nv_fund",AG$3,$A121))</f>
        <v/>
      </c>
      <c r="AH121" s="13" t="str">
        <f>IF($A121="","",[1]!thsiFinD("ths_adjustment_nv_fund",AH$3,$A121))</f>
        <v/>
      </c>
      <c r="AI121" s="13" t="str">
        <f>IF($A121="","",[1]!thsiFinD("ths_adjustment_nv_fund",AI$3,$A121))</f>
        <v/>
      </c>
      <c r="AJ121" s="13" t="str">
        <f>IF($A121="","",[1]!thsiFinD("ths_adjustment_nv_fund",AJ$3,$A121))</f>
        <v/>
      </c>
      <c r="AK121" s="13" t="str">
        <f>IF($A121="","",[1]!thsiFinD("ths_adjustment_nv_fund",AK$3,$A121))</f>
        <v/>
      </c>
      <c r="AL121" s="13" t="str">
        <f>IF($A121="","",[1]!thsiFinD("ths_adjustment_nv_fund",AL$3,$A121))</f>
        <v/>
      </c>
    </row>
    <row r="122" spans="1:38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 t="str">
        <f>IF($A122="","",[1]!thsiFinD("ths_adjustment_nv_fund",AB$3,$A122))</f>
        <v/>
      </c>
      <c r="AC122" s="13" t="str">
        <f>IF($A122="","",[1]!thsiFinD("ths_adjustment_nv_fund",AC$3,$A122))</f>
        <v/>
      </c>
      <c r="AD122" s="13" t="str">
        <f>IF($A122="","",[1]!thsiFinD("ths_adjustment_nv_fund",AD$3,$A122))</f>
        <v/>
      </c>
      <c r="AE122" s="13" t="str">
        <f>IF($A122="","",[1]!thsiFinD("ths_adjustment_nv_fund",AE$3,$A122))</f>
        <v/>
      </c>
      <c r="AF122" s="13" t="str">
        <f>IF($A122="","",[1]!thsiFinD("ths_adjustment_nv_fund",AF$3,$A122))</f>
        <v/>
      </c>
      <c r="AG122" s="13" t="str">
        <f>IF($A122="","",[1]!thsiFinD("ths_adjustment_nv_fund",AG$3,$A122))</f>
        <v/>
      </c>
      <c r="AH122" s="13" t="str">
        <f>IF($A122="","",[1]!thsiFinD("ths_adjustment_nv_fund",AH$3,$A122))</f>
        <v/>
      </c>
      <c r="AI122" s="13" t="str">
        <f>IF($A122="","",[1]!thsiFinD("ths_adjustment_nv_fund",AI$3,$A122))</f>
        <v/>
      </c>
      <c r="AJ122" s="13" t="str">
        <f>IF($A122="","",[1]!thsiFinD("ths_adjustment_nv_fund",AJ$3,$A122))</f>
        <v/>
      </c>
      <c r="AK122" s="13" t="str">
        <f>IF($A122="","",[1]!thsiFinD("ths_adjustment_nv_fund",AK$3,$A122))</f>
        <v/>
      </c>
      <c r="AL122" s="13" t="str">
        <f>IF($A122="","",[1]!thsiFinD("ths_adjustment_nv_fund",AL$3,$A122))</f>
        <v/>
      </c>
    </row>
    <row r="123" spans="1:38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 t="str">
        <f>IF($A123="","",[1]!thsiFinD("ths_adjustment_nv_fund",AB$3,$A123))</f>
        <v/>
      </c>
      <c r="AC123" s="13" t="str">
        <f>IF($A123="","",[1]!thsiFinD("ths_adjustment_nv_fund",AC$3,$A123))</f>
        <v/>
      </c>
      <c r="AD123" s="13" t="str">
        <f>IF($A123="","",[1]!thsiFinD("ths_adjustment_nv_fund",AD$3,$A123))</f>
        <v/>
      </c>
      <c r="AE123" s="13" t="str">
        <f>IF($A123="","",[1]!thsiFinD("ths_adjustment_nv_fund",AE$3,$A123))</f>
        <v/>
      </c>
      <c r="AF123" s="13" t="str">
        <f>IF($A123="","",[1]!thsiFinD("ths_adjustment_nv_fund",AF$3,$A123))</f>
        <v/>
      </c>
      <c r="AG123" s="13" t="str">
        <f>IF($A123="","",[1]!thsiFinD("ths_adjustment_nv_fund",AG$3,$A123))</f>
        <v/>
      </c>
      <c r="AH123" s="13" t="str">
        <f>IF($A123="","",[1]!thsiFinD("ths_adjustment_nv_fund",AH$3,$A123))</f>
        <v/>
      </c>
      <c r="AI123" s="13" t="str">
        <f>IF($A123="","",[1]!thsiFinD("ths_adjustment_nv_fund",AI$3,$A123))</f>
        <v/>
      </c>
      <c r="AJ123" s="13" t="str">
        <f>IF($A123="","",[1]!thsiFinD("ths_adjustment_nv_fund",AJ$3,$A123))</f>
        <v/>
      </c>
      <c r="AK123" s="13" t="str">
        <f>IF($A123="","",[1]!thsiFinD("ths_adjustment_nv_fund",AK$3,$A123))</f>
        <v/>
      </c>
      <c r="AL123" s="13" t="str">
        <f>IF($A123="","",[1]!thsiFinD("ths_adjustment_nv_fund",AL$3,$A123))</f>
        <v/>
      </c>
    </row>
    <row r="124" spans="1:38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 t="str">
        <f>IF($A124="","",[1]!thsiFinD("ths_adjustment_nv_fund",AB$3,$A124))</f>
        <v/>
      </c>
      <c r="AC124" s="13" t="str">
        <f>IF($A124="","",[1]!thsiFinD("ths_adjustment_nv_fund",AC$3,$A124))</f>
        <v/>
      </c>
      <c r="AD124" s="13" t="str">
        <f>IF($A124="","",[1]!thsiFinD("ths_adjustment_nv_fund",AD$3,$A124))</f>
        <v/>
      </c>
      <c r="AE124" s="13" t="str">
        <f>IF($A124="","",[1]!thsiFinD("ths_adjustment_nv_fund",AE$3,$A124))</f>
        <v/>
      </c>
      <c r="AF124" s="13" t="str">
        <f>IF($A124="","",[1]!thsiFinD("ths_adjustment_nv_fund",AF$3,$A124))</f>
        <v/>
      </c>
      <c r="AG124" s="13" t="str">
        <f>IF($A124="","",[1]!thsiFinD("ths_adjustment_nv_fund",AG$3,$A124))</f>
        <v/>
      </c>
      <c r="AH124" s="13" t="str">
        <f>IF($A124="","",[1]!thsiFinD("ths_adjustment_nv_fund",AH$3,$A124))</f>
        <v/>
      </c>
      <c r="AI124" s="13" t="str">
        <f>IF($A124="","",[1]!thsiFinD("ths_adjustment_nv_fund",AI$3,$A124))</f>
        <v/>
      </c>
      <c r="AJ124" s="13" t="str">
        <f>IF($A124="","",[1]!thsiFinD("ths_adjustment_nv_fund",AJ$3,$A124))</f>
        <v/>
      </c>
      <c r="AK124" s="13" t="str">
        <f>IF($A124="","",[1]!thsiFinD("ths_adjustment_nv_fund",AK$3,$A124))</f>
        <v/>
      </c>
      <c r="AL124" s="13" t="str">
        <f>IF($A124="","",[1]!thsiFinD("ths_adjustment_nv_fund",AL$3,$A124))</f>
        <v/>
      </c>
    </row>
    <row r="125" spans="1:38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 t="str">
        <f>IF($A125="","",[1]!thsiFinD("ths_adjustment_nv_fund",AB$3,$A125))</f>
        <v/>
      </c>
      <c r="AC125" s="13" t="str">
        <f>IF($A125="","",[1]!thsiFinD("ths_adjustment_nv_fund",AC$3,$A125))</f>
        <v/>
      </c>
      <c r="AD125" s="13" t="str">
        <f>IF($A125="","",[1]!thsiFinD("ths_adjustment_nv_fund",AD$3,$A125))</f>
        <v/>
      </c>
      <c r="AE125" s="13" t="str">
        <f>IF($A125="","",[1]!thsiFinD("ths_adjustment_nv_fund",AE$3,$A125))</f>
        <v/>
      </c>
      <c r="AF125" s="13" t="str">
        <f>IF($A125="","",[1]!thsiFinD("ths_adjustment_nv_fund",AF$3,$A125))</f>
        <v/>
      </c>
      <c r="AG125" s="13" t="str">
        <f>IF($A125="","",[1]!thsiFinD("ths_adjustment_nv_fund",AG$3,$A125))</f>
        <v/>
      </c>
      <c r="AH125" s="13" t="str">
        <f>IF($A125="","",[1]!thsiFinD("ths_adjustment_nv_fund",AH$3,$A125))</f>
        <v/>
      </c>
      <c r="AI125" s="13" t="str">
        <f>IF($A125="","",[1]!thsiFinD("ths_adjustment_nv_fund",AI$3,$A125))</f>
        <v/>
      </c>
      <c r="AJ125" s="13" t="str">
        <f>IF($A125="","",[1]!thsiFinD("ths_adjustment_nv_fund",AJ$3,$A125))</f>
        <v/>
      </c>
      <c r="AK125" s="13" t="str">
        <f>IF($A125="","",[1]!thsiFinD("ths_adjustment_nv_fund",AK$3,$A125))</f>
        <v/>
      </c>
      <c r="AL125" s="13" t="str">
        <f>IF($A125="","",[1]!thsiFinD("ths_adjustment_nv_fund",AL$3,$A125))</f>
        <v/>
      </c>
    </row>
    <row r="126" spans="1:38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 t="str">
        <f>IF($A126="","",[1]!thsiFinD("ths_adjustment_nv_fund",AB$3,$A126))</f>
        <v/>
      </c>
      <c r="AC126" s="13" t="str">
        <f>IF($A126="","",[1]!thsiFinD("ths_adjustment_nv_fund",AC$3,$A126))</f>
        <v/>
      </c>
      <c r="AD126" s="13" t="str">
        <f>IF($A126="","",[1]!thsiFinD("ths_adjustment_nv_fund",AD$3,$A126))</f>
        <v/>
      </c>
      <c r="AE126" s="13" t="str">
        <f>IF($A126="","",[1]!thsiFinD("ths_adjustment_nv_fund",AE$3,$A126))</f>
        <v/>
      </c>
      <c r="AF126" s="13" t="str">
        <f>IF($A126="","",[1]!thsiFinD("ths_adjustment_nv_fund",AF$3,$A126))</f>
        <v/>
      </c>
      <c r="AG126" s="13" t="str">
        <f>IF($A126="","",[1]!thsiFinD("ths_adjustment_nv_fund",AG$3,$A126))</f>
        <v/>
      </c>
      <c r="AH126" s="13" t="str">
        <f>IF($A126="","",[1]!thsiFinD("ths_adjustment_nv_fund",AH$3,$A126))</f>
        <v/>
      </c>
      <c r="AI126" s="13" t="str">
        <f>IF($A126="","",[1]!thsiFinD("ths_adjustment_nv_fund",AI$3,$A126))</f>
        <v/>
      </c>
      <c r="AJ126" s="13" t="str">
        <f>IF($A126="","",[1]!thsiFinD("ths_adjustment_nv_fund",AJ$3,$A126))</f>
        <v/>
      </c>
      <c r="AK126" s="13" t="str">
        <f>IF($A126="","",[1]!thsiFinD("ths_adjustment_nv_fund",AK$3,$A126))</f>
        <v/>
      </c>
      <c r="AL126" s="13" t="str">
        <f>IF($A126="","",[1]!thsiFinD("ths_adjustment_nv_fund",AL$3,$A126))</f>
        <v/>
      </c>
    </row>
    <row r="127" spans="1:38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 t="str">
        <f>IF($A127="","",[1]!thsiFinD("ths_adjustment_nv_fund",AB$3,$A127))</f>
        <v/>
      </c>
      <c r="AC127" s="13" t="str">
        <f>IF($A127="","",[1]!thsiFinD("ths_adjustment_nv_fund",AC$3,$A127))</f>
        <v/>
      </c>
      <c r="AD127" s="13" t="str">
        <f>IF($A127="","",[1]!thsiFinD("ths_adjustment_nv_fund",AD$3,$A127))</f>
        <v/>
      </c>
      <c r="AE127" s="13" t="str">
        <f>IF($A127="","",[1]!thsiFinD("ths_adjustment_nv_fund",AE$3,$A127))</f>
        <v/>
      </c>
      <c r="AF127" s="13" t="str">
        <f>IF($A127="","",[1]!thsiFinD("ths_adjustment_nv_fund",AF$3,$A127))</f>
        <v/>
      </c>
      <c r="AG127" s="13" t="str">
        <f>IF($A127="","",[1]!thsiFinD("ths_adjustment_nv_fund",AG$3,$A127))</f>
        <v/>
      </c>
      <c r="AH127" s="13" t="str">
        <f>IF($A127="","",[1]!thsiFinD("ths_adjustment_nv_fund",AH$3,$A127))</f>
        <v/>
      </c>
      <c r="AI127" s="13" t="str">
        <f>IF($A127="","",[1]!thsiFinD("ths_adjustment_nv_fund",AI$3,$A127))</f>
        <v/>
      </c>
      <c r="AJ127" s="13" t="str">
        <f>IF($A127="","",[1]!thsiFinD("ths_adjustment_nv_fund",AJ$3,$A127))</f>
        <v/>
      </c>
      <c r="AK127" s="13" t="str">
        <f>IF($A127="","",[1]!thsiFinD("ths_adjustment_nv_fund",AK$3,$A127))</f>
        <v/>
      </c>
      <c r="AL127" s="13" t="str">
        <f>IF($A127="","",[1]!thsiFinD("ths_adjustment_nv_fund",AL$3,$A127))</f>
        <v/>
      </c>
    </row>
    <row r="128" spans="1:38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 t="str">
        <f>IF($A128="","",[1]!thsiFinD("ths_adjustment_nv_fund",AB$3,$A128))</f>
        <v/>
      </c>
      <c r="AC128" s="13" t="str">
        <f>IF($A128="","",[1]!thsiFinD("ths_adjustment_nv_fund",AC$3,$A128))</f>
        <v/>
      </c>
      <c r="AD128" s="13" t="str">
        <f>IF($A128="","",[1]!thsiFinD("ths_adjustment_nv_fund",AD$3,$A128))</f>
        <v/>
      </c>
      <c r="AE128" s="13" t="str">
        <f>IF($A128="","",[1]!thsiFinD("ths_adjustment_nv_fund",AE$3,$A128))</f>
        <v/>
      </c>
      <c r="AF128" s="13" t="str">
        <f>IF($A128="","",[1]!thsiFinD("ths_adjustment_nv_fund",AF$3,$A128))</f>
        <v/>
      </c>
      <c r="AG128" s="13" t="str">
        <f>IF($A128="","",[1]!thsiFinD("ths_adjustment_nv_fund",AG$3,$A128))</f>
        <v/>
      </c>
      <c r="AH128" s="13" t="str">
        <f>IF($A128="","",[1]!thsiFinD("ths_adjustment_nv_fund",AH$3,$A128))</f>
        <v/>
      </c>
      <c r="AI128" s="13" t="str">
        <f>IF($A128="","",[1]!thsiFinD("ths_adjustment_nv_fund",AI$3,$A128))</f>
        <v/>
      </c>
      <c r="AJ128" s="13" t="str">
        <f>IF($A128="","",[1]!thsiFinD("ths_adjustment_nv_fund",AJ$3,$A128))</f>
        <v/>
      </c>
      <c r="AK128" s="13" t="str">
        <f>IF($A128="","",[1]!thsiFinD("ths_adjustment_nv_fund",AK$3,$A128))</f>
        <v/>
      </c>
      <c r="AL128" s="13" t="str">
        <f>IF($A128="","",[1]!thsiFinD("ths_adjustment_nv_fund",AL$3,$A128))</f>
        <v/>
      </c>
    </row>
    <row r="129" spans="1:38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 t="str">
        <f>IF($A129="","",[1]!thsiFinD("ths_adjustment_nv_fund",AB$3,$A129))</f>
        <v/>
      </c>
      <c r="AC129" s="13" t="str">
        <f>IF($A129="","",[1]!thsiFinD("ths_adjustment_nv_fund",AC$3,$A129))</f>
        <v/>
      </c>
      <c r="AD129" s="13" t="str">
        <f>IF($A129="","",[1]!thsiFinD("ths_adjustment_nv_fund",AD$3,$A129))</f>
        <v/>
      </c>
      <c r="AE129" s="13" t="str">
        <f>IF($A129="","",[1]!thsiFinD("ths_adjustment_nv_fund",AE$3,$A129))</f>
        <v/>
      </c>
      <c r="AF129" s="13" t="str">
        <f>IF($A129="","",[1]!thsiFinD("ths_adjustment_nv_fund",AF$3,$A129))</f>
        <v/>
      </c>
      <c r="AG129" s="13" t="str">
        <f>IF($A129="","",[1]!thsiFinD("ths_adjustment_nv_fund",AG$3,$A129))</f>
        <v/>
      </c>
      <c r="AH129" s="13" t="str">
        <f>IF($A129="","",[1]!thsiFinD("ths_adjustment_nv_fund",AH$3,$A129))</f>
        <v/>
      </c>
      <c r="AI129" s="13" t="str">
        <f>IF($A129="","",[1]!thsiFinD("ths_adjustment_nv_fund",AI$3,$A129))</f>
        <v/>
      </c>
      <c r="AJ129" s="13" t="str">
        <f>IF($A129="","",[1]!thsiFinD("ths_adjustment_nv_fund",AJ$3,$A129))</f>
        <v/>
      </c>
      <c r="AK129" s="13" t="str">
        <f>IF($A129="","",[1]!thsiFinD("ths_adjustment_nv_fund",AK$3,$A129))</f>
        <v/>
      </c>
      <c r="AL129" s="13" t="str">
        <f>IF($A129="","",[1]!thsiFinD("ths_adjustment_nv_fund",AL$3,$A129))</f>
        <v/>
      </c>
    </row>
    <row r="130" spans="1:38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 t="str">
        <f>IF($A130="","",[1]!thsiFinD("ths_adjustment_nv_fund",AB$3,$A130))</f>
        <v/>
      </c>
      <c r="AC130" s="13" t="str">
        <f>IF($A130="","",[1]!thsiFinD("ths_adjustment_nv_fund",AC$3,$A130))</f>
        <v/>
      </c>
      <c r="AD130" s="13" t="str">
        <f>IF($A130="","",[1]!thsiFinD("ths_adjustment_nv_fund",AD$3,$A130))</f>
        <v/>
      </c>
      <c r="AE130" s="13" t="str">
        <f>IF($A130="","",[1]!thsiFinD("ths_adjustment_nv_fund",AE$3,$A130))</f>
        <v/>
      </c>
      <c r="AF130" s="13" t="str">
        <f>IF($A130="","",[1]!thsiFinD("ths_adjustment_nv_fund",AF$3,$A130))</f>
        <v/>
      </c>
      <c r="AG130" s="13" t="str">
        <f>IF($A130="","",[1]!thsiFinD("ths_adjustment_nv_fund",AG$3,$A130))</f>
        <v/>
      </c>
      <c r="AH130" s="13" t="str">
        <f>IF($A130="","",[1]!thsiFinD("ths_adjustment_nv_fund",AH$3,$A130))</f>
        <v/>
      </c>
      <c r="AI130" s="13" t="str">
        <f>IF($A130="","",[1]!thsiFinD("ths_adjustment_nv_fund",AI$3,$A130))</f>
        <v/>
      </c>
      <c r="AJ130" s="13" t="str">
        <f>IF($A130="","",[1]!thsiFinD("ths_adjustment_nv_fund",AJ$3,$A130))</f>
        <v/>
      </c>
      <c r="AK130" s="13" t="str">
        <f>IF($A130="","",[1]!thsiFinD("ths_adjustment_nv_fund",AK$3,$A130))</f>
        <v/>
      </c>
      <c r="AL130" s="13" t="str">
        <f>IF($A130="","",[1]!thsiFinD("ths_adjustment_nv_fund",AL$3,$A130))</f>
        <v/>
      </c>
    </row>
    <row r="131" spans="1:38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 t="str">
        <f>IF($A131="","",[1]!thsiFinD("ths_adjustment_nv_fund",AB$3,$A131))</f>
        <v/>
      </c>
      <c r="AC131" s="13" t="str">
        <f>IF($A131="","",[1]!thsiFinD("ths_adjustment_nv_fund",AC$3,$A131))</f>
        <v/>
      </c>
      <c r="AD131" s="13" t="str">
        <f>IF($A131="","",[1]!thsiFinD("ths_adjustment_nv_fund",AD$3,$A131))</f>
        <v/>
      </c>
      <c r="AE131" s="13" t="str">
        <f>IF($A131="","",[1]!thsiFinD("ths_adjustment_nv_fund",AE$3,$A131))</f>
        <v/>
      </c>
      <c r="AF131" s="13" t="str">
        <f>IF($A131="","",[1]!thsiFinD("ths_adjustment_nv_fund",AF$3,$A131))</f>
        <v/>
      </c>
      <c r="AG131" s="13" t="str">
        <f>IF($A131="","",[1]!thsiFinD("ths_adjustment_nv_fund",AG$3,$A131))</f>
        <v/>
      </c>
      <c r="AH131" s="13" t="str">
        <f>IF($A131="","",[1]!thsiFinD("ths_adjustment_nv_fund",AH$3,$A131))</f>
        <v/>
      </c>
      <c r="AI131" s="13" t="str">
        <f>IF($A131="","",[1]!thsiFinD("ths_adjustment_nv_fund",AI$3,$A131))</f>
        <v/>
      </c>
      <c r="AJ131" s="13" t="str">
        <f>IF($A131="","",[1]!thsiFinD("ths_adjustment_nv_fund",AJ$3,$A131))</f>
        <v/>
      </c>
      <c r="AK131" s="13" t="str">
        <f>IF($A131="","",[1]!thsiFinD("ths_adjustment_nv_fund",AK$3,$A131))</f>
        <v/>
      </c>
      <c r="AL131" s="13" t="str">
        <f>IF($A131="","",[1]!thsiFinD("ths_adjustment_nv_fund",AL$3,$A131))</f>
        <v/>
      </c>
    </row>
    <row r="132" spans="1:38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 t="str">
        <f>IF($A132="","",[1]!thsiFinD("ths_adjustment_nv_fund",AB$3,$A132))</f>
        <v/>
      </c>
      <c r="AC132" s="13" t="str">
        <f>IF($A132="","",[1]!thsiFinD("ths_adjustment_nv_fund",AC$3,$A132))</f>
        <v/>
      </c>
      <c r="AD132" s="13" t="str">
        <f>IF($A132="","",[1]!thsiFinD("ths_adjustment_nv_fund",AD$3,$A132))</f>
        <v/>
      </c>
      <c r="AE132" s="13" t="str">
        <f>IF($A132="","",[1]!thsiFinD("ths_adjustment_nv_fund",AE$3,$A132))</f>
        <v/>
      </c>
      <c r="AF132" s="13" t="str">
        <f>IF($A132="","",[1]!thsiFinD("ths_adjustment_nv_fund",AF$3,$A132))</f>
        <v/>
      </c>
      <c r="AG132" s="13" t="str">
        <f>IF($A132="","",[1]!thsiFinD("ths_adjustment_nv_fund",AG$3,$A132))</f>
        <v/>
      </c>
      <c r="AH132" s="13" t="str">
        <f>IF($A132="","",[1]!thsiFinD("ths_adjustment_nv_fund",AH$3,$A132))</f>
        <v/>
      </c>
      <c r="AI132" s="13" t="str">
        <f>IF($A132="","",[1]!thsiFinD("ths_adjustment_nv_fund",AI$3,$A132))</f>
        <v/>
      </c>
      <c r="AJ132" s="13" t="str">
        <f>IF($A132="","",[1]!thsiFinD("ths_adjustment_nv_fund",AJ$3,$A132))</f>
        <v/>
      </c>
      <c r="AK132" s="13" t="str">
        <f>IF($A132="","",[1]!thsiFinD("ths_adjustment_nv_fund",AK$3,$A132))</f>
        <v/>
      </c>
      <c r="AL132" s="13" t="str">
        <f>IF($A132="","",[1]!thsiFinD("ths_adjustment_nv_fund",AL$3,$A132))</f>
        <v/>
      </c>
    </row>
    <row r="133" spans="1:38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 t="str">
        <f>IF($A133="","",[1]!thsiFinD("ths_adjustment_nv_fund",AB$3,$A133))</f>
        <v/>
      </c>
      <c r="AC133" s="13" t="str">
        <f>IF($A133="","",[1]!thsiFinD("ths_adjustment_nv_fund",AC$3,$A133))</f>
        <v/>
      </c>
      <c r="AD133" s="13" t="str">
        <f>IF($A133="","",[1]!thsiFinD("ths_adjustment_nv_fund",AD$3,$A133))</f>
        <v/>
      </c>
      <c r="AE133" s="13" t="str">
        <f>IF($A133="","",[1]!thsiFinD("ths_adjustment_nv_fund",AE$3,$A133))</f>
        <v/>
      </c>
      <c r="AF133" s="13" t="str">
        <f>IF($A133="","",[1]!thsiFinD("ths_adjustment_nv_fund",AF$3,$A133))</f>
        <v/>
      </c>
      <c r="AG133" s="13" t="str">
        <f>IF($A133="","",[1]!thsiFinD("ths_adjustment_nv_fund",AG$3,$A133))</f>
        <v/>
      </c>
      <c r="AH133" s="13" t="str">
        <f>IF($A133="","",[1]!thsiFinD("ths_adjustment_nv_fund",AH$3,$A133))</f>
        <v/>
      </c>
      <c r="AI133" s="13" t="str">
        <f>IF($A133="","",[1]!thsiFinD("ths_adjustment_nv_fund",AI$3,$A133))</f>
        <v/>
      </c>
      <c r="AJ133" s="13" t="str">
        <f>IF($A133="","",[1]!thsiFinD("ths_adjustment_nv_fund",AJ$3,$A133))</f>
        <v/>
      </c>
      <c r="AK133" s="13" t="str">
        <f>IF($A133="","",[1]!thsiFinD("ths_adjustment_nv_fund",AK$3,$A133))</f>
        <v/>
      </c>
      <c r="AL133" s="13" t="str">
        <f>IF($A133="","",[1]!thsiFinD("ths_adjustment_nv_fund",AL$3,$A133))</f>
        <v/>
      </c>
    </row>
    <row r="134" spans="1:38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  <c r="AC134" s="13" t="str">
        <f>IF($A134="","",[1]!thsiFinD("ths_adjustment_nv_fund",AC$3,$A134))</f>
        <v/>
      </c>
      <c r="AD134" s="13" t="str">
        <f>IF($A134="","",[1]!thsiFinD("ths_adjustment_nv_fund",AD$3,$A134))</f>
        <v/>
      </c>
      <c r="AE134" s="13" t="str">
        <f>IF($A134="","",[1]!thsiFinD("ths_adjustment_nv_fund",AE$3,$A134))</f>
        <v/>
      </c>
      <c r="AF134" s="13" t="str">
        <f>IF($A134="","",[1]!thsiFinD("ths_adjustment_nv_fund",AF$3,$A134))</f>
        <v/>
      </c>
      <c r="AG134" s="13" t="str">
        <f>IF($A134="","",[1]!thsiFinD("ths_adjustment_nv_fund",AG$3,$A134))</f>
        <v/>
      </c>
      <c r="AH134" s="13" t="str">
        <f>IF($A134="","",[1]!thsiFinD("ths_adjustment_nv_fund",AH$3,$A134))</f>
        <v/>
      </c>
      <c r="AI134" s="13" t="str">
        <f>IF($A134="","",[1]!thsiFinD("ths_adjustment_nv_fund",AI$3,$A134))</f>
        <v/>
      </c>
      <c r="AJ134" s="13" t="str">
        <f>IF($A134="","",[1]!thsiFinD("ths_adjustment_nv_fund",AJ$3,$A134))</f>
        <v/>
      </c>
      <c r="AK134" s="13" t="str">
        <f>IF($A134="","",[1]!thsiFinD("ths_adjustment_nv_fund",AK$3,$A134))</f>
        <v/>
      </c>
      <c r="AL134" s="13" t="str">
        <f>IF($A134="","",[1]!thsiFinD("ths_adjustment_nv_fund",AL$3,$A134))</f>
        <v/>
      </c>
    </row>
    <row r="135" spans="1:38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  <c r="AC135" s="13" t="str">
        <f>IF($A135="","",[1]!thsiFinD("ths_adjustment_nv_fund",AC$3,$A135))</f>
        <v/>
      </c>
      <c r="AD135" s="13" t="str">
        <f>IF($A135="","",[1]!thsiFinD("ths_adjustment_nv_fund",AD$3,$A135))</f>
        <v/>
      </c>
      <c r="AE135" s="13" t="str">
        <f>IF($A135="","",[1]!thsiFinD("ths_adjustment_nv_fund",AE$3,$A135))</f>
        <v/>
      </c>
      <c r="AF135" s="13" t="str">
        <f>IF($A135="","",[1]!thsiFinD("ths_adjustment_nv_fund",AF$3,$A135))</f>
        <v/>
      </c>
      <c r="AG135" s="13" t="str">
        <f>IF($A135="","",[1]!thsiFinD("ths_adjustment_nv_fund",AG$3,$A135))</f>
        <v/>
      </c>
      <c r="AH135" s="13" t="str">
        <f>IF($A135="","",[1]!thsiFinD("ths_adjustment_nv_fund",AH$3,$A135))</f>
        <v/>
      </c>
      <c r="AI135" s="13" t="str">
        <f>IF($A135="","",[1]!thsiFinD("ths_adjustment_nv_fund",AI$3,$A135))</f>
        <v/>
      </c>
      <c r="AJ135" s="13" t="str">
        <f>IF($A135="","",[1]!thsiFinD("ths_adjustment_nv_fund",AJ$3,$A135))</f>
        <v/>
      </c>
      <c r="AK135" s="13" t="str">
        <f>IF($A135="","",[1]!thsiFinD("ths_adjustment_nv_fund",AK$3,$A135))</f>
        <v/>
      </c>
      <c r="AL135" s="13" t="str">
        <f>IF($A135="","",[1]!thsiFinD("ths_adjustment_nv_fund",AL$3,$A135))</f>
        <v/>
      </c>
    </row>
    <row r="136" spans="1:38" ht="13" customHeight="1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  <c r="AC136" s="13" t="str">
        <f>IF($A136="","",[1]!thsiFinD("ths_adjustment_nv_fund",AC$3,$A136))</f>
        <v/>
      </c>
      <c r="AD136" s="13" t="str">
        <f>IF($A136="","",[1]!thsiFinD("ths_adjustment_nv_fund",AD$3,$A136))</f>
        <v/>
      </c>
      <c r="AE136" s="13" t="str">
        <f>IF($A136="","",[1]!thsiFinD("ths_adjustment_nv_fund",AE$3,$A136))</f>
        <v/>
      </c>
      <c r="AF136" s="13" t="str">
        <f>IF($A136="","",[1]!thsiFinD("ths_adjustment_nv_fund",AF$3,$A136))</f>
        <v/>
      </c>
      <c r="AG136" s="13" t="str">
        <f>IF($A136="","",[1]!thsiFinD("ths_adjustment_nv_fund",AG$3,$A136))</f>
        <v/>
      </c>
      <c r="AH136" s="13" t="str">
        <f>IF($A136="","",[1]!thsiFinD("ths_adjustment_nv_fund",AH$3,$A136))</f>
        <v/>
      </c>
      <c r="AI136" s="13" t="str">
        <f>IF($A136="","",[1]!thsiFinD("ths_adjustment_nv_fund",AI$3,$A136))</f>
        <v/>
      </c>
      <c r="AJ136" s="13" t="str">
        <f>IF($A136="","",[1]!thsiFinD("ths_adjustment_nv_fund",AJ$3,$A136))</f>
        <v/>
      </c>
      <c r="AK136" s="13" t="str">
        <f>IF($A136="","",[1]!thsiFinD("ths_adjustment_nv_fund",AK$3,$A136))</f>
        <v/>
      </c>
      <c r="AL136" s="13" t="str">
        <f>IF($A136="","",[1]!thsiFinD("ths_adjustment_nv_fund",AL$3,$A136))</f>
        <v/>
      </c>
    </row>
    <row r="137" spans="1:38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  <c r="AC137" s="13" t="str">
        <f>IF($A137="","",[1]!thsiFinD("ths_adjustment_nv_fund",AC$3,$A137))</f>
        <v/>
      </c>
      <c r="AD137" s="13" t="str">
        <f>IF($A137="","",[1]!thsiFinD("ths_adjustment_nv_fund",AD$3,$A137))</f>
        <v/>
      </c>
      <c r="AE137" s="13" t="str">
        <f>IF($A137="","",[1]!thsiFinD("ths_adjustment_nv_fund",AE$3,$A137))</f>
        <v/>
      </c>
      <c r="AF137" s="13" t="str">
        <f>IF($A137="","",[1]!thsiFinD("ths_adjustment_nv_fund",AF$3,$A137))</f>
        <v/>
      </c>
      <c r="AG137" s="13" t="str">
        <f>IF($A137="","",[1]!thsiFinD("ths_adjustment_nv_fund",AG$3,$A137))</f>
        <v/>
      </c>
      <c r="AH137" s="13" t="str">
        <f>IF($A137="","",[1]!thsiFinD("ths_adjustment_nv_fund",AH$3,$A137))</f>
        <v/>
      </c>
      <c r="AI137" s="13" t="str">
        <f>IF($A137="","",[1]!thsiFinD("ths_adjustment_nv_fund",AI$3,$A137))</f>
        <v/>
      </c>
      <c r="AJ137" s="13" t="str">
        <f>IF($A137="","",[1]!thsiFinD("ths_adjustment_nv_fund",AJ$3,$A137))</f>
        <v/>
      </c>
      <c r="AK137" s="13" t="str">
        <f>IF($A137="","",[1]!thsiFinD("ths_adjustment_nv_fund",AK$3,$A137))</f>
        <v/>
      </c>
      <c r="AL137" s="13" t="str">
        <f>IF($A137="","",[1]!thsiFinD("ths_adjustment_nv_fund",AL$3,$A137))</f>
        <v/>
      </c>
    </row>
    <row r="138" spans="1:38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  <c r="AC138" s="13" t="str">
        <f>IF($A138="","",[1]!thsiFinD("ths_adjustment_nv_fund",AC$3,$A138))</f>
        <v/>
      </c>
      <c r="AD138" s="13" t="str">
        <f>IF($A138="","",[1]!thsiFinD("ths_adjustment_nv_fund",AD$3,$A138))</f>
        <v/>
      </c>
      <c r="AE138" s="13" t="str">
        <f>IF($A138="","",[1]!thsiFinD("ths_adjustment_nv_fund",AE$3,$A138))</f>
        <v/>
      </c>
      <c r="AF138" s="13" t="str">
        <f>IF($A138="","",[1]!thsiFinD("ths_adjustment_nv_fund",AF$3,$A138))</f>
        <v/>
      </c>
      <c r="AG138" s="13" t="str">
        <f>IF($A138="","",[1]!thsiFinD("ths_adjustment_nv_fund",AG$3,$A138))</f>
        <v/>
      </c>
      <c r="AH138" s="13" t="str">
        <f>IF($A138="","",[1]!thsiFinD("ths_adjustment_nv_fund",AH$3,$A138))</f>
        <v/>
      </c>
      <c r="AI138" s="13" t="str">
        <f>IF($A138="","",[1]!thsiFinD("ths_adjustment_nv_fund",AI$3,$A138))</f>
        <v/>
      </c>
      <c r="AJ138" s="13" t="str">
        <f>IF($A138="","",[1]!thsiFinD("ths_adjustment_nv_fund",AJ$3,$A138))</f>
        <v/>
      </c>
      <c r="AK138" s="13" t="str">
        <f>IF($A138="","",[1]!thsiFinD("ths_adjustment_nv_fund",AK$3,$A138))</f>
        <v/>
      </c>
      <c r="AL138" s="13" t="str">
        <f>IF($A138="","",[1]!thsiFinD("ths_adjustment_nv_fund",AL$3,$A138))</f>
        <v/>
      </c>
    </row>
    <row r="139" spans="1:38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  <c r="AC139" s="13" t="str">
        <f>IF($A139="","",[1]!thsiFinD("ths_adjustment_nv_fund",AC$3,$A139))</f>
        <v/>
      </c>
      <c r="AD139" s="13" t="str">
        <f>IF($A139="","",[1]!thsiFinD("ths_adjustment_nv_fund",AD$3,$A139))</f>
        <v/>
      </c>
      <c r="AE139" s="13" t="str">
        <f>IF($A139="","",[1]!thsiFinD("ths_adjustment_nv_fund",AE$3,$A139))</f>
        <v/>
      </c>
      <c r="AF139" s="13" t="str">
        <f>IF($A139="","",[1]!thsiFinD("ths_adjustment_nv_fund",AF$3,$A139))</f>
        <v/>
      </c>
      <c r="AG139" s="13" t="str">
        <f>IF($A139="","",[1]!thsiFinD("ths_adjustment_nv_fund",AG$3,$A139))</f>
        <v/>
      </c>
      <c r="AH139" s="13" t="str">
        <f>IF($A139="","",[1]!thsiFinD("ths_adjustment_nv_fund",AH$3,$A139))</f>
        <v/>
      </c>
      <c r="AI139" s="13" t="str">
        <f>IF($A139="","",[1]!thsiFinD("ths_adjustment_nv_fund",AI$3,$A139))</f>
        <v/>
      </c>
      <c r="AJ139" s="13" t="str">
        <f>IF($A139="","",[1]!thsiFinD("ths_adjustment_nv_fund",AJ$3,$A139))</f>
        <v/>
      </c>
      <c r="AK139" s="13" t="str">
        <f>IF($A139="","",[1]!thsiFinD("ths_adjustment_nv_fund",AK$3,$A139))</f>
        <v/>
      </c>
      <c r="AL139" s="13" t="str">
        <f>IF($A139="","",[1]!thsiFinD("ths_adjustment_nv_fund",AL$3,$A139))</f>
        <v/>
      </c>
    </row>
    <row r="140" spans="1:38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  <c r="AC140" s="13" t="str">
        <f>IF($A140="","",[1]!thsiFinD("ths_adjustment_nv_fund",AC$3,$A140))</f>
        <v/>
      </c>
      <c r="AD140" s="13" t="str">
        <f>IF($A140="","",[1]!thsiFinD("ths_adjustment_nv_fund",AD$3,$A140))</f>
        <v/>
      </c>
      <c r="AE140" s="13" t="str">
        <f>IF($A140="","",[1]!thsiFinD("ths_adjustment_nv_fund",AE$3,$A140))</f>
        <v/>
      </c>
      <c r="AF140" s="13" t="str">
        <f>IF($A140="","",[1]!thsiFinD("ths_adjustment_nv_fund",AF$3,$A140))</f>
        <v/>
      </c>
      <c r="AG140" s="13" t="str">
        <f>IF($A140="","",[1]!thsiFinD("ths_adjustment_nv_fund",AG$3,$A140))</f>
        <v/>
      </c>
      <c r="AH140" s="13" t="str">
        <f>IF($A140="","",[1]!thsiFinD("ths_adjustment_nv_fund",AH$3,$A140))</f>
        <v/>
      </c>
      <c r="AI140" s="13" t="str">
        <f>IF($A140="","",[1]!thsiFinD("ths_adjustment_nv_fund",AI$3,$A140))</f>
        <v/>
      </c>
      <c r="AJ140" s="13" t="str">
        <f>IF($A140="","",[1]!thsiFinD("ths_adjustment_nv_fund",AJ$3,$A140))</f>
        <v/>
      </c>
      <c r="AK140" s="13" t="str">
        <f>IF($A140="","",[1]!thsiFinD("ths_adjustment_nv_fund",AK$3,$A140))</f>
        <v/>
      </c>
      <c r="AL140" s="13" t="str">
        <f>IF($A140="","",[1]!thsiFinD("ths_adjustment_nv_fund",AL$3,$A140))</f>
        <v/>
      </c>
    </row>
    <row r="141" spans="1:38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  <c r="AC141" s="13" t="str">
        <f>IF($A141="","",[1]!thsiFinD("ths_adjustment_nv_fund",AC$3,$A141))</f>
        <v/>
      </c>
      <c r="AD141" s="13" t="str">
        <f>IF($A141="","",[1]!thsiFinD("ths_adjustment_nv_fund",AD$3,$A141))</f>
        <v/>
      </c>
      <c r="AE141" s="13" t="str">
        <f>IF($A141="","",[1]!thsiFinD("ths_adjustment_nv_fund",AE$3,$A141))</f>
        <v/>
      </c>
      <c r="AF141" s="13" t="str">
        <f>IF($A141="","",[1]!thsiFinD("ths_adjustment_nv_fund",AF$3,$A141))</f>
        <v/>
      </c>
      <c r="AG141" s="13" t="str">
        <f>IF($A141="","",[1]!thsiFinD("ths_adjustment_nv_fund",AG$3,$A141))</f>
        <v/>
      </c>
      <c r="AH141" s="13" t="str">
        <f>IF($A141="","",[1]!thsiFinD("ths_adjustment_nv_fund",AH$3,$A141))</f>
        <v/>
      </c>
      <c r="AI141" s="13" t="str">
        <f>IF($A141="","",[1]!thsiFinD("ths_adjustment_nv_fund",AI$3,$A141))</f>
        <v/>
      </c>
      <c r="AJ141" s="13" t="str">
        <f>IF($A141="","",[1]!thsiFinD("ths_adjustment_nv_fund",AJ$3,$A141))</f>
        <v/>
      </c>
      <c r="AK141" s="13" t="str">
        <f>IF($A141="","",[1]!thsiFinD("ths_adjustment_nv_fund",AK$3,$A141))</f>
        <v/>
      </c>
      <c r="AL141" s="13" t="str">
        <f>IF($A141="","",[1]!thsiFinD("ths_adjustment_nv_fund",AL$3,$A141))</f>
        <v/>
      </c>
    </row>
    <row r="142" spans="1:38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  <c r="AC142" s="13" t="str">
        <f>IF($A142="","",[1]!thsiFinD("ths_adjustment_nv_fund",AC$3,$A142))</f>
        <v/>
      </c>
      <c r="AD142" s="13" t="str">
        <f>IF($A142="","",[1]!thsiFinD("ths_adjustment_nv_fund",AD$3,$A142))</f>
        <v/>
      </c>
      <c r="AE142" s="13" t="str">
        <f>IF($A142="","",[1]!thsiFinD("ths_adjustment_nv_fund",AE$3,$A142))</f>
        <v/>
      </c>
      <c r="AF142" s="13" t="str">
        <f>IF($A142="","",[1]!thsiFinD("ths_adjustment_nv_fund",AF$3,$A142))</f>
        <v/>
      </c>
      <c r="AG142" s="13" t="str">
        <f>IF($A142="","",[1]!thsiFinD("ths_adjustment_nv_fund",AG$3,$A142))</f>
        <v/>
      </c>
      <c r="AH142" s="13" t="str">
        <f>IF($A142="","",[1]!thsiFinD("ths_adjustment_nv_fund",AH$3,$A142))</f>
        <v/>
      </c>
      <c r="AI142" s="13" t="str">
        <f>IF($A142="","",[1]!thsiFinD("ths_adjustment_nv_fund",AI$3,$A142))</f>
        <v/>
      </c>
      <c r="AJ142" s="13" t="str">
        <f>IF($A142="","",[1]!thsiFinD("ths_adjustment_nv_fund",AJ$3,$A142))</f>
        <v/>
      </c>
      <c r="AK142" s="13" t="str">
        <f>IF($A142="","",[1]!thsiFinD("ths_adjustment_nv_fund",AK$3,$A142))</f>
        <v/>
      </c>
      <c r="AL142" s="13" t="str">
        <f>IF($A142="","",[1]!thsiFinD("ths_adjustment_nv_fund",AL$3,$A142))</f>
        <v/>
      </c>
    </row>
    <row r="143" spans="1:38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  <c r="AC143" s="13" t="str">
        <f>IF($A143="","",[1]!thsiFinD("ths_adjustment_nv_fund",AC$3,$A143))</f>
        <v/>
      </c>
      <c r="AD143" s="13" t="str">
        <f>IF($A143="","",[1]!thsiFinD("ths_adjustment_nv_fund",AD$3,$A143))</f>
        <v/>
      </c>
      <c r="AE143" s="13" t="str">
        <f>IF($A143="","",[1]!thsiFinD("ths_adjustment_nv_fund",AE$3,$A143))</f>
        <v/>
      </c>
      <c r="AF143" s="13" t="str">
        <f>IF($A143="","",[1]!thsiFinD("ths_adjustment_nv_fund",AF$3,$A143))</f>
        <v/>
      </c>
      <c r="AG143" s="13" t="str">
        <f>IF($A143="","",[1]!thsiFinD("ths_adjustment_nv_fund",AG$3,$A143))</f>
        <v/>
      </c>
      <c r="AH143" s="13" t="str">
        <f>IF($A143="","",[1]!thsiFinD("ths_adjustment_nv_fund",AH$3,$A143))</f>
        <v/>
      </c>
      <c r="AI143" s="13" t="str">
        <f>IF($A143="","",[1]!thsiFinD("ths_adjustment_nv_fund",AI$3,$A143))</f>
        <v/>
      </c>
      <c r="AJ143" s="13" t="str">
        <f>IF($A143="","",[1]!thsiFinD("ths_adjustment_nv_fund",AJ$3,$A143))</f>
        <v/>
      </c>
      <c r="AK143" s="13" t="str">
        <f>IF($A143="","",[1]!thsiFinD("ths_adjustment_nv_fund",AK$3,$A143))</f>
        <v/>
      </c>
      <c r="AL143" s="13" t="str">
        <f>IF($A143="","",[1]!thsiFinD("ths_adjustment_nv_fund",AL$3,$A143))</f>
        <v/>
      </c>
    </row>
    <row r="144" spans="1:38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  <c r="AC144" s="13" t="str">
        <f>IF($A144="","",[1]!thsiFinD("ths_adjustment_nv_fund",AC$3,$A144))</f>
        <v/>
      </c>
      <c r="AD144" s="13" t="str">
        <f>IF($A144="","",[1]!thsiFinD("ths_adjustment_nv_fund",AD$3,$A144))</f>
        <v/>
      </c>
      <c r="AE144" s="13" t="str">
        <f>IF($A144="","",[1]!thsiFinD("ths_adjustment_nv_fund",AE$3,$A144))</f>
        <v/>
      </c>
      <c r="AF144" s="13" t="str">
        <f>IF($A144="","",[1]!thsiFinD("ths_adjustment_nv_fund",AF$3,$A144))</f>
        <v/>
      </c>
      <c r="AG144" s="13" t="str">
        <f>IF($A144="","",[1]!thsiFinD("ths_adjustment_nv_fund",AG$3,$A144))</f>
        <v/>
      </c>
      <c r="AH144" s="13" t="str">
        <f>IF($A144="","",[1]!thsiFinD("ths_adjustment_nv_fund",AH$3,$A144))</f>
        <v/>
      </c>
      <c r="AI144" s="13" t="str">
        <f>IF($A144="","",[1]!thsiFinD("ths_adjustment_nv_fund",AI$3,$A144))</f>
        <v/>
      </c>
      <c r="AJ144" s="13" t="str">
        <f>IF($A144="","",[1]!thsiFinD("ths_adjustment_nv_fund",AJ$3,$A144))</f>
        <v/>
      </c>
      <c r="AK144" s="13" t="str">
        <f>IF($A144="","",[1]!thsiFinD("ths_adjustment_nv_fund",AK$3,$A144))</f>
        <v/>
      </c>
      <c r="AL144" s="13" t="str">
        <f>IF($A144="","",[1]!thsiFinD("ths_adjustment_nv_fund",AL$3,$A144))</f>
        <v/>
      </c>
    </row>
    <row r="145" spans="1:38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  <c r="AC145" s="13" t="str">
        <f>IF($A145="","",[1]!thsiFinD("ths_adjustment_nv_fund",AC$3,$A145))</f>
        <v/>
      </c>
      <c r="AD145" s="13" t="str">
        <f>IF($A145="","",[1]!thsiFinD("ths_adjustment_nv_fund",AD$3,$A145))</f>
        <v/>
      </c>
      <c r="AE145" s="13" t="str">
        <f>IF($A145="","",[1]!thsiFinD("ths_adjustment_nv_fund",AE$3,$A145))</f>
        <v/>
      </c>
      <c r="AF145" s="13" t="str">
        <f>IF($A145="","",[1]!thsiFinD("ths_adjustment_nv_fund",AF$3,$A145))</f>
        <v/>
      </c>
      <c r="AG145" s="13" t="str">
        <f>IF($A145="","",[1]!thsiFinD("ths_adjustment_nv_fund",AG$3,$A145))</f>
        <v/>
      </c>
      <c r="AH145" s="13" t="str">
        <f>IF($A145="","",[1]!thsiFinD("ths_adjustment_nv_fund",AH$3,$A145))</f>
        <v/>
      </c>
      <c r="AI145" s="13" t="str">
        <f>IF($A145="","",[1]!thsiFinD("ths_adjustment_nv_fund",AI$3,$A145))</f>
        <v/>
      </c>
      <c r="AJ145" s="13" t="str">
        <f>IF($A145="","",[1]!thsiFinD("ths_adjustment_nv_fund",AJ$3,$A145))</f>
        <v/>
      </c>
      <c r="AK145" s="13" t="str">
        <f>IF($A145="","",[1]!thsiFinD("ths_adjustment_nv_fund",AK$3,$A145))</f>
        <v/>
      </c>
      <c r="AL145" s="13" t="str">
        <f>IF($A145="","",[1]!thsiFinD("ths_adjustment_nv_fund",AL$3,$A145))</f>
        <v/>
      </c>
    </row>
    <row r="146" spans="1:38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  <c r="AC146" s="13" t="str">
        <f>IF($A146="","",[1]!thsiFinD("ths_adjustment_nv_fund",AC$3,$A146))</f>
        <v/>
      </c>
      <c r="AD146" s="13" t="str">
        <f>IF($A146="","",[1]!thsiFinD("ths_adjustment_nv_fund",AD$3,$A146))</f>
        <v/>
      </c>
      <c r="AE146" s="13" t="str">
        <f>IF($A146="","",[1]!thsiFinD("ths_adjustment_nv_fund",AE$3,$A146))</f>
        <v/>
      </c>
      <c r="AF146" s="13" t="str">
        <f>IF($A146="","",[1]!thsiFinD("ths_adjustment_nv_fund",AF$3,$A146))</f>
        <v/>
      </c>
      <c r="AG146" s="13" t="str">
        <f>IF($A146="","",[1]!thsiFinD("ths_adjustment_nv_fund",AG$3,$A146))</f>
        <v/>
      </c>
      <c r="AH146" s="13" t="str">
        <f>IF($A146="","",[1]!thsiFinD("ths_adjustment_nv_fund",AH$3,$A146))</f>
        <v/>
      </c>
      <c r="AI146" s="13" t="str">
        <f>IF($A146="","",[1]!thsiFinD("ths_adjustment_nv_fund",AI$3,$A146))</f>
        <v/>
      </c>
      <c r="AJ146" s="13" t="str">
        <f>IF($A146="","",[1]!thsiFinD("ths_adjustment_nv_fund",AJ$3,$A146))</f>
        <v/>
      </c>
      <c r="AK146" s="13" t="str">
        <f>IF($A146="","",[1]!thsiFinD("ths_adjustment_nv_fund",AK$3,$A146))</f>
        <v/>
      </c>
      <c r="AL146" s="13" t="str">
        <f>IF($A146="","",[1]!thsiFinD("ths_adjustment_nv_fund",AL$3,$A146))</f>
        <v/>
      </c>
    </row>
    <row r="147" spans="1:38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  <c r="AC147" s="13" t="str">
        <f>IF($A147="","",[1]!thsiFinD("ths_adjustment_nv_fund",AC$3,$A147))</f>
        <v/>
      </c>
      <c r="AD147" s="13" t="str">
        <f>IF($A147="","",[1]!thsiFinD("ths_adjustment_nv_fund",AD$3,$A147))</f>
        <v/>
      </c>
      <c r="AE147" s="13" t="str">
        <f>IF($A147="","",[1]!thsiFinD("ths_adjustment_nv_fund",AE$3,$A147))</f>
        <v/>
      </c>
      <c r="AF147" s="13" t="str">
        <f>IF($A147="","",[1]!thsiFinD("ths_adjustment_nv_fund",AF$3,$A147))</f>
        <v/>
      </c>
      <c r="AG147" s="13" t="str">
        <f>IF($A147="","",[1]!thsiFinD("ths_adjustment_nv_fund",AG$3,$A147))</f>
        <v/>
      </c>
      <c r="AH147" s="13" t="str">
        <f>IF($A147="","",[1]!thsiFinD("ths_adjustment_nv_fund",AH$3,$A147))</f>
        <v/>
      </c>
      <c r="AI147" s="13" t="str">
        <f>IF($A147="","",[1]!thsiFinD("ths_adjustment_nv_fund",AI$3,$A147))</f>
        <v/>
      </c>
      <c r="AJ147" s="13" t="str">
        <f>IF($A147="","",[1]!thsiFinD("ths_adjustment_nv_fund",AJ$3,$A147))</f>
        <v/>
      </c>
      <c r="AK147" s="13" t="str">
        <f>IF($A147="","",[1]!thsiFinD("ths_adjustment_nv_fund",AK$3,$A147))</f>
        <v/>
      </c>
      <c r="AL147" s="13" t="str">
        <f>IF($A147="","",[1]!thsiFinD("ths_adjustment_nv_fund",AL$3,$A147))</f>
        <v/>
      </c>
    </row>
    <row r="148" spans="1:38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  <c r="AC148" s="13" t="str">
        <f>IF($A148="","",[1]!thsiFinD("ths_adjustment_nv_fund",AC$3,$A148))</f>
        <v/>
      </c>
      <c r="AD148" s="13" t="str">
        <f>IF($A148="","",[1]!thsiFinD("ths_adjustment_nv_fund",AD$3,$A148))</f>
        <v/>
      </c>
      <c r="AE148" s="13" t="str">
        <f>IF($A148="","",[1]!thsiFinD("ths_adjustment_nv_fund",AE$3,$A148))</f>
        <v/>
      </c>
      <c r="AF148" s="13" t="str">
        <f>IF($A148="","",[1]!thsiFinD("ths_adjustment_nv_fund",AF$3,$A148))</f>
        <v/>
      </c>
      <c r="AG148" s="13" t="str">
        <f>IF($A148="","",[1]!thsiFinD("ths_adjustment_nv_fund",AG$3,$A148))</f>
        <v/>
      </c>
      <c r="AH148" s="13" t="str">
        <f>IF($A148="","",[1]!thsiFinD("ths_adjustment_nv_fund",AH$3,$A148))</f>
        <v/>
      </c>
      <c r="AI148" s="13" t="str">
        <f>IF($A148="","",[1]!thsiFinD("ths_adjustment_nv_fund",AI$3,$A148))</f>
        <v/>
      </c>
      <c r="AJ148" s="13" t="str">
        <f>IF($A148="","",[1]!thsiFinD("ths_adjustment_nv_fund",AJ$3,$A148))</f>
        <v/>
      </c>
      <c r="AK148" s="13" t="str">
        <f>IF($A148="","",[1]!thsiFinD("ths_adjustment_nv_fund",AK$3,$A148))</f>
        <v/>
      </c>
      <c r="AL148" s="13" t="str">
        <f>IF($A148="","",[1]!thsiFinD("ths_adjustment_nv_fund",AL$3,$A148))</f>
        <v/>
      </c>
    </row>
    <row r="149" spans="1:38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  <c r="AC149" s="13" t="str">
        <f>IF($A149="","",[1]!thsiFinD("ths_adjustment_nv_fund",AC$3,$A149))</f>
        <v/>
      </c>
      <c r="AD149" s="13" t="str">
        <f>IF($A149="","",[1]!thsiFinD("ths_adjustment_nv_fund",AD$3,$A149))</f>
        <v/>
      </c>
      <c r="AE149" s="13" t="str">
        <f>IF($A149="","",[1]!thsiFinD("ths_adjustment_nv_fund",AE$3,$A149))</f>
        <v/>
      </c>
      <c r="AF149" s="13" t="str">
        <f>IF($A149="","",[1]!thsiFinD("ths_adjustment_nv_fund",AF$3,$A149))</f>
        <v/>
      </c>
      <c r="AG149" s="13" t="str">
        <f>IF($A149="","",[1]!thsiFinD("ths_adjustment_nv_fund",AG$3,$A149))</f>
        <v/>
      </c>
      <c r="AH149" s="13" t="str">
        <f>IF($A149="","",[1]!thsiFinD("ths_adjustment_nv_fund",AH$3,$A149))</f>
        <v/>
      </c>
      <c r="AI149" s="13" t="str">
        <f>IF($A149="","",[1]!thsiFinD("ths_adjustment_nv_fund",AI$3,$A149))</f>
        <v/>
      </c>
      <c r="AJ149" s="13" t="str">
        <f>IF($A149="","",[1]!thsiFinD("ths_adjustment_nv_fund",AJ$3,$A149))</f>
        <v/>
      </c>
      <c r="AK149" s="13" t="str">
        <f>IF($A149="","",[1]!thsiFinD("ths_adjustment_nv_fund",AK$3,$A149))</f>
        <v/>
      </c>
      <c r="AL149" s="13" t="str">
        <f>IF($A149="","",[1]!thsiFinD("ths_adjustment_nv_fund",AL$3,$A149))</f>
        <v/>
      </c>
    </row>
    <row r="150" spans="1:38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  <c r="AC150" s="13" t="str">
        <f>IF($A150="","",[1]!thsiFinD("ths_adjustment_nv_fund",AC$3,$A150))</f>
        <v/>
      </c>
      <c r="AD150" s="13" t="str">
        <f>IF($A150="","",[1]!thsiFinD("ths_adjustment_nv_fund",AD$3,$A150))</f>
        <v/>
      </c>
      <c r="AE150" s="13" t="str">
        <f>IF($A150="","",[1]!thsiFinD("ths_adjustment_nv_fund",AE$3,$A150))</f>
        <v/>
      </c>
      <c r="AF150" s="13" t="str">
        <f>IF($A150="","",[1]!thsiFinD("ths_adjustment_nv_fund",AF$3,$A150))</f>
        <v/>
      </c>
      <c r="AG150" s="13" t="str">
        <f>IF($A150="","",[1]!thsiFinD("ths_adjustment_nv_fund",AG$3,$A150))</f>
        <v/>
      </c>
      <c r="AH150" s="13" t="str">
        <f>IF($A150="","",[1]!thsiFinD("ths_adjustment_nv_fund",AH$3,$A150))</f>
        <v/>
      </c>
      <c r="AI150" s="13" t="str">
        <f>IF($A150="","",[1]!thsiFinD("ths_adjustment_nv_fund",AI$3,$A150))</f>
        <v/>
      </c>
      <c r="AJ150" s="13" t="str">
        <f>IF($A150="","",[1]!thsiFinD("ths_adjustment_nv_fund",AJ$3,$A150))</f>
        <v/>
      </c>
      <c r="AK150" s="13" t="str">
        <f>IF($A150="","",[1]!thsiFinD("ths_adjustment_nv_fund",AK$3,$A150))</f>
        <v/>
      </c>
      <c r="AL150" s="13" t="str">
        <f>IF($A150="","",[1]!thsiFinD("ths_adjustment_nv_fund",AL$3,$A150))</f>
        <v/>
      </c>
    </row>
    <row r="151" spans="1:38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  <c r="AC151" s="13" t="str">
        <f>IF($A151="","",[1]!thsiFinD("ths_adjustment_nv_fund",AC$3,$A151))</f>
        <v/>
      </c>
      <c r="AD151" s="13" t="str">
        <f>IF($A151="","",[1]!thsiFinD("ths_adjustment_nv_fund",AD$3,$A151))</f>
        <v/>
      </c>
      <c r="AE151" s="13" t="str">
        <f>IF($A151="","",[1]!thsiFinD("ths_adjustment_nv_fund",AE$3,$A151))</f>
        <v/>
      </c>
      <c r="AF151" s="13" t="str">
        <f>IF($A151="","",[1]!thsiFinD("ths_adjustment_nv_fund",AF$3,$A151))</f>
        <v/>
      </c>
      <c r="AG151" s="13" t="str">
        <f>IF($A151="","",[1]!thsiFinD("ths_adjustment_nv_fund",AG$3,$A151))</f>
        <v/>
      </c>
      <c r="AH151" s="13" t="str">
        <f>IF($A151="","",[1]!thsiFinD("ths_adjustment_nv_fund",AH$3,$A151))</f>
        <v/>
      </c>
      <c r="AI151" s="13" t="str">
        <f>IF($A151="","",[1]!thsiFinD("ths_adjustment_nv_fund",AI$3,$A151))</f>
        <v/>
      </c>
      <c r="AJ151" s="13" t="str">
        <f>IF($A151="","",[1]!thsiFinD("ths_adjustment_nv_fund",AJ$3,$A151))</f>
        <v/>
      </c>
      <c r="AK151" s="13" t="str">
        <f>IF($A151="","",[1]!thsiFinD("ths_adjustment_nv_fund",AK$3,$A151))</f>
        <v/>
      </c>
      <c r="AL151" s="13" t="str">
        <f>IF($A151="","",[1]!thsiFinD("ths_adjustment_nv_fund",AL$3,$A151))</f>
        <v/>
      </c>
    </row>
    <row r="152" spans="1:38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  <c r="AC152" s="13" t="str">
        <f>IF($A152="","",[1]!thsiFinD("ths_adjustment_nv_fund",AC$3,$A152))</f>
        <v/>
      </c>
      <c r="AD152" s="13" t="str">
        <f>IF($A152="","",[1]!thsiFinD("ths_adjustment_nv_fund",AD$3,$A152))</f>
        <v/>
      </c>
      <c r="AE152" s="13" t="str">
        <f>IF($A152="","",[1]!thsiFinD("ths_adjustment_nv_fund",AE$3,$A152))</f>
        <v/>
      </c>
      <c r="AF152" s="13" t="str">
        <f>IF($A152="","",[1]!thsiFinD("ths_adjustment_nv_fund",AF$3,$A152))</f>
        <v/>
      </c>
      <c r="AG152" s="13" t="str">
        <f>IF($A152="","",[1]!thsiFinD("ths_adjustment_nv_fund",AG$3,$A152))</f>
        <v/>
      </c>
      <c r="AH152" s="13" t="str">
        <f>IF($A152="","",[1]!thsiFinD("ths_adjustment_nv_fund",AH$3,$A152))</f>
        <v/>
      </c>
      <c r="AI152" s="13" t="str">
        <f>IF($A152="","",[1]!thsiFinD("ths_adjustment_nv_fund",AI$3,$A152))</f>
        <v/>
      </c>
      <c r="AJ152" s="13" t="str">
        <f>IF($A152="","",[1]!thsiFinD("ths_adjustment_nv_fund",AJ$3,$A152))</f>
        <v/>
      </c>
      <c r="AK152" s="13" t="str">
        <f>IF($A152="","",[1]!thsiFinD("ths_adjustment_nv_fund",AK$3,$A152))</f>
        <v/>
      </c>
      <c r="AL152" s="13" t="str">
        <f>IF($A152="","",[1]!thsiFinD("ths_adjustment_nv_fund",AL$3,$A152))</f>
        <v/>
      </c>
    </row>
    <row r="153" spans="1:38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  <c r="AC153" s="13" t="str">
        <f>IF($A153="","",[1]!thsiFinD("ths_adjustment_nv_fund",AC$3,$A153))</f>
        <v/>
      </c>
      <c r="AD153" s="13" t="str">
        <f>IF($A153="","",[1]!thsiFinD("ths_adjustment_nv_fund",AD$3,$A153))</f>
        <v/>
      </c>
      <c r="AE153" s="13" t="str">
        <f>IF($A153="","",[1]!thsiFinD("ths_adjustment_nv_fund",AE$3,$A153))</f>
        <v/>
      </c>
      <c r="AF153" s="13" t="str">
        <f>IF($A153="","",[1]!thsiFinD("ths_adjustment_nv_fund",AF$3,$A153))</f>
        <v/>
      </c>
      <c r="AG153" s="13" t="str">
        <f>IF($A153="","",[1]!thsiFinD("ths_adjustment_nv_fund",AG$3,$A153))</f>
        <v/>
      </c>
      <c r="AH153" s="13" t="str">
        <f>IF($A153="","",[1]!thsiFinD("ths_adjustment_nv_fund",AH$3,$A153))</f>
        <v/>
      </c>
      <c r="AI153" s="13" t="str">
        <f>IF($A153="","",[1]!thsiFinD("ths_adjustment_nv_fund",AI$3,$A153))</f>
        <v/>
      </c>
      <c r="AJ153" s="13" t="str">
        <f>IF($A153="","",[1]!thsiFinD("ths_adjustment_nv_fund",AJ$3,$A153))</f>
        <v/>
      </c>
      <c r="AK153" s="13" t="str">
        <f>IF($A153="","",[1]!thsiFinD("ths_adjustment_nv_fund",AK$3,$A153))</f>
        <v/>
      </c>
      <c r="AL153" s="13" t="str">
        <f>IF($A153="","",[1]!thsiFinD("ths_adjustment_nv_fund",AL$3,$A153))</f>
        <v/>
      </c>
    </row>
    <row r="154" spans="1:38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  <c r="AC154" s="13" t="str">
        <f>IF($A154="","",[1]!thsiFinD("ths_adjustment_nv_fund",AC$3,$A154))</f>
        <v/>
      </c>
      <c r="AD154" s="13" t="str">
        <f>IF($A154="","",[1]!thsiFinD("ths_adjustment_nv_fund",AD$3,$A154))</f>
        <v/>
      </c>
      <c r="AE154" s="13" t="str">
        <f>IF($A154="","",[1]!thsiFinD("ths_adjustment_nv_fund",AE$3,$A154))</f>
        <v/>
      </c>
      <c r="AF154" s="13" t="str">
        <f>IF($A154="","",[1]!thsiFinD("ths_adjustment_nv_fund",AF$3,$A154))</f>
        <v/>
      </c>
      <c r="AG154" s="13" t="str">
        <f>IF($A154="","",[1]!thsiFinD("ths_adjustment_nv_fund",AG$3,$A154))</f>
        <v/>
      </c>
      <c r="AH154" s="13" t="str">
        <f>IF($A154="","",[1]!thsiFinD("ths_adjustment_nv_fund",AH$3,$A154))</f>
        <v/>
      </c>
      <c r="AI154" s="13" t="str">
        <f>IF($A154="","",[1]!thsiFinD("ths_adjustment_nv_fund",AI$3,$A154))</f>
        <v/>
      </c>
      <c r="AJ154" s="13" t="str">
        <f>IF($A154="","",[1]!thsiFinD("ths_adjustment_nv_fund",AJ$3,$A154))</f>
        <v/>
      </c>
      <c r="AK154" s="13" t="str">
        <f>IF($A154="","",[1]!thsiFinD("ths_adjustment_nv_fund",AK$3,$A154))</f>
        <v/>
      </c>
      <c r="AL154" s="13" t="str">
        <f>IF($A154="","",[1]!thsiFinD("ths_adjustment_nv_fund",AL$3,$A154))</f>
        <v/>
      </c>
    </row>
    <row r="155" spans="1:38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  <c r="AC155" s="13" t="str">
        <f>IF($A155="","",[1]!thsiFinD("ths_adjustment_nv_fund",AC$3,$A155))</f>
        <v/>
      </c>
      <c r="AD155" s="13" t="str">
        <f>IF($A155="","",[1]!thsiFinD("ths_adjustment_nv_fund",AD$3,$A155))</f>
        <v/>
      </c>
      <c r="AE155" s="13" t="str">
        <f>IF($A155="","",[1]!thsiFinD("ths_adjustment_nv_fund",AE$3,$A155))</f>
        <v/>
      </c>
      <c r="AF155" s="13" t="str">
        <f>IF($A155="","",[1]!thsiFinD("ths_adjustment_nv_fund",AF$3,$A155))</f>
        <v/>
      </c>
      <c r="AG155" s="13" t="str">
        <f>IF($A155="","",[1]!thsiFinD("ths_adjustment_nv_fund",AG$3,$A155))</f>
        <v/>
      </c>
      <c r="AH155" s="13" t="str">
        <f>IF($A155="","",[1]!thsiFinD("ths_adjustment_nv_fund",AH$3,$A155))</f>
        <v/>
      </c>
      <c r="AI155" s="13" t="str">
        <f>IF($A155="","",[1]!thsiFinD("ths_adjustment_nv_fund",AI$3,$A155))</f>
        <v/>
      </c>
      <c r="AJ155" s="13" t="str">
        <f>IF($A155="","",[1]!thsiFinD("ths_adjustment_nv_fund",AJ$3,$A155))</f>
        <v/>
      </c>
      <c r="AK155" s="13" t="str">
        <f>IF($A155="","",[1]!thsiFinD("ths_adjustment_nv_fund",AK$3,$A155))</f>
        <v/>
      </c>
      <c r="AL155" s="13" t="str">
        <f>IF($A155="","",[1]!thsiFinD("ths_adjustment_nv_fund",AL$3,$A155))</f>
        <v/>
      </c>
    </row>
    <row r="156" spans="1:38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  <c r="AC156" s="13" t="str">
        <f>IF($A156="","",[1]!thsiFinD("ths_adjustment_nv_fund",AC$3,$A156))</f>
        <v/>
      </c>
      <c r="AD156" s="13" t="str">
        <f>IF($A156="","",[1]!thsiFinD("ths_adjustment_nv_fund",AD$3,$A156))</f>
        <v/>
      </c>
      <c r="AE156" s="13" t="str">
        <f>IF($A156="","",[1]!thsiFinD("ths_adjustment_nv_fund",AE$3,$A156))</f>
        <v/>
      </c>
      <c r="AF156" s="13" t="str">
        <f>IF($A156="","",[1]!thsiFinD("ths_adjustment_nv_fund",AF$3,$A156))</f>
        <v/>
      </c>
      <c r="AG156" s="13" t="str">
        <f>IF($A156="","",[1]!thsiFinD("ths_adjustment_nv_fund",AG$3,$A156))</f>
        <v/>
      </c>
      <c r="AH156" s="13" t="str">
        <f>IF($A156="","",[1]!thsiFinD("ths_adjustment_nv_fund",AH$3,$A156))</f>
        <v/>
      </c>
      <c r="AI156" s="13" t="str">
        <f>IF($A156="","",[1]!thsiFinD("ths_adjustment_nv_fund",AI$3,$A156))</f>
        <v/>
      </c>
      <c r="AJ156" s="13" t="str">
        <f>IF($A156="","",[1]!thsiFinD("ths_adjustment_nv_fund",AJ$3,$A156))</f>
        <v/>
      </c>
      <c r="AK156" s="13" t="str">
        <f>IF($A156="","",[1]!thsiFinD("ths_adjustment_nv_fund",AK$3,$A156))</f>
        <v/>
      </c>
      <c r="AL156" s="13" t="str">
        <f>IF($A156="","",[1]!thsiFinD("ths_adjustment_nv_fund",AL$3,$A156))</f>
        <v/>
      </c>
    </row>
    <row r="157" spans="1:38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  <c r="AC157" s="13" t="str">
        <f>IF($A157="","",[1]!thsiFinD("ths_adjustment_nv_fund",AC$3,$A157))</f>
        <v/>
      </c>
      <c r="AD157" s="13" t="str">
        <f>IF($A157="","",[1]!thsiFinD("ths_adjustment_nv_fund",AD$3,$A157))</f>
        <v/>
      </c>
      <c r="AE157" s="13" t="str">
        <f>IF($A157="","",[1]!thsiFinD("ths_adjustment_nv_fund",AE$3,$A157))</f>
        <v/>
      </c>
      <c r="AF157" s="13" t="str">
        <f>IF($A157="","",[1]!thsiFinD("ths_adjustment_nv_fund",AF$3,$A157))</f>
        <v/>
      </c>
      <c r="AG157" s="13" t="str">
        <f>IF($A157="","",[1]!thsiFinD("ths_adjustment_nv_fund",AG$3,$A157))</f>
        <v/>
      </c>
      <c r="AH157" s="13" t="str">
        <f>IF($A157="","",[1]!thsiFinD("ths_adjustment_nv_fund",AH$3,$A157))</f>
        <v/>
      </c>
      <c r="AI157" s="13" t="str">
        <f>IF($A157="","",[1]!thsiFinD("ths_adjustment_nv_fund",AI$3,$A157))</f>
        <v/>
      </c>
      <c r="AJ157" s="13" t="str">
        <f>IF($A157="","",[1]!thsiFinD("ths_adjustment_nv_fund",AJ$3,$A157))</f>
        <v/>
      </c>
      <c r="AK157" s="13" t="str">
        <f>IF($A157="","",[1]!thsiFinD("ths_adjustment_nv_fund",AK$3,$A157))</f>
        <v/>
      </c>
      <c r="AL157" s="13" t="str">
        <f>IF($A157="","",[1]!thsiFinD("ths_adjustment_nv_fund",AL$3,$A157))</f>
        <v/>
      </c>
    </row>
    <row r="158" spans="1:38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  <c r="AC158" s="13" t="str">
        <f>IF($A158="","",[1]!thsiFinD("ths_adjustment_nv_fund",AC$3,$A158))</f>
        <v/>
      </c>
      <c r="AD158" s="13" t="str">
        <f>IF($A158="","",[1]!thsiFinD("ths_adjustment_nv_fund",AD$3,$A158))</f>
        <v/>
      </c>
      <c r="AE158" s="13" t="str">
        <f>IF($A158="","",[1]!thsiFinD("ths_adjustment_nv_fund",AE$3,$A158))</f>
        <v/>
      </c>
      <c r="AF158" s="13" t="str">
        <f>IF($A158="","",[1]!thsiFinD("ths_adjustment_nv_fund",AF$3,$A158))</f>
        <v/>
      </c>
      <c r="AG158" s="13" t="str">
        <f>IF($A158="","",[1]!thsiFinD("ths_adjustment_nv_fund",AG$3,$A158))</f>
        <v/>
      </c>
      <c r="AH158" s="13" t="str">
        <f>IF($A158="","",[1]!thsiFinD("ths_adjustment_nv_fund",AH$3,$A158))</f>
        <v/>
      </c>
      <c r="AI158" s="13" t="str">
        <f>IF($A158="","",[1]!thsiFinD("ths_adjustment_nv_fund",AI$3,$A158))</f>
        <v/>
      </c>
      <c r="AJ158" s="13" t="str">
        <f>IF($A158="","",[1]!thsiFinD("ths_adjustment_nv_fund",AJ$3,$A158))</f>
        <v/>
      </c>
      <c r="AK158" s="13" t="str">
        <f>IF($A158="","",[1]!thsiFinD("ths_adjustment_nv_fund",AK$3,$A158))</f>
        <v/>
      </c>
      <c r="AL158" s="13" t="str">
        <f>IF($A158="","",[1]!thsiFinD("ths_adjustment_nv_fund",AL$3,$A158))</f>
        <v/>
      </c>
    </row>
    <row r="159" spans="1:38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  <c r="AC159" s="13" t="str">
        <f>IF($A159="","",[1]!thsiFinD("ths_adjustment_nv_fund",AC$3,$A159))</f>
        <v/>
      </c>
      <c r="AD159" s="13" t="str">
        <f>IF($A159="","",[1]!thsiFinD("ths_adjustment_nv_fund",AD$3,$A159))</f>
        <v/>
      </c>
      <c r="AE159" s="13" t="str">
        <f>IF($A159="","",[1]!thsiFinD("ths_adjustment_nv_fund",AE$3,$A159))</f>
        <v/>
      </c>
      <c r="AF159" s="13" t="str">
        <f>IF($A159="","",[1]!thsiFinD("ths_adjustment_nv_fund",AF$3,$A159))</f>
        <v/>
      </c>
      <c r="AG159" s="13" t="str">
        <f>IF($A159="","",[1]!thsiFinD("ths_adjustment_nv_fund",AG$3,$A159))</f>
        <v/>
      </c>
      <c r="AH159" s="13" t="str">
        <f>IF($A159="","",[1]!thsiFinD("ths_adjustment_nv_fund",AH$3,$A159))</f>
        <v/>
      </c>
      <c r="AI159" s="13" t="str">
        <f>IF($A159="","",[1]!thsiFinD("ths_adjustment_nv_fund",AI$3,$A159))</f>
        <v/>
      </c>
      <c r="AJ159" s="13" t="str">
        <f>IF($A159="","",[1]!thsiFinD("ths_adjustment_nv_fund",AJ$3,$A159))</f>
        <v/>
      </c>
      <c r="AK159" s="13" t="str">
        <f>IF($A159="","",[1]!thsiFinD("ths_adjustment_nv_fund",AK$3,$A159))</f>
        <v/>
      </c>
      <c r="AL159" s="13" t="str">
        <f>IF($A159="","",[1]!thsiFinD("ths_adjustment_nv_fund",AL$3,$A159))</f>
        <v/>
      </c>
    </row>
    <row r="160" spans="1:38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  <c r="AC160" s="13" t="str">
        <f>IF($A160="","",[1]!thsiFinD("ths_adjustment_nv_fund",AC$3,$A160))</f>
        <v/>
      </c>
      <c r="AD160" s="13" t="str">
        <f>IF($A160="","",[1]!thsiFinD("ths_adjustment_nv_fund",AD$3,$A160))</f>
        <v/>
      </c>
      <c r="AE160" s="13" t="str">
        <f>IF($A160="","",[1]!thsiFinD("ths_adjustment_nv_fund",AE$3,$A160))</f>
        <v/>
      </c>
      <c r="AF160" s="13" t="str">
        <f>IF($A160="","",[1]!thsiFinD("ths_adjustment_nv_fund",AF$3,$A160))</f>
        <v/>
      </c>
      <c r="AG160" s="13" t="str">
        <f>IF($A160="","",[1]!thsiFinD("ths_adjustment_nv_fund",AG$3,$A160))</f>
        <v/>
      </c>
      <c r="AH160" s="13" t="str">
        <f>IF($A160="","",[1]!thsiFinD("ths_adjustment_nv_fund",AH$3,$A160))</f>
        <v/>
      </c>
      <c r="AI160" s="13" t="str">
        <f>IF($A160="","",[1]!thsiFinD("ths_adjustment_nv_fund",AI$3,$A160))</f>
        <v/>
      </c>
      <c r="AJ160" s="13" t="str">
        <f>IF($A160="","",[1]!thsiFinD("ths_adjustment_nv_fund",AJ$3,$A160))</f>
        <v/>
      </c>
      <c r="AK160" s="13" t="str">
        <f>IF($A160="","",[1]!thsiFinD("ths_adjustment_nv_fund",AK$3,$A160))</f>
        <v/>
      </c>
      <c r="AL160" s="13" t="str">
        <f>IF($A160="","",[1]!thsiFinD("ths_adjustment_nv_fund",AL$3,$A160))</f>
        <v/>
      </c>
    </row>
    <row r="161" spans="1:38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  <c r="AC161" s="13" t="str">
        <f>IF($A161="","",[1]!thsiFinD("ths_adjustment_nv_fund",AC$3,$A161))</f>
        <v/>
      </c>
      <c r="AD161" s="13" t="str">
        <f>IF($A161="","",[1]!thsiFinD("ths_adjustment_nv_fund",AD$3,$A161))</f>
        <v/>
      </c>
      <c r="AE161" s="13" t="str">
        <f>IF($A161="","",[1]!thsiFinD("ths_adjustment_nv_fund",AE$3,$A161))</f>
        <v/>
      </c>
      <c r="AF161" s="13" t="str">
        <f>IF($A161="","",[1]!thsiFinD("ths_adjustment_nv_fund",AF$3,$A161))</f>
        <v/>
      </c>
      <c r="AG161" s="13" t="str">
        <f>IF($A161="","",[1]!thsiFinD("ths_adjustment_nv_fund",AG$3,$A161))</f>
        <v/>
      </c>
      <c r="AH161" s="13" t="str">
        <f>IF($A161="","",[1]!thsiFinD("ths_adjustment_nv_fund",AH$3,$A161))</f>
        <v/>
      </c>
      <c r="AI161" s="13" t="str">
        <f>IF($A161="","",[1]!thsiFinD("ths_adjustment_nv_fund",AI$3,$A161))</f>
        <v/>
      </c>
      <c r="AJ161" s="13" t="str">
        <f>IF($A161="","",[1]!thsiFinD("ths_adjustment_nv_fund",AJ$3,$A161))</f>
        <v/>
      </c>
      <c r="AK161" s="13" t="str">
        <f>IF($A161="","",[1]!thsiFinD("ths_adjustment_nv_fund",AK$3,$A161))</f>
        <v/>
      </c>
      <c r="AL161" s="13" t="str">
        <f>IF($A161="","",[1]!thsiFinD("ths_adjustment_nv_fund",AL$3,$A161))</f>
        <v/>
      </c>
    </row>
    <row r="162" spans="1:38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  <c r="AC162" s="13" t="str">
        <f>IF($A162="","",[1]!thsiFinD("ths_adjustment_nv_fund",AC$3,$A162))</f>
        <v/>
      </c>
      <c r="AD162" s="13" t="str">
        <f>IF($A162="","",[1]!thsiFinD("ths_adjustment_nv_fund",AD$3,$A162))</f>
        <v/>
      </c>
      <c r="AE162" s="13" t="str">
        <f>IF($A162="","",[1]!thsiFinD("ths_adjustment_nv_fund",AE$3,$A162))</f>
        <v/>
      </c>
      <c r="AF162" s="13" t="str">
        <f>IF($A162="","",[1]!thsiFinD("ths_adjustment_nv_fund",AF$3,$A162))</f>
        <v/>
      </c>
      <c r="AG162" s="13" t="str">
        <f>IF($A162="","",[1]!thsiFinD("ths_adjustment_nv_fund",AG$3,$A162))</f>
        <v/>
      </c>
      <c r="AH162" s="13" t="str">
        <f>IF($A162="","",[1]!thsiFinD("ths_adjustment_nv_fund",AH$3,$A162))</f>
        <v/>
      </c>
      <c r="AI162" s="13" t="str">
        <f>IF($A162="","",[1]!thsiFinD("ths_adjustment_nv_fund",AI$3,$A162))</f>
        <v/>
      </c>
      <c r="AJ162" s="13" t="str">
        <f>IF($A162="","",[1]!thsiFinD("ths_adjustment_nv_fund",AJ$3,$A162))</f>
        <v/>
      </c>
      <c r="AK162" s="13" t="str">
        <f>IF($A162="","",[1]!thsiFinD("ths_adjustment_nv_fund",AK$3,$A162))</f>
        <v/>
      </c>
      <c r="AL162" s="13" t="str">
        <f>IF($A162="","",[1]!thsiFinD("ths_adjustment_nv_fund",AL$3,$A162))</f>
        <v/>
      </c>
    </row>
    <row r="163" spans="1:38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  <c r="AC163" s="13" t="str">
        <f>IF($A163="","",[1]!thsiFinD("ths_adjustment_nv_fund",AC$3,$A163))</f>
        <v/>
      </c>
      <c r="AD163" s="13" t="str">
        <f>IF($A163="","",[1]!thsiFinD("ths_adjustment_nv_fund",AD$3,$A163))</f>
        <v/>
      </c>
      <c r="AE163" s="13" t="str">
        <f>IF($A163="","",[1]!thsiFinD("ths_adjustment_nv_fund",AE$3,$A163))</f>
        <v/>
      </c>
      <c r="AF163" s="13" t="str">
        <f>IF($A163="","",[1]!thsiFinD("ths_adjustment_nv_fund",AF$3,$A163))</f>
        <v/>
      </c>
      <c r="AG163" s="13" t="str">
        <f>IF($A163="","",[1]!thsiFinD("ths_adjustment_nv_fund",AG$3,$A163))</f>
        <v/>
      </c>
      <c r="AH163" s="13" t="str">
        <f>IF($A163="","",[1]!thsiFinD("ths_adjustment_nv_fund",AH$3,$A163))</f>
        <v/>
      </c>
      <c r="AI163" s="13" t="str">
        <f>IF($A163="","",[1]!thsiFinD("ths_adjustment_nv_fund",AI$3,$A163))</f>
        <v/>
      </c>
      <c r="AJ163" s="13" t="str">
        <f>IF($A163="","",[1]!thsiFinD("ths_adjustment_nv_fund",AJ$3,$A163))</f>
        <v/>
      </c>
      <c r="AK163" s="13" t="str">
        <f>IF($A163="","",[1]!thsiFinD("ths_adjustment_nv_fund",AK$3,$A163))</f>
        <v/>
      </c>
      <c r="AL163" s="13" t="str">
        <f>IF($A163="","",[1]!thsiFinD("ths_adjustment_nv_fund",AL$3,$A163))</f>
        <v/>
      </c>
    </row>
    <row r="164" spans="1:38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  <c r="AC164" s="13" t="str">
        <f>IF($A164="","",[1]!thsiFinD("ths_adjustment_nv_fund",AC$3,$A164))</f>
        <v/>
      </c>
      <c r="AD164" s="13" t="str">
        <f>IF($A164="","",[1]!thsiFinD("ths_adjustment_nv_fund",AD$3,$A164))</f>
        <v/>
      </c>
      <c r="AE164" s="13" t="str">
        <f>IF($A164="","",[1]!thsiFinD("ths_adjustment_nv_fund",AE$3,$A164))</f>
        <v/>
      </c>
      <c r="AF164" s="13" t="str">
        <f>IF($A164="","",[1]!thsiFinD("ths_adjustment_nv_fund",AF$3,$A164))</f>
        <v/>
      </c>
      <c r="AG164" s="13" t="str">
        <f>IF($A164="","",[1]!thsiFinD("ths_adjustment_nv_fund",AG$3,$A164))</f>
        <v/>
      </c>
      <c r="AH164" s="13" t="str">
        <f>IF($A164="","",[1]!thsiFinD("ths_adjustment_nv_fund",AH$3,$A164))</f>
        <v/>
      </c>
      <c r="AI164" s="13" t="str">
        <f>IF($A164="","",[1]!thsiFinD("ths_adjustment_nv_fund",AI$3,$A164))</f>
        <v/>
      </c>
      <c r="AJ164" s="13" t="str">
        <f>IF($A164="","",[1]!thsiFinD("ths_adjustment_nv_fund",AJ$3,$A164))</f>
        <v/>
      </c>
      <c r="AK164" s="13" t="str">
        <f>IF($A164="","",[1]!thsiFinD("ths_adjustment_nv_fund",AK$3,$A164))</f>
        <v/>
      </c>
      <c r="AL164" s="13" t="str">
        <f>IF($A164="","",[1]!thsiFinD("ths_adjustment_nv_fund",AL$3,$A164))</f>
        <v/>
      </c>
    </row>
    <row r="165" spans="1:38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  <c r="AC165" s="13" t="str">
        <f>IF($A165="","",[1]!thsiFinD("ths_adjustment_nv_fund",AC$3,$A165))</f>
        <v/>
      </c>
      <c r="AD165" s="13" t="str">
        <f>IF($A165="","",[1]!thsiFinD("ths_adjustment_nv_fund",AD$3,$A165))</f>
        <v/>
      </c>
      <c r="AE165" s="13" t="str">
        <f>IF($A165="","",[1]!thsiFinD("ths_adjustment_nv_fund",AE$3,$A165))</f>
        <v/>
      </c>
      <c r="AF165" s="13" t="str">
        <f>IF($A165="","",[1]!thsiFinD("ths_adjustment_nv_fund",AF$3,$A165))</f>
        <v/>
      </c>
      <c r="AG165" s="13" t="str">
        <f>IF($A165="","",[1]!thsiFinD("ths_adjustment_nv_fund",AG$3,$A165))</f>
        <v/>
      </c>
      <c r="AH165" s="13" t="str">
        <f>IF($A165="","",[1]!thsiFinD("ths_adjustment_nv_fund",AH$3,$A165))</f>
        <v/>
      </c>
      <c r="AI165" s="13" t="str">
        <f>IF($A165="","",[1]!thsiFinD("ths_adjustment_nv_fund",AI$3,$A165))</f>
        <v/>
      </c>
      <c r="AJ165" s="13" t="str">
        <f>IF($A165="","",[1]!thsiFinD("ths_adjustment_nv_fund",AJ$3,$A165))</f>
        <v/>
      </c>
      <c r="AK165" s="13" t="str">
        <f>IF($A165="","",[1]!thsiFinD("ths_adjustment_nv_fund",AK$3,$A165))</f>
        <v/>
      </c>
      <c r="AL165" s="13" t="str">
        <f>IF($A165="","",[1]!thsiFinD("ths_adjustment_nv_fund",AL$3,$A165))</f>
        <v/>
      </c>
    </row>
    <row r="166" spans="1:38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  <c r="AC166" s="13" t="str">
        <f>IF($A166="","",[1]!thsiFinD("ths_adjustment_nv_fund",AC$3,$A166))</f>
        <v/>
      </c>
      <c r="AD166" s="13" t="str">
        <f>IF($A166="","",[1]!thsiFinD("ths_adjustment_nv_fund",AD$3,$A166))</f>
        <v/>
      </c>
      <c r="AE166" s="13" t="str">
        <f>IF($A166="","",[1]!thsiFinD("ths_adjustment_nv_fund",AE$3,$A166))</f>
        <v/>
      </c>
      <c r="AF166" s="13" t="str">
        <f>IF($A166="","",[1]!thsiFinD("ths_adjustment_nv_fund",AF$3,$A166))</f>
        <v/>
      </c>
      <c r="AG166" s="13" t="str">
        <f>IF($A166="","",[1]!thsiFinD("ths_adjustment_nv_fund",AG$3,$A166))</f>
        <v/>
      </c>
      <c r="AH166" s="13" t="str">
        <f>IF($A166="","",[1]!thsiFinD("ths_adjustment_nv_fund",AH$3,$A166))</f>
        <v/>
      </c>
      <c r="AI166" s="13" t="str">
        <f>IF($A166="","",[1]!thsiFinD("ths_adjustment_nv_fund",AI$3,$A166))</f>
        <v/>
      </c>
      <c r="AJ166" s="13" t="str">
        <f>IF($A166="","",[1]!thsiFinD("ths_adjustment_nv_fund",AJ$3,$A166))</f>
        <v/>
      </c>
      <c r="AK166" s="13" t="str">
        <f>IF($A166="","",[1]!thsiFinD("ths_adjustment_nv_fund",AK$3,$A166))</f>
        <v/>
      </c>
      <c r="AL166" s="13" t="str">
        <f>IF($A166="","",[1]!thsiFinD("ths_adjustment_nv_fund",AL$3,$A166))</f>
        <v/>
      </c>
    </row>
    <row r="167" spans="1:38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  <c r="AC167" s="13" t="str">
        <f>IF($A167="","",[1]!thsiFinD("ths_adjustment_nv_fund",AC$3,$A167))</f>
        <v/>
      </c>
      <c r="AD167" s="13" t="str">
        <f>IF($A167="","",[1]!thsiFinD("ths_adjustment_nv_fund",AD$3,$A167))</f>
        <v/>
      </c>
      <c r="AE167" s="13" t="str">
        <f>IF($A167="","",[1]!thsiFinD("ths_adjustment_nv_fund",AE$3,$A167))</f>
        <v/>
      </c>
      <c r="AF167" s="13" t="str">
        <f>IF($A167="","",[1]!thsiFinD("ths_adjustment_nv_fund",AF$3,$A167))</f>
        <v/>
      </c>
      <c r="AG167" s="13" t="str">
        <f>IF($A167="","",[1]!thsiFinD("ths_adjustment_nv_fund",AG$3,$A167))</f>
        <v/>
      </c>
      <c r="AH167" s="13" t="str">
        <f>IF($A167="","",[1]!thsiFinD("ths_adjustment_nv_fund",AH$3,$A167))</f>
        <v/>
      </c>
      <c r="AI167" s="13" t="str">
        <f>IF($A167="","",[1]!thsiFinD("ths_adjustment_nv_fund",AI$3,$A167))</f>
        <v/>
      </c>
      <c r="AJ167" s="13" t="str">
        <f>IF($A167="","",[1]!thsiFinD("ths_adjustment_nv_fund",AJ$3,$A167))</f>
        <v/>
      </c>
      <c r="AK167" s="13" t="str">
        <f>IF($A167="","",[1]!thsiFinD("ths_adjustment_nv_fund",AK$3,$A167))</f>
        <v/>
      </c>
      <c r="AL167" s="13" t="str">
        <f>IF($A167="","",[1]!thsiFinD("ths_adjustment_nv_fund",AL$3,$A167))</f>
        <v/>
      </c>
    </row>
    <row r="168" spans="1:38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  <c r="AC168" s="13" t="str">
        <f>IF($A168="","",[1]!thsiFinD("ths_adjustment_nv_fund",AC$3,$A168))</f>
        <v/>
      </c>
      <c r="AD168" s="13" t="str">
        <f>IF($A168="","",[1]!thsiFinD("ths_adjustment_nv_fund",AD$3,$A168))</f>
        <v/>
      </c>
      <c r="AE168" s="13" t="str">
        <f>IF($A168="","",[1]!thsiFinD("ths_adjustment_nv_fund",AE$3,$A168))</f>
        <v/>
      </c>
      <c r="AF168" s="13" t="str">
        <f>IF($A168="","",[1]!thsiFinD("ths_adjustment_nv_fund",AF$3,$A168))</f>
        <v/>
      </c>
      <c r="AG168" s="13" t="str">
        <f>IF($A168="","",[1]!thsiFinD("ths_adjustment_nv_fund",AG$3,$A168))</f>
        <v/>
      </c>
      <c r="AH168" s="13" t="str">
        <f>IF($A168="","",[1]!thsiFinD("ths_adjustment_nv_fund",AH$3,$A168))</f>
        <v/>
      </c>
      <c r="AI168" s="13" t="str">
        <f>IF($A168="","",[1]!thsiFinD("ths_adjustment_nv_fund",AI$3,$A168))</f>
        <v/>
      </c>
      <c r="AJ168" s="13" t="str">
        <f>IF($A168="","",[1]!thsiFinD("ths_adjustment_nv_fund",AJ$3,$A168))</f>
        <v/>
      </c>
      <c r="AK168" s="13" t="str">
        <f>IF($A168="","",[1]!thsiFinD("ths_adjustment_nv_fund",AK$3,$A168))</f>
        <v/>
      </c>
      <c r="AL168" s="13" t="str">
        <f>IF($A168="","",[1]!thsiFinD("ths_adjustment_nv_fund",AL$3,$A168))</f>
        <v/>
      </c>
    </row>
    <row r="169" spans="1:38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  <c r="AC169" s="13" t="str">
        <f>IF($A169="","",[1]!thsiFinD("ths_adjustment_nv_fund",AC$3,$A169))</f>
        <v/>
      </c>
      <c r="AD169" s="13" t="str">
        <f>IF($A169="","",[1]!thsiFinD("ths_adjustment_nv_fund",AD$3,$A169))</f>
        <v/>
      </c>
      <c r="AE169" s="13" t="str">
        <f>IF($A169="","",[1]!thsiFinD("ths_adjustment_nv_fund",AE$3,$A169))</f>
        <v/>
      </c>
      <c r="AF169" s="13" t="str">
        <f>IF($A169="","",[1]!thsiFinD("ths_adjustment_nv_fund",AF$3,$A169))</f>
        <v/>
      </c>
      <c r="AG169" s="13" t="str">
        <f>IF($A169="","",[1]!thsiFinD("ths_adjustment_nv_fund",AG$3,$A169))</f>
        <v/>
      </c>
      <c r="AH169" s="13" t="str">
        <f>IF($A169="","",[1]!thsiFinD("ths_adjustment_nv_fund",AH$3,$A169))</f>
        <v/>
      </c>
      <c r="AI169" s="13" t="str">
        <f>IF($A169="","",[1]!thsiFinD("ths_adjustment_nv_fund",AI$3,$A169))</f>
        <v/>
      </c>
      <c r="AJ169" s="13" t="str">
        <f>IF($A169="","",[1]!thsiFinD("ths_adjustment_nv_fund",AJ$3,$A169))</f>
        <v/>
      </c>
      <c r="AK169" s="13" t="str">
        <f>IF($A169="","",[1]!thsiFinD("ths_adjustment_nv_fund",AK$3,$A169))</f>
        <v/>
      </c>
      <c r="AL169" s="13" t="str">
        <f>IF($A169="","",[1]!thsiFinD("ths_adjustment_nv_fund",AL$3,$A169))</f>
        <v/>
      </c>
    </row>
    <row r="170" spans="1:38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  <c r="AC170" s="13" t="str">
        <f>IF($A170="","",[1]!thsiFinD("ths_adjustment_nv_fund",AC$3,$A170))</f>
        <v/>
      </c>
      <c r="AD170" s="13" t="str">
        <f>IF($A170="","",[1]!thsiFinD("ths_adjustment_nv_fund",AD$3,$A170))</f>
        <v/>
      </c>
      <c r="AE170" s="13" t="str">
        <f>IF($A170="","",[1]!thsiFinD("ths_adjustment_nv_fund",AE$3,$A170))</f>
        <v/>
      </c>
      <c r="AF170" s="13" t="str">
        <f>IF($A170="","",[1]!thsiFinD("ths_adjustment_nv_fund",AF$3,$A170))</f>
        <v/>
      </c>
      <c r="AG170" s="13" t="str">
        <f>IF($A170="","",[1]!thsiFinD("ths_adjustment_nv_fund",AG$3,$A170))</f>
        <v/>
      </c>
      <c r="AH170" s="13" t="str">
        <f>IF($A170="","",[1]!thsiFinD("ths_adjustment_nv_fund",AH$3,$A170))</f>
        <v/>
      </c>
      <c r="AI170" s="13" t="str">
        <f>IF($A170="","",[1]!thsiFinD("ths_adjustment_nv_fund",AI$3,$A170))</f>
        <v/>
      </c>
      <c r="AJ170" s="13" t="str">
        <f>IF($A170="","",[1]!thsiFinD("ths_adjustment_nv_fund",AJ$3,$A170))</f>
        <v/>
      </c>
      <c r="AK170" s="13" t="str">
        <f>IF($A170="","",[1]!thsiFinD("ths_adjustment_nv_fund",AK$3,$A170))</f>
        <v/>
      </c>
      <c r="AL170" s="13" t="str">
        <f>IF($A170="","",[1]!thsiFinD("ths_adjustment_nv_fund",AL$3,$A170))</f>
        <v/>
      </c>
    </row>
    <row r="171" spans="1:38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  <c r="AC171" s="13" t="str">
        <f>IF($A171="","",[1]!thsiFinD("ths_adjustment_nv_fund",AC$3,$A171))</f>
        <v/>
      </c>
      <c r="AD171" s="13" t="str">
        <f>IF($A171="","",[1]!thsiFinD("ths_adjustment_nv_fund",AD$3,$A171))</f>
        <v/>
      </c>
      <c r="AE171" s="13" t="str">
        <f>IF($A171="","",[1]!thsiFinD("ths_adjustment_nv_fund",AE$3,$A171))</f>
        <v/>
      </c>
      <c r="AF171" s="13" t="str">
        <f>IF($A171="","",[1]!thsiFinD("ths_adjustment_nv_fund",AF$3,$A171))</f>
        <v/>
      </c>
      <c r="AG171" s="13" t="str">
        <f>IF($A171="","",[1]!thsiFinD("ths_adjustment_nv_fund",AG$3,$A171))</f>
        <v/>
      </c>
      <c r="AH171" s="13" t="str">
        <f>IF($A171="","",[1]!thsiFinD("ths_adjustment_nv_fund",AH$3,$A171))</f>
        <v/>
      </c>
      <c r="AI171" s="13" t="str">
        <f>IF($A171="","",[1]!thsiFinD("ths_adjustment_nv_fund",AI$3,$A171))</f>
        <v/>
      </c>
      <c r="AJ171" s="13" t="str">
        <f>IF($A171="","",[1]!thsiFinD("ths_adjustment_nv_fund",AJ$3,$A171))</f>
        <v/>
      </c>
      <c r="AK171" s="13" t="str">
        <f>IF($A171="","",[1]!thsiFinD("ths_adjustment_nv_fund",AK$3,$A171))</f>
        <v/>
      </c>
      <c r="AL171" s="13" t="str">
        <f>IF($A171="","",[1]!thsiFinD("ths_adjustment_nv_fund",AL$3,$A171))</f>
        <v/>
      </c>
    </row>
    <row r="172" spans="1:38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  <c r="AC172" s="13" t="str">
        <f>IF($A172="","",[1]!thsiFinD("ths_adjustment_nv_fund",AC$3,$A172))</f>
        <v/>
      </c>
      <c r="AD172" s="13" t="str">
        <f>IF($A172="","",[1]!thsiFinD("ths_adjustment_nv_fund",AD$3,$A172))</f>
        <v/>
      </c>
      <c r="AE172" s="13" t="str">
        <f>IF($A172="","",[1]!thsiFinD("ths_adjustment_nv_fund",AE$3,$A172))</f>
        <v/>
      </c>
      <c r="AF172" s="13" t="str">
        <f>IF($A172="","",[1]!thsiFinD("ths_adjustment_nv_fund",AF$3,$A172))</f>
        <v/>
      </c>
      <c r="AG172" s="13" t="str">
        <f>IF($A172="","",[1]!thsiFinD("ths_adjustment_nv_fund",AG$3,$A172))</f>
        <v/>
      </c>
      <c r="AH172" s="13" t="str">
        <f>IF($A172="","",[1]!thsiFinD("ths_adjustment_nv_fund",AH$3,$A172))</f>
        <v/>
      </c>
      <c r="AI172" s="13" t="str">
        <f>IF($A172="","",[1]!thsiFinD("ths_adjustment_nv_fund",AI$3,$A172))</f>
        <v/>
      </c>
      <c r="AJ172" s="13" t="str">
        <f>IF($A172="","",[1]!thsiFinD("ths_adjustment_nv_fund",AJ$3,$A172))</f>
        <v/>
      </c>
      <c r="AK172" s="13" t="str">
        <f>IF($A172="","",[1]!thsiFinD("ths_adjustment_nv_fund",AK$3,$A172))</f>
        <v/>
      </c>
      <c r="AL172" s="13" t="str">
        <f>IF($A172="","",[1]!thsiFinD("ths_adjustment_nv_fund",AL$3,$A172))</f>
        <v/>
      </c>
    </row>
    <row r="173" spans="1:38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  <c r="AC173" s="13" t="str">
        <f>IF($A173="","",[1]!thsiFinD("ths_adjustment_nv_fund",AC$3,$A173))</f>
        <v/>
      </c>
      <c r="AD173" s="13" t="str">
        <f>IF($A173="","",[1]!thsiFinD("ths_adjustment_nv_fund",AD$3,$A173))</f>
        <v/>
      </c>
      <c r="AE173" s="13" t="str">
        <f>IF($A173="","",[1]!thsiFinD("ths_adjustment_nv_fund",AE$3,$A173))</f>
        <v/>
      </c>
      <c r="AF173" s="13" t="str">
        <f>IF($A173="","",[1]!thsiFinD("ths_adjustment_nv_fund",AF$3,$A173))</f>
        <v/>
      </c>
      <c r="AG173" s="13" t="str">
        <f>IF($A173="","",[1]!thsiFinD("ths_adjustment_nv_fund",AG$3,$A173))</f>
        <v/>
      </c>
      <c r="AH173" s="13" t="str">
        <f>IF($A173="","",[1]!thsiFinD("ths_adjustment_nv_fund",AH$3,$A173))</f>
        <v/>
      </c>
      <c r="AI173" s="13" t="str">
        <f>IF($A173="","",[1]!thsiFinD("ths_adjustment_nv_fund",AI$3,$A173))</f>
        <v/>
      </c>
      <c r="AJ173" s="13" t="str">
        <f>IF($A173="","",[1]!thsiFinD("ths_adjustment_nv_fund",AJ$3,$A173))</f>
        <v/>
      </c>
      <c r="AK173" s="13" t="str">
        <f>IF($A173="","",[1]!thsiFinD("ths_adjustment_nv_fund",AK$3,$A173))</f>
        <v/>
      </c>
      <c r="AL173" s="13" t="str">
        <f>IF($A173="","",[1]!thsiFinD("ths_adjustment_nv_fund",AL$3,$A173))</f>
        <v/>
      </c>
    </row>
    <row r="174" spans="1:38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  <c r="AC174" s="13" t="str">
        <f>IF($A174="","",[1]!thsiFinD("ths_adjustment_nv_fund",AC$3,$A174))</f>
        <v/>
      </c>
      <c r="AD174" s="13" t="str">
        <f>IF($A174="","",[1]!thsiFinD("ths_adjustment_nv_fund",AD$3,$A174))</f>
        <v/>
      </c>
      <c r="AE174" s="13" t="str">
        <f>IF($A174="","",[1]!thsiFinD("ths_adjustment_nv_fund",AE$3,$A174))</f>
        <v/>
      </c>
      <c r="AF174" s="13" t="str">
        <f>IF($A174="","",[1]!thsiFinD("ths_adjustment_nv_fund",AF$3,$A174))</f>
        <v/>
      </c>
      <c r="AG174" s="13" t="str">
        <f>IF($A174="","",[1]!thsiFinD("ths_adjustment_nv_fund",AG$3,$A174))</f>
        <v/>
      </c>
      <c r="AH174" s="13" t="str">
        <f>IF($A174="","",[1]!thsiFinD("ths_adjustment_nv_fund",AH$3,$A174))</f>
        <v/>
      </c>
      <c r="AI174" s="13" t="str">
        <f>IF($A174="","",[1]!thsiFinD("ths_adjustment_nv_fund",AI$3,$A174))</f>
        <v/>
      </c>
      <c r="AJ174" s="13" t="str">
        <f>IF($A174="","",[1]!thsiFinD("ths_adjustment_nv_fund",AJ$3,$A174))</f>
        <v/>
      </c>
      <c r="AK174" s="13" t="str">
        <f>IF($A174="","",[1]!thsiFinD("ths_adjustment_nv_fund",AK$3,$A174))</f>
        <v/>
      </c>
      <c r="AL174" s="13" t="str">
        <f>IF($A174="","",[1]!thsiFinD("ths_adjustment_nv_fund",AL$3,$A174))</f>
        <v/>
      </c>
    </row>
    <row r="175" spans="1:38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  <c r="AC175" s="13" t="str">
        <f>IF($A175="","",[1]!thsiFinD("ths_adjustment_nv_fund",AC$3,$A175))</f>
        <v/>
      </c>
      <c r="AD175" s="13" t="str">
        <f>IF($A175="","",[1]!thsiFinD("ths_adjustment_nv_fund",AD$3,$A175))</f>
        <v/>
      </c>
      <c r="AE175" s="13" t="str">
        <f>IF($A175="","",[1]!thsiFinD("ths_adjustment_nv_fund",AE$3,$A175))</f>
        <v/>
      </c>
      <c r="AF175" s="13" t="str">
        <f>IF($A175="","",[1]!thsiFinD("ths_adjustment_nv_fund",AF$3,$A175))</f>
        <v/>
      </c>
      <c r="AG175" s="13" t="str">
        <f>IF($A175="","",[1]!thsiFinD("ths_adjustment_nv_fund",AG$3,$A175))</f>
        <v/>
      </c>
      <c r="AH175" s="13" t="str">
        <f>IF($A175="","",[1]!thsiFinD("ths_adjustment_nv_fund",AH$3,$A175))</f>
        <v/>
      </c>
      <c r="AI175" s="13" t="str">
        <f>IF($A175="","",[1]!thsiFinD("ths_adjustment_nv_fund",AI$3,$A175))</f>
        <v/>
      </c>
      <c r="AJ175" s="13" t="str">
        <f>IF($A175="","",[1]!thsiFinD("ths_adjustment_nv_fund",AJ$3,$A175))</f>
        <v/>
      </c>
      <c r="AK175" s="13" t="str">
        <f>IF($A175="","",[1]!thsiFinD("ths_adjustment_nv_fund",AK$3,$A175))</f>
        <v/>
      </c>
      <c r="AL175" s="13" t="str">
        <f>IF($A175="","",[1]!thsiFinD("ths_adjustment_nv_fund",AL$3,$A175))</f>
        <v/>
      </c>
    </row>
    <row r="176" spans="1:38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  <c r="AC176" s="13" t="str">
        <f>IF($A176="","",[1]!thsiFinD("ths_adjustment_nv_fund",AC$3,$A176))</f>
        <v/>
      </c>
      <c r="AD176" s="13" t="str">
        <f>IF($A176="","",[1]!thsiFinD("ths_adjustment_nv_fund",AD$3,$A176))</f>
        <v/>
      </c>
      <c r="AE176" s="13" t="str">
        <f>IF($A176="","",[1]!thsiFinD("ths_adjustment_nv_fund",AE$3,$A176))</f>
        <v/>
      </c>
      <c r="AF176" s="13" t="str">
        <f>IF($A176="","",[1]!thsiFinD("ths_adjustment_nv_fund",AF$3,$A176))</f>
        <v/>
      </c>
      <c r="AG176" s="13" t="str">
        <f>IF($A176="","",[1]!thsiFinD("ths_adjustment_nv_fund",AG$3,$A176))</f>
        <v/>
      </c>
      <c r="AH176" s="13" t="str">
        <f>IF($A176="","",[1]!thsiFinD("ths_adjustment_nv_fund",AH$3,$A176))</f>
        <v/>
      </c>
      <c r="AI176" s="13" t="str">
        <f>IF($A176="","",[1]!thsiFinD("ths_adjustment_nv_fund",AI$3,$A176))</f>
        <v/>
      </c>
      <c r="AJ176" s="13" t="str">
        <f>IF($A176="","",[1]!thsiFinD("ths_adjustment_nv_fund",AJ$3,$A176))</f>
        <v/>
      </c>
      <c r="AK176" s="13" t="str">
        <f>IF($A176="","",[1]!thsiFinD("ths_adjustment_nv_fund",AK$3,$A176))</f>
        <v/>
      </c>
      <c r="AL176" s="13" t="str">
        <f>IF($A176="","",[1]!thsiFinD("ths_adjustment_nv_fund",AL$3,$A176))</f>
        <v/>
      </c>
    </row>
    <row r="177" spans="1:38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  <c r="AC177" s="13" t="str">
        <f>IF($A177="","",[1]!thsiFinD("ths_adjustment_nv_fund",AC$3,$A177))</f>
        <v/>
      </c>
      <c r="AD177" s="13" t="str">
        <f>IF($A177="","",[1]!thsiFinD("ths_adjustment_nv_fund",AD$3,$A177))</f>
        <v/>
      </c>
      <c r="AE177" s="13" t="str">
        <f>IF($A177="","",[1]!thsiFinD("ths_adjustment_nv_fund",AE$3,$A177))</f>
        <v/>
      </c>
      <c r="AF177" s="13" t="str">
        <f>IF($A177="","",[1]!thsiFinD("ths_adjustment_nv_fund",AF$3,$A177))</f>
        <v/>
      </c>
      <c r="AG177" s="13" t="str">
        <f>IF($A177="","",[1]!thsiFinD("ths_adjustment_nv_fund",AG$3,$A177))</f>
        <v/>
      </c>
      <c r="AH177" s="13" t="str">
        <f>IF($A177="","",[1]!thsiFinD("ths_adjustment_nv_fund",AH$3,$A177))</f>
        <v/>
      </c>
      <c r="AI177" s="13" t="str">
        <f>IF($A177="","",[1]!thsiFinD("ths_adjustment_nv_fund",AI$3,$A177))</f>
        <v/>
      </c>
      <c r="AJ177" s="13" t="str">
        <f>IF($A177="","",[1]!thsiFinD("ths_adjustment_nv_fund",AJ$3,$A177))</f>
        <v/>
      </c>
      <c r="AK177" s="13" t="str">
        <f>IF($A177="","",[1]!thsiFinD("ths_adjustment_nv_fund",AK$3,$A177))</f>
        <v/>
      </c>
      <c r="AL177" s="13" t="str">
        <f>IF($A177="","",[1]!thsiFinD("ths_adjustment_nv_fund",AL$3,$A177))</f>
        <v/>
      </c>
    </row>
    <row r="178" spans="1:38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  <c r="AC178" s="13" t="str">
        <f>IF($A178="","",[1]!thsiFinD("ths_adjustment_nv_fund",AC$3,$A178))</f>
        <v/>
      </c>
      <c r="AD178" s="13" t="str">
        <f>IF($A178="","",[1]!thsiFinD("ths_adjustment_nv_fund",AD$3,$A178))</f>
        <v/>
      </c>
      <c r="AE178" s="13" t="str">
        <f>IF($A178="","",[1]!thsiFinD("ths_adjustment_nv_fund",AE$3,$A178))</f>
        <v/>
      </c>
      <c r="AF178" s="13" t="str">
        <f>IF($A178="","",[1]!thsiFinD("ths_adjustment_nv_fund",AF$3,$A178))</f>
        <v/>
      </c>
      <c r="AG178" s="13" t="str">
        <f>IF($A178="","",[1]!thsiFinD("ths_adjustment_nv_fund",AG$3,$A178))</f>
        <v/>
      </c>
      <c r="AH178" s="13" t="str">
        <f>IF($A178="","",[1]!thsiFinD("ths_adjustment_nv_fund",AH$3,$A178))</f>
        <v/>
      </c>
      <c r="AI178" s="13" t="str">
        <f>IF($A178="","",[1]!thsiFinD("ths_adjustment_nv_fund",AI$3,$A178))</f>
        <v/>
      </c>
      <c r="AJ178" s="13" t="str">
        <f>IF($A178="","",[1]!thsiFinD("ths_adjustment_nv_fund",AJ$3,$A178))</f>
        <v/>
      </c>
      <c r="AK178" s="13" t="str">
        <f>IF($A178="","",[1]!thsiFinD("ths_adjustment_nv_fund",AK$3,$A178))</f>
        <v/>
      </c>
      <c r="AL178" s="13" t="str">
        <f>IF($A178="","",[1]!thsiFinD("ths_adjustment_nv_fund",AL$3,$A178))</f>
        <v/>
      </c>
    </row>
    <row r="179" spans="1:38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  <c r="AC179" s="13" t="str">
        <f>IF($A179="","",[1]!thsiFinD("ths_adjustment_nv_fund",AC$3,$A179))</f>
        <v/>
      </c>
      <c r="AD179" s="13" t="str">
        <f>IF($A179="","",[1]!thsiFinD("ths_adjustment_nv_fund",AD$3,$A179))</f>
        <v/>
      </c>
      <c r="AE179" s="13" t="str">
        <f>IF($A179="","",[1]!thsiFinD("ths_adjustment_nv_fund",AE$3,$A179))</f>
        <v/>
      </c>
      <c r="AF179" s="13" t="str">
        <f>IF($A179="","",[1]!thsiFinD("ths_adjustment_nv_fund",AF$3,$A179))</f>
        <v/>
      </c>
      <c r="AG179" s="13" t="str">
        <f>IF($A179="","",[1]!thsiFinD("ths_adjustment_nv_fund",AG$3,$A179))</f>
        <v/>
      </c>
      <c r="AH179" s="13" t="str">
        <f>IF($A179="","",[1]!thsiFinD("ths_adjustment_nv_fund",AH$3,$A179))</f>
        <v/>
      </c>
      <c r="AI179" s="13" t="str">
        <f>IF($A179="","",[1]!thsiFinD("ths_adjustment_nv_fund",AI$3,$A179))</f>
        <v/>
      </c>
      <c r="AJ179" s="13" t="str">
        <f>IF($A179="","",[1]!thsiFinD("ths_adjustment_nv_fund",AJ$3,$A179))</f>
        <v/>
      </c>
      <c r="AK179" s="13" t="str">
        <f>IF($A179="","",[1]!thsiFinD("ths_adjustment_nv_fund",AK$3,$A179))</f>
        <v/>
      </c>
      <c r="AL179" s="13" t="str">
        <f>IF($A179="","",[1]!thsiFinD("ths_adjustment_nv_fund",AL$3,$A179))</f>
        <v/>
      </c>
    </row>
    <row r="180" spans="1:38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  <c r="AC180" s="13" t="str">
        <f>IF($A180="","",[1]!thsiFinD("ths_adjustment_nv_fund",AC$3,$A180))</f>
        <v/>
      </c>
      <c r="AD180" s="13" t="str">
        <f>IF($A180="","",[1]!thsiFinD("ths_adjustment_nv_fund",AD$3,$A180))</f>
        <v/>
      </c>
      <c r="AE180" s="13" t="str">
        <f>IF($A180="","",[1]!thsiFinD("ths_adjustment_nv_fund",AE$3,$A180))</f>
        <v/>
      </c>
      <c r="AF180" s="13" t="str">
        <f>IF($A180="","",[1]!thsiFinD("ths_adjustment_nv_fund",AF$3,$A180))</f>
        <v/>
      </c>
      <c r="AG180" s="13" t="str">
        <f>IF($A180="","",[1]!thsiFinD("ths_adjustment_nv_fund",AG$3,$A180))</f>
        <v/>
      </c>
      <c r="AH180" s="13" t="str">
        <f>IF($A180="","",[1]!thsiFinD("ths_adjustment_nv_fund",AH$3,$A180))</f>
        <v/>
      </c>
      <c r="AI180" s="13" t="str">
        <f>IF($A180="","",[1]!thsiFinD("ths_adjustment_nv_fund",AI$3,$A180))</f>
        <v/>
      </c>
      <c r="AJ180" s="13" t="str">
        <f>IF($A180="","",[1]!thsiFinD("ths_adjustment_nv_fund",AJ$3,$A180))</f>
        <v/>
      </c>
      <c r="AK180" s="13" t="str">
        <f>IF($A180="","",[1]!thsiFinD("ths_adjustment_nv_fund",AK$3,$A180))</f>
        <v/>
      </c>
      <c r="AL180" s="13" t="str">
        <f>IF($A180="","",[1]!thsiFinD("ths_adjustment_nv_fund",AL$3,$A180))</f>
        <v/>
      </c>
    </row>
    <row r="181" spans="1:38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  <c r="AC181" s="13" t="str">
        <f>IF($A181="","",[1]!thsiFinD("ths_adjustment_nv_fund",AC$3,$A181))</f>
        <v/>
      </c>
      <c r="AD181" s="13" t="str">
        <f>IF($A181="","",[1]!thsiFinD("ths_adjustment_nv_fund",AD$3,$A181))</f>
        <v/>
      </c>
      <c r="AE181" s="13" t="str">
        <f>IF($A181="","",[1]!thsiFinD("ths_adjustment_nv_fund",AE$3,$A181))</f>
        <v/>
      </c>
      <c r="AF181" s="13" t="str">
        <f>IF($A181="","",[1]!thsiFinD("ths_adjustment_nv_fund",AF$3,$A181))</f>
        <v/>
      </c>
      <c r="AG181" s="13" t="str">
        <f>IF($A181="","",[1]!thsiFinD("ths_adjustment_nv_fund",AG$3,$A181))</f>
        <v/>
      </c>
      <c r="AH181" s="13" t="str">
        <f>IF($A181="","",[1]!thsiFinD("ths_adjustment_nv_fund",AH$3,$A181))</f>
        <v/>
      </c>
      <c r="AI181" s="13" t="str">
        <f>IF($A181="","",[1]!thsiFinD("ths_adjustment_nv_fund",AI$3,$A181))</f>
        <v/>
      </c>
      <c r="AJ181" s="13" t="str">
        <f>IF($A181="","",[1]!thsiFinD("ths_adjustment_nv_fund",AJ$3,$A181))</f>
        <v/>
      </c>
      <c r="AK181" s="13" t="str">
        <f>IF($A181="","",[1]!thsiFinD("ths_adjustment_nv_fund",AK$3,$A181))</f>
        <v/>
      </c>
      <c r="AL181" s="13" t="str">
        <f>IF($A181="","",[1]!thsiFinD("ths_adjustment_nv_fund",AL$3,$A181))</f>
        <v/>
      </c>
    </row>
    <row r="182" spans="1:38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  <c r="AC182" s="13" t="str">
        <f>IF($A182="","",[1]!thsiFinD("ths_adjustment_nv_fund",AC$3,$A182))</f>
        <v/>
      </c>
      <c r="AD182" s="13" t="str">
        <f>IF($A182="","",[1]!thsiFinD("ths_adjustment_nv_fund",AD$3,$A182))</f>
        <v/>
      </c>
      <c r="AE182" s="13" t="str">
        <f>IF($A182="","",[1]!thsiFinD("ths_adjustment_nv_fund",AE$3,$A182))</f>
        <v/>
      </c>
      <c r="AF182" s="13" t="str">
        <f>IF($A182="","",[1]!thsiFinD("ths_adjustment_nv_fund",AF$3,$A182))</f>
        <v/>
      </c>
      <c r="AG182" s="13" t="str">
        <f>IF($A182="","",[1]!thsiFinD("ths_adjustment_nv_fund",AG$3,$A182))</f>
        <v/>
      </c>
      <c r="AH182" s="13" t="str">
        <f>IF($A182="","",[1]!thsiFinD("ths_adjustment_nv_fund",AH$3,$A182))</f>
        <v/>
      </c>
      <c r="AI182" s="13" t="str">
        <f>IF($A182="","",[1]!thsiFinD("ths_adjustment_nv_fund",AI$3,$A182))</f>
        <v/>
      </c>
      <c r="AJ182" s="13" t="str">
        <f>IF($A182="","",[1]!thsiFinD("ths_adjustment_nv_fund",AJ$3,$A182))</f>
        <v/>
      </c>
      <c r="AK182" s="13" t="str">
        <f>IF($A182="","",[1]!thsiFinD("ths_adjustment_nv_fund",AK$3,$A182))</f>
        <v/>
      </c>
      <c r="AL182" s="13" t="str">
        <f>IF($A182="","",[1]!thsiFinD("ths_adjustment_nv_fund",AL$3,$A182))</f>
        <v/>
      </c>
    </row>
    <row r="183" spans="1:38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  <c r="AC183" s="13" t="str">
        <f>IF($A183="","",[1]!thsiFinD("ths_adjustment_nv_fund",AC$3,$A183))</f>
        <v/>
      </c>
      <c r="AD183" s="13" t="str">
        <f>IF($A183="","",[1]!thsiFinD("ths_adjustment_nv_fund",AD$3,$A183))</f>
        <v/>
      </c>
      <c r="AE183" s="13" t="str">
        <f>IF($A183="","",[1]!thsiFinD("ths_adjustment_nv_fund",AE$3,$A183))</f>
        <v/>
      </c>
      <c r="AF183" s="13" t="str">
        <f>IF($A183="","",[1]!thsiFinD("ths_adjustment_nv_fund",AF$3,$A183))</f>
        <v/>
      </c>
      <c r="AG183" s="13" t="str">
        <f>IF($A183="","",[1]!thsiFinD("ths_adjustment_nv_fund",AG$3,$A183))</f>
        <v/>
      </c>
      <c r="AH183" s="13" t="str">
        <f>IF($A183="","",[1]!thsiFinD("ths_adjustment_nv_fund",AH$3,$A183))</f>
        <v/>
      </c>
      <c r="AI183" s="13" t="str">
        <f>IF($A183="","",[1]!thsiFinD("ths_adjustment_nv_fund",AI$3,$A183))</f>
        <v/>
      </c>
      <c r="AJ183" s="13" t="str">
        <f>IF($A183="","",[1]!thsiFinD("ths_adjustment_nv_fund",AJ$3,$A183))</f>
        <v/>
      </c>
      <c r="AK183" s="13" t="str">
        <f>IF($A183="","",[1]!thsiFinD("ths_adjustment_nv_fund",AK$3,$A183))</f>
        <v/>
      </c>
      <c r="AL183" s="13" t="str">
        <f>IF($A183="","",[1]!thsiFinD("ths_adjustment_nv_fund",AL$3,$A183))</f>
        <v/>
      </c>
    </row>
    <row r="184" spans="1:38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  <c r="AC184" s="13" t="str">
        <f>IF($A184="","",[1]!thsiFinD("ths_adjustment_nv_fund",AC$3,$A184))</f>
        <v/>
      </c>
      <c r="AD184" s="13" t="str">
        <f>IF($A184="","",[1]!thsiFinD("ths_adjustment_nv_fund",AD$3,$A184))</f>
        <v/>
      </c>
      <c r="AE184" s="13" t="str">
        <f>IF($A184="","",[1]!thsiFinD("ths_adjustment_nv_fund",AE$3,$A184))</f>
        <v/>
      </c>
      <c r="AF184" s="13" t="str">
        <f>IF($A184="","",[1]!thsiFinD("ths_adjustment_nv_fund",AF$3,$A184))</f>
        <v/>
      </c>
      <c r="AG184" s="13" t="str">
        <f>IF($A184="","",[1]!thsiFinD("ths_adjustment_nv_fund",AG$3,$A184))</f>
        <v/>
      </c>
      <c r="AH184" s="13" t="str">
        <f>IF($A184="","",[1]!thsiFinD("ths_adjustment_nv_fund",AH$3,$A184))</f>
        <v/>
      </c>
      <c r="AI184" s="13" t="str">
        <f>IF($A184="","",[1]!thsiFinD("ths_adjustment_nv_fund",AI$3,$A184))</f>
        <v/>
      </c>
      <c r="AJ184" s="13" t="str">
        <f>IF($A184="","",[1]!thsiFinD("ths_adjustment_nv_fund",AJ$3,$A184))</f>
        <v/>
      </c>
      <c r="AK184" s="13" t="str">
        <f>IF($A184="","",[1]!thsiFinD("ths_adjustment_nv_fund",AK$3,$A184))</f>
        <v/>
      </c>
      <c r="AL184" s="13" t="str">
        <f>IF($A184="","",[1]!thsiFinD("ths_adjustment_nv_fund",AL$3,$A184))</f>
        <v/>
      </c>
    </row>
    <row r="185" spans="1:38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  <c r="AC185" s="13" t="str">
        <f>IF($A185="","",[1]!thsiFinD("ths_adjustment_nv_fund",AC$3,$A185))</f>
        <v/>
      </c>
      <c r="AD185" s="13" t="str">
        <f>IF($A185="","",[1]!thsiFinD("ths_adjustment_nv_fund",AD$3,$A185))</f>
        <v/>
      </c>
      <c r="AE185" s="13" t="str">
        <f>IF($A185="","",[1]!thsiFinD("ths_adjustment_nv_fund",AE$3,$A185))</f>
        <v/>
      </c>
      <c r="AF185" s="13" t="str">
        <f>IF($A185="","",[1]!thsiFinD("ths_adjustment_nv_fund",AF$3,$A185))</f>
        <v/>
      </c>
      <c r="AG185" s="13" t="str">
        <f>IF($A185="","",[1]!thsiFinD("ths_adjustment_nv_fund",AG$3,$A185))</f>
        <v/>
      </c>
      <c r="AH185" s="13" t="str">
        <f>IF($A185="","",[1]!thsiFinD("ths_adjustment_nv_fund",AH$3,$A185))</f>
        <v/>
      </c>
      <c r="AI185" s="13" t="str">
        <f>IF($A185="","",[1]!thsiFinD("ths_adjustment_nv_fund",AI$3,$A185))</f>
        <v/>
      </c>
      <c r="AJ185" s="13" t="str">
        <f>IF($A185="","",[1]!thsiFinD("ths_adjustment_nv_fund",AJ$3,$A185))</f>
        <v/>
      </c>
      <c r="AK185" s="13" t="str">
        <f>IF($A185="","",[1]!thsiFinD("ths_adjustment_nv_fund",AK$3,$A185))</f>
        <v/>
      </c>
      <c r="AL185" s="13" t="str">
        <f>IF($A185="","",[1]!thsiFinD("ths_adjustment_nv_fund",AL$3,$A185))</f>
        <v/>
      </c>
    </row>
    <row r="186" spans="1:38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  <c r="AC186" s="13" t="str">
        <f>IF($A186="","",[1]!thsiFinD("ths_adjustment_nv_fund",AC$3,$A186))</f>
        <v/>
      </c>
      <c r="AD186" s="13" t="str">
        <f>IF($A186="","",[1]!thsiFinD("ths_adjustment_nv_fund",AD$3,$A186))</f>
        <v/>
      </c>
      <c r="AE186" s="13" t="str">
        <f>IF($A186="","",[1]!thsiFinD("ths_adjustment_nv_fund",AE$3,$A186))</f>
        <v/>
      </c>
      <c r="AF186" s="13" t="str">
        <f>IF($A186="","",[1]!thsiFinD("ths_adjustment_nv_fund",AF$3,$A186))</f>
        <v/>
      </c>
      <c r="AG186" s="13" t="str">
        <f>IF($A186="","",[1]!thsiFinD("ths_adjustment_nv_fund",AG$3,$A186))</f>
        <v/>
      </c>
      <c r="AH186" s="13" t="str">
        <f>IF($A186="","",[1]!thsiFinD("ths_adjustment_nv_fund",AH$3,$A186))</f>
        <v/>
      </c>
      <c r="AI186" s="13" t="str">
        <f>IF($A186="","",[1]!thsiFinD("ths_adjustment_nv_fund",AI$3,$A186))</f>
        <v/>
      </c>
      <c r="AJ186" s="13" t="str">
        <f>IF($A186="","",[1]!thsiFinD("ths_adjustment_nv_fund",AJ$3,$A186))</f>
        <v/>
      </c>
      <c r="AK186" s="13" t="str">
        <f>IF($A186="","",[1]!thsiFinD("ths_adjustment_nv_fund",AK$3,$A186))</f>
        <v/>
      </c>
      <c r="AL186" s="13" t="str">
        <f>IF($A186="","",[1]!thsiFinD("ths_adjustment_nv_fund",AL$3,$A186))</f>
        <v/>
      </c>
    </row>
    <row r="187" spans="1:38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  <c r="AC187" s="13" t="str">
        <f>IF($A187="","",[1]!thsiFinD("ths_adjustment_nv_fund",AC$3,$A187))</f>
        <v/>
      </c>
      <c r="AD187" s="13" t="str">
        <f>IF($A187="","",[1]!thsiFinD("ths_adjustment_nv_fund",AD$3,$A187))</f>
        <v/>
      </c>
      <c r="AE187" s="13" t="str">
        <f>IF($A187="","",[1]!thsiFinD("ths_adjustment_nv_fund",AE$3,$A187))</f>
        <v/>
      </c>
      <c r="AF187" s="13" t="str">
        <f>IF($A187="","",[1]!thsiFinD("ths_adjustment_nv_fund",AF$3,$A187))</f>
        <v/>
      </c>
      <c r="AG187" s="13" t="str">
        <f>IF($A187="","",[1]!thsiFinD("ths_adjustment_nv_fund",AG$3,$A187))</f>
        <v/>
      </c>
      <c r="AH187" s="13" t="str">
        <f>IF($A187="","",[1]!thsiFinD("ths_adjustment_nv_fund",AH$3,$A187))</f>
        <v/>
      </c>
      <c r="AI187" s="13" t="str">
        <f>IF($A187="","",[1]!thsiFinD("ths_adjustment_nv_fund",AI$3,$A187))</f>
        <v/>
      </c>
      <c r="AJ187" s="13" t="str">
        <f>IF($A187="","",[1]!thsiFinD("ths_adjustment_nv_fund",AJ$3,$A187))</f>
        <v/>
      </c>
      <c r="AK187" s="13" t="str">
        <f>IF($A187="","",[1]!thsiFinD("ths_adjustment_nv_fund",AK$3,$A187))</f>
        <v/>
      </c>
      <c r="AL187" s="13" t="str">
        <f>IF($A187="","",[1]!thsiFinD("ths_adjustment_nv_fund",AL$3,$A187))</f>
        <v/>
      </c>
    </row>
    <row r="188" spans="1:38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  <c r="AC188" s="13" t="str">
        <f>IF($A188="","",[1]!thsiFinD("ths_adjustment_nv_fund",AC$3,$A188))</f>
        <v/>
      </c>
      <c r="AD188" s="13" t="str">
        <f>IF($A188="","",[1]!thsiFinD("ths_adjustment_nv_fund",AD$3,$A188))</f>
        <v/>
      </c>
      <c r="AE188" s="13" t="str">
        <f>IF($A188="","",[1]!thsiFinD("ths_adjustment_nv_fund",AE$3,$A188))</f>
        <v/>
      </c>
      <c r="AF188" s="13" t="str">
        <f>IF($A188="","",[1]!thsiFinD("ths_adjustment_nv_fund",AF$3,$A188))</f>
        <v/>
      </c>
      <c r="AG188" s="13" t="str">
        <f>IF($A188="","",[1]!thsiFinD("ths_adjustment_nv_fund",AG$3,$A188))</f>
        <v/>
      </c>
      <c r="AH188" s="13" t="str">
        <f>IF($A188="","",[1]!thsiFinD("ths_adjustment_nv_fund",AH$3,$A188))</f>
        <v/>
      </c>
      <c r="AI188" s="13" t="str">
        <f>IF($A188="","",[1]!thsiFinD("ths_adjustment_nv_fund",AI$3,$A188))</f>
        <v/>
      </c>
      <c r="AJ188" s="13" t="str">
        <f>IF($A188="","",[1]!thsiFinD("ths_adjustment_nv_fund",AJ$3,$A188))</f>
        <v/>
      </c>
      <c r="AK188" s="13" t="str">
        <f>IF($A188="","",[1]!thsiFinD("ths_adjustment_nv_fund",AK$3,$A188))</f>
        <v/>
      </c>
      <c r="AL188" s="13" t="str">
        <f>IF($A188="","",[1]!thsiFinD("ths_adjustment_nv_fund",AL$3,$A188))</f>
        <v/>
      </c>
    </row>
    <row r="189" spans="1:38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  <c r="AC189" s="13" t="str">
        <f>IF($A189="","",[1]!thsiFinD("ths_adjustment_nv_fund",AC$3,$A189))</f>
        <v/>
      </c>
      <c r="AD189" s="13" t="str">
        <f>IF($A189="","",[1]!thsiFinD("ths_adjustment_nv_fund",AD$3,$A189))</f>
        <v/>
      </c>
      <c r="AE189" s="13" t="str">
        <f>IF($A189="","",[1]!thsiFinD("ths_adjustment_nv_fund",AE$3,$A189))</f>
        <v/>
      </c>
      <c r="AF189" s="13" t="str">
        <f>IF($A189="","",[1]!thsiFinD("ths_adjustment_nv_fund",AF$3,$A189))</f>
        <v/>
      </c>
      <c r="AG189" s="13" t="str">
        <f>IF($A189="","",[1]!thsiFinD("ths_adjustment_nv_fund",AG$3,$A189))</f>
        <v/>
      </c>
      <c r="AH189" s="13" t="str">
        <f>IF($A189="","",[1]!thsiFinD("ths_adjustment_nv_fund",AH$3,$A189))</f>
        <v/>
      </c>
      <c r="AI189" s="13" t="str">
        <f>IF($A189="","",[1]!thsiFinD("ths_adjustment_nv_fund",AI$3,$A189))</f>
        <v/>
      </c>
      <c r="AJ189" s="13" t="str">
        <f>IF($A189="","",[1]!thsiFinD("ths_adjustment_nv_fund",AJ$3,$A189))</f>
        <v/>
      </c>
      <c r="AK189" s="13" t="str">
        <f>IF($A189="","",[1]!thsiFinD("ths_adjustment_nv_fund",AK$3,$A189))</f>
        <v/>
      </c>
      <c r="AL189" s="13" t="str">
        <f>IF($A189="","",[1]!thsiFinD("ths_adjustment_nv_fund",AL$3,$A189))</f>
        <v/>
      </c>
    </row>
    <row r="190" spans="1:38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  <c r="AC190" s="13" t="str">
        <f>IF($A190="","",[1]!thsiFinD("ths_adjustment_nv_fund",AC$3,$A190))</f>
        <v/>
      </c>
      <c r="AD190" s="13" t="str">
        <f>IF($A190="","",[1]!thsiFinD("ths_adjustment_nv_fund",AD$3,$A190))</f>
        <v/>
      </c>
      <c r="AE190" s="13" t="str">
        <f>IF($A190="","",[1]!thsiFinD("ths_adjustment_nv_fund",AE$3,$A190))</f>
        <v/>
      </c>
      <c r="AF190" s="13" t="str">
        <f>IF($A190="","",[1]!thsiFinD("ths_adjustment_nv_fund",AF$3,$A190))</f>
        <v/>
      </c>
      <c r="AG190" s="13" t="str">
        <f>IF($A190="","",[1]!thsiFinD("ths_adjustment_nv_fund",AG$3,$A190))</f>
        <v/>
      </c>
      <c r="AH190" s="13" t="str">
        <f>IF($A190="","",[1]!thsiFinD("ths_adjustment_nv_fund",AH$3,$A190))</f>
        <v/>
      </c>
      <c r="AI190" s="13" t="str">
        <f>IF($A190="","",[1]!thsiFinD("ths_adjustment_nv_fund",AI$3,$A190))</f>
        <v/>
      </c>
      <c r="AJ190" s="13" t="str">
        <f>IF($A190="","",[1]!thsiFinD("ths_adjustment_nv_fund",AJ$3,$A190))</f>
        <v/>
      </c>
      <c r="AK190" s="13" t="str">
        <f>IF($A190="","",[1]!thsiFinD("ths_adjustment_nv_fund",AK$3,$A190))</f>
        <v/>
      </c>
      <c r="AL190" s="13" t="str">
        <f>IF($A190="","",[1]!thsiFinD("ths_adjustment_nv_fund",AL$3,$A190))</f>
        <v/>
      </c>
    </row>
    <row r="191" spans="1:38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  <c r="AC191" s="13" t="str">
        <f>IF($A191="","",[1]!thsiFinD("ths_adjustment_nv_fund",AC$3,$A191))</f>
        <v/>
      </c>
      <c r="AD191" s="13" t="str">
        <f>IF($A191="","",[1]!thsiFinD("ths_adjustment_nv_fund",AD$3,$A191))</f>
        <v/>
      </c>
      <c r="AE191" s="13" t="str">
        <f>IF($A191="","",[1]!thsiFinD("ths_adjustment_nv_fund",AE$3,$A191))</f>
        <v/>
      </c>
      <c r="AF191" s="13" t="str">
        <f>IF($A191="","",[1]!thsiFinD("ths_adjustment_nv_fund",AF$3,$A191))</f>
        <v/>
      </c>
      <c r="AG191" s="13" t="str">
        <f>IF($A191="","",[1]!thsiFinD("ths_adjustment_nv_fund",AG$3,$A191))</f>
        <v/>
      </c>
      <c r="AH191" s="13" t="str">
        <f>IF($A191="","",[1]!thsiFinD("ths_adjustment_nv_fund",AH$3,$A191))</f>
        <v/>
      </c>
      <c r="AI191" s="13" t="str">
        <f>IF($A191="","",[1]!thsiFinD("ths_adjustment_nv_fund",AI$3,$A191))</f>
        <v/>
      </c>
      <c r="AJ191" s="13" t="str">
        <f>IF($A191="","",[1]!thsiFinD("ths_adjustment_nv_fund",AJ$3,$A191))</f>
        <v/>
      </c>
      <c r="AK191" s="13" t="str">
        <f>IF($A191="","",[1]!thsiFinD("ths_adjustment_nv_fund",AK$3,$A191))</f>
        <v/>
      </c>
      <c r="AL191" s="13" t="str">
        <f>IF($A191="","",[1]!thsiFinD("ths_adjustment_nv_fund",AL$3,$A191))</f>
        <v/>
      </c>
    </row>
    <row r="192" spans="1:38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  <c r="AC192" s="13" t="str">
        <f>IF($A192="","",[1]!thsiFinD("ths_adjustment_nv_fund",AC$3,$A192))</f>
        <v/>
      </c>
      <c r="AD192" s="13" t="str">
        <f>IF($A192="","",[1]!thsiFinD("ths_adjustment_nv_fund",AD$3,$A192))</f>
        <v/>
      </c>
      <c r="AE192" s="13" t="str">
        <f>IF($A192="","",[1]!thsiFinD("ths_adjustment_nv_fund",AE$3,$A192))</f>
        <v/>
      </c>
      <c r="AF192" s="13" t="str">
        <f>IF($A192="","",[1]!thsiFinD("ths_adjustment_nv_fund",AF$3,$A192))</f>
        <v/>
      </c>
      <c r="AG192" s="13" t="str">
        <f>IF($A192="","",[1]!thsiFinD("ths_adjustment_nv_fund",AG$3,$A192))</f>
        <v/>
      </c>
      <c r="AH192" s="13" t="str">
        <f>IF($A192="","",[1]!thsiFinD("ths_adjustment_nv_fund",AH$3,$A192))</f>
        <v/>
      </c>
      <c r="AI192" s="13" t="str">
        <f>IF($A192="","",[1]!thsiFinD("ths_adjustment_nv_fund",AI$3,$A192))</f>
        <v/>
      </c>
      <c r="AJ192" s="13" t="str">
        <f>IF($A192="","",[1]!thsiFinD("ths_adjustment_nv_fund",AJ$3,$A192))</f>
        <v/>
      </c>
      <c r="AK192" s="13" t="str">
        <f>IF($A192="","",[1]!thsiFinD("ths_adjustment_nv_fund",AK$3,$A192))</f>
        <v/>
      </c>
      <c r="AL192" s="13" t="str">
        <f>IF($A192="","",[1]!thsiFinD("ths_adjustment_nv_fund",AL$3,$A192))</f>
        <v/>
      </c>
    </row>
    <row r="193" spans="1:38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  <c r="AC193" s="13" t="str">
        <f>IF($A193="","",[1]!thsiFinD("ths_adjustment_nv_fund",AC$3,$A193))</f>
        <v/>
      </c>
      <c r="AD193" s="13" t="str">
        <f>IF($A193="","",[1]!thsiFinD("ths_adjustment_nv_fund",AD$3,$A193))</f>
        <v/>
      </c>
      <c r="AE193" s="13" t="str">
        <f>IF($A193="","",[1]!thsiFinD("ths_adjustment_nv_fund",AE$3,$A193))</f>
        <v/>
      </c>
      <c r="AF193" s="13" t="str">
        <f>IF($A193="","",[1]!thsiFinD("ths_adjustment_nv_fund",AF$3,$A193))</f>
        <v/>
      </c>
      <c r="AG193" s="13" t="str">
        <f>IF($A193="","",[1]!thsiFinD("ths_adjustment_nv_fund",AG$3,$A193))</f>
        <v/>
      </c>
      <c r="AH193" s="13" t="str">
        <f>IF($A193="","",[1]!thsiFinD("ths_adjustment_nv_fund",AH$3,$A193))</f>
        <v/>
      </c>
      <c r="AI193" s="13" t="str">
        <f>IF($A193="","",[1]!thsiFinD("ths_adjustment_nv_fund",AI$3,$A193))</f>
        <v/>
      </c>
      <c r="AJ193" s="13" t="str">
        <f>IF($A193="","",[1]!thsiFinD("ths_adjustment_nv_fund",AJ$3,$A193))</f>
        <v/>
      </c>
      <c r="AK193" s="13" t="str">
        <f>IF($A193="","",[1]!thsiFinD("ths_adjustment_nv_fund",AK$3,$A193))</f>
        <v/>
      </c>
      <c r="AL193" s="13" t="str">
        <f>IF($A193="","",[1]!thsiFinD("ths_adjustment_nv_fund",AL$3,$A193))</f>
        <v/>
      </c>
    </row>
    <row r="194" spans="1:38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  <c r="AC194" s="13" t="str">
        <f>IF($A194="","",[1]!thsiFinD("ths_adjustment_nv_fund",AC$3,$A194))</f>
        <v/>
      </c>
      <c r="AD194" s="13" t="str">
        <f>IF($A194="","",[1]!thsiFinD("ths_adjustment_nv_fund",AD$3,$A194))</f>
        <v/>
      </c>
      <c r="AE194" s="13" t="str">
        <f>IF($A194="","",[1]!thsiFinD("ths_adjustment_nv_fund",AE$3,$A194))</f>
        <v/>
      </c>
      <c r="AF194" s="13" t="str">
        <f>IF($A194="","",[1]!thsiFinD("ths_adjustment_nv_fund",AF$3,$A194))</f>
        <v/>
      </c>
      <c r="AG194" s="13" t="str">
        <f>IF($A194="","",[1]!thsiFinD("ths_adjustment_nv_fund",AG$3,$A194))</f>
        <v/>
      </c>
      <c r="AH194" s="13" t="str">
        <f>IF($A194="","",[1]!thsiFinD("ths_adjustment_nv_fund",AH$3,$A194))</f>
        <v/>
      </c>
      <c r="AI194" s="13" t="str">
        <f>IF($A194="","",[1]!thsiFinD("ths_adjustment_nv_fund",AI$3,$A194))</f>
        <v/>
      </c>
      <c r="AJ194" s="13" t="str">
        <f>IF($A194="","",[1]!thsiFinD("ths_adjustment_nv_fund",AJ$3,$A194))</f>
        <v/>
      </c>
      <c r="AK194" s="13" t="str">
        <f>IF($A194="","",[1]!thsiFinD("ths_adjustment_nv_fund",AK$3,$A194))</f>
        <v/>
      </c>
      <c r="AL194" s="13" t="str">
        <f>IF($A194="","",[1]!thsiFinD("ths_adjustment_nv_fund",AL$3,$A194))</f>
        <v/>
      </c>
    </row>
    <row r="195" spans="1:38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  <c r="AC195" s="13" t="str">
        <f>IF($A195="","",[1]!thsiFinD("ths_adjustment_nv_fund",AC$3,$A195))</f>
        <v/>
      </c>
      <c r="AD195" s="13" t="str">
        <f>IF($A195="","",[1]!thsiFinD("ths_adjustment_nv_fund",AD$3,$A195))</f>
        <v/>
      </c>
      <c r="AE195" s="13" t="str">
        <f>IF($A195="","",[1]!thsiFinD("ths_adjustment_nv_fund",AE$3,$A195))</f>
        <v/>
      </c>
      <c r="AF195" s="13" t="str">
        <f>IF($A195="","",[1]!thsiFinD("ths_adjustment_nv_fund",AF$3,$A195))</f>
        <v/>
      </c>
      <c r="AG195" s="13" t="str">
        <f>IF($A195="","",[1]!thsiFinD("ths_adjustment_nv_fund",AG$3,$A195))</f>
        <v/>
      </c>
      <c r="AH195" s="13" t="str">
        <f>IF($A195="","",[1]!thsiFinD("ths_adjustment_nv_fund",AH$3,$A195))</f>
        <v/>
      </c>
      <c r="AI195" s="13" t="str">
        <f>IF($A195="","",[1]!thsiFinD("ths_adjustment_nv_fund",AI$3,$A195))</f>
        <v/>
      </c>
      <c r="AJ195" s="13" t="str">
        <f>IF($A195="","",[1]!thsiFinD("ths_adjustment_nv_fund",AJ$3,$A195))</f>
        <v/>
      </c>
      <c r="AK195" s="13" t="str">
        <f>IF($A195="","",[1]!thsiFinD("ths_adjustment_nv_fund",AK$3,$A195))</f>
        <v/>
      </c>
      <c r="AL195" s="13" t="str">
        <f>IF($A195="","",[1]!thsiFinD("ths_adjustment_nv_fund",AL$3,$A195))</f>
        <v/>
      </c>
    </row>
    <row r="196" spans="1:38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  <c r="AC196" s="13" t="str">
        <f>IF($A196="","",[1]!thsiFinD("ths_adjustment_nv_fund",AC$3,$A196))</f>
        <v/>
      </c>
      <c r="AD196" s="13" t="str">
        <f>IF($A196="","",[1]!thsiFinD("ths_adjustment_nv_fund",AD$3,$A196))</f>
        <v/>
      </c>
      <c r="AE196" s="13" t="str">
        <f>IF($A196="","",[1]!thsiFinD("ths_adjustment_nv_fund",AE$3,$A196))</f>
        <v/>
      </c>
      <c r="AF196" s="13" t="str">
        <f>IF($A196="","",[1]!thsiFinD("ths_adjustment_nv_fund",AF$3,$A196))</f>
        <v/>
      </c>
      <c r="AG196" s="13" t="str">
        <f>IF($A196="","",[1]!thsiFinD("ths_adjustment_nv_fund",AG$3,$A196))</f>
        <v/>
      </c>
      <c r="AH196" s="13" t="str">
        <f>IF($A196="","",[1]!thsiFinD("ths_adjustment_nv_fund",AH$3,$A196))</f>
        <v/>
      </c>
      <c r="AI196" s="13" t="str">
        <f>IF($A196="","",[1]!thsiFinD("ths_adjustment_nv_fund",AI$3,$A196))</f>
        <v/>
      </c>
      <c r="AJ196" s="13" t="str">
        <f>IF($A196="","",[1]!thsiFinD("ths_adjustment_nv_fund",AJ$3,$A196))</f>
        <v/>
      </c>
      <c r="AK196" s="13" t="str">
        <f>IF($A196="","",[1]!thsiFinD("ths_adjustment_nv_fund",AK$3,$A196))</f>
        <v/>
      </c>
      <c r="AL196" s="13" t="str">
        <f>IF($A196="","",[1]!thsiFinD("ths_adjustment_nv_fund",AL$3,$A196))</f>
        <v/>
      </c>
    </row>
    <row r="197" spans="1:38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  <c r="AC197" s="13" t="str">
        <f>IF($A197="","",[1]!thsiFinD("ths_adjustment_nv_fund",AC$3,$A197))</f>
        <v/>
      </c>
      <c r="AD197" s="13" t="str">
        <f>IF($A197="","",[1]!thsiFinD("ths_adjustment_nv_fund",AD$3,$A197))</f>
        <v/>
      </c>
      <c r="AE197" s="13" t="str">
        <f>IF($A197="","",[1]!thsiFinD("ths_adjustment_nv_fund",AE$3,$A197))</f>
        <v/>
      </c>
      <c r="AF197" s="13" t="str">
        <f>IF($A197="","",[1]!thsiFinD("ths_adjustment_nv_fund",AF$3,$A197))</f>
        <v/>
      </c>
      <c r="AG197" s="13" t="str">
        <f>IF($A197="","",[1]!thsiFinD("ths_adjustment_nv_fund",AG$3,$A197))</f>
        <v/>
      </c>
      <c r="AH197" s="13" t="str">
        <f>IF($A197="","",[1]!thsiFinD("ths_adjustment_nv_fund",AH$3,$A197))</f>
        <v/>
      </c>
      <c r="AI197" s="13" t="str">
        <f>IF($A197="","",[1]!thsiFinD("ths_adjustment_nv_fund",AI$3,$A197))</f>
        <v/>
      </c>
      <c r="AJ197" s="13" t="str">
        <f>IF($A197="","",[1]!thsiFinD("ths_adjustment_nv_fund",AJ$3,$A197))</f>
        <v/>
      </c>
      <c r="AK197" s="13" t="str">
        <f>IF($A197="","",[1]!thsiFinD("ths_adjustment_nv_fund",AK$3,$A197))</f>
        <v/>
      </c>
      <c r="AL197" s="13" t="str">
        <f>IF($A197="","",[1]!thsiFinD("ths_adjustment_nv_fund",AL$3,$A197))</f>
        <v/>
      </c>
    </row>
    <row r="198" spans="1:38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  <c r="AC198" s="13" t="str">
        <f>IF($A198="","",[1]!thsiFinD("ths_adjustment_nv_fund",AC$3,$A198))</f>
        <v/>
      </c>
      <c r="AD198" s="13" t="str">
        <f>IF($A198="","",[1]!thsiFinD("ths_adjustment_nv_fund",AD$3,$A198))</f>
        <v/>
      </c>
      <c r="AE198" s="13" t="str">
        <f>IF($A198="","",[1]!thsiFinD("ths_adjustment_nv_fund",AE$3,$A198))</f>
        <v/>
      </c>
      <c r="AF198" s="13" t="str">
        <f>IF($A198="","",[1]!thsiFinD("ths_adjustment_nv_fund",AF$3,$A198))</f>
        <v/>
      </c>
      <c r="AG198" s="13" t="str">
        <f>IF($A198="","",[1]!thsiFinD("ths_adjustment_nv_fund",AG$3,$A198))</f>
        <v/>
      </c>
      <c r="AH198" s="13" t="str">
        <f>IF($A198="","",[1]!thsiFinD("ths_adjustment_nv_fund",AH$3,$A198))</f>
        <v/>
      </c>
      <c r="AI198" s="13" t="str">
        <f>IF($A198="","",[1]!thsiFinD("ths_adjustment_nv_fund",AI$3,$A198))</f>
        <v/>
      </c>
      <c r="AJ198" s="13" t="str">
        <f>IF($A198="","",[1]!thsiFinD("ths_adjustment_nv_fund",AJ$3,$A198))</f>
        <v/>
      </c>
      <c r="AK198" s="13" t="str">
        <f>IF($A198="","",[1]!thsiFinD("ths_adjustment_nv_fund",AK$3,$A198))</f>
        <v/>
      </c>
      <c r="AL198" s="13" t="str">
        <f>IF($A198="","",[1]!thsiFinD("ths_adjustment_nv_fund",AL$3,$A198))</f>
        <v/>
      </c>
    </row>
    <row r="199" spans="1:38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  <c r="AC199" s="13" t="str">
        <f>IF($A199="","",[1]!thsiFinD("ths_adjustment_nv_fund",AC$3,$A199))</f>
        <v/>
      </c>
      <c r="AD199" s="13" t="str">
        <f>IF($A199="","",[1]!thsiFinD("ths_adjustment_nv_fund",AD$3,$A199))</f>
        <v/>
      </c>
      <c r="AE199" s="13" t="str">
        <f>IF($A199="","",[1]!thsiFinD("ths_adjustment_nv_fund",AE$3,$A199))</f>
        <v/>
      </c>
      <c r="AF199" s="13" t="str">
        <f>IF($A199="","",[1]!thsiFinD("ths_adjustment_nv_fund",AF$3,$A199))</f>
        <v/>
      </c>
      <c r="AG199" s="13" t="str">
        <f>IF($A199="","",[1]!thsiFinD("ths_adjustment_nv_fund",AG$3,$A199))</f>
        <v/>
      </c>
      <c r="AH199" s="13" t="str">
        <f>IF($A199="","",[1]!thsiFinD("ths_adjustment_nv_fund",AH$3,$A199))</f>
        <v/>
      </c>
      <c r="AI199" s="13" t="str">
        <f>IF($A199="","",[1]!thsiFinD("ths_adjustment_nv_fund",AI$3,$A199))</f>
        <v/>
      </c>
      <c r="AJ199" s="13" t="str">
        <f>IF($A199="","",[1]!thsiFinD("ths_adjustment_nv_fund",AJ$3,$A199))</f>
        <v/>
      </c>
      <c r="AK199" s="13" t="str">
        <f>IF($A199="","",[1]!thsiFinD("ths_adjustment_nv_fund",AK$3,$A199))</f>
        <v/>
      </c>
      <c r="AL199" s="13" t="str">
        <f>IF($A199="","",[1]!thsiFinD("ths_adjustment_nv_fund",AL$3,$A199))</f>
        <v/>
      </c>
    </row>
    <row r="200" spans="1:38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  <c r="AC200" s="13" t="str">
        <f>IF($A200="","",[1]!thsiFinD("ths_adjustment_nv_fund",AC$3,$A200))</f>
        <v/>
      </c>
      <c r="AD200" s="13" t="str">
        <f>IF($A200="","",[1]!thsiFinD("ths_adjustment_nv_fund",AD$3,$A200))</f>
        <v/>
      </c>
      <c r="AE200" s="13" t="str">
        <f>IF($A200="","",[1]!thsiFinD("ths_adjustment_nv_fund",AE$3,$A200))</f>
        <v/>
      </c>
      <c r="AF200" s="13" t="str">
        <f>IF($A200="","",[1]!thsiFinD("ths_adjustment_nv_fund",AF$3,$A200))</f>
        <v/>
      </c>
      <c r="AG200" s="13" t="str">
        <f>IF($A200="","",[1]!thsiFinD("ths_adjustment_nv_fund",AG$3,$A200))</f>
        <v/>
      </c>
      <c r="AH200" s="13" t="str">
        <f>IF($A200="","",[1]!thsiFinD("ths_adjustment_nv_fund",AH$3,$A200))</f>
        <v/>
      </c>
      <c r="AI200" s="13" t="str">
        <f>IF($A200="","",[1]!thsiFinD("ths_adjustment_nv_fund",AI$3,$A200))</f>
        <v/>
      </c>
      <c r="AJ200" s="13" t="str">
        <f>IF($A200="","",[1]!thsiFinD("ths_adjustment_nv_fund",AJ$3,$A200))</f>
        <v/>
      </c>
      <c r="AK200" s="13" t="str">
        <f>IF($A200="","",[1]!thsiFinD("ths_adjustment_nv_fund",AK$3,$A200))</f>
        <v/>
      </c>
      <c r="AL200" s="13" t="str">
        <f>IF($A200="","",[1]!thsiFinD("ths_adjustment_nv_fund",AL$3,$A200))</f>
        <v/>
      </c>
    </row>
    <row r="201" spans="1:38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  <c r="AC201" s="13" t="str">
        <f>IF($A201="","",[1]!thsiFinD("ths_adjustment_nv_fund",AC$3,$A201))</f>
        <v/>
      </c>
      <c r="AD201" s="13" t="str">
        <f>IF($A201="","",[1]!thsiFinD("ths_adjustment_nv_fund",AD$3,$A201))</f>
        <v/>
      </c>
      <c r="AE201" s="13" t="str">
        <f>IF($A201="","",[1]!thsiFinD("ths_adjustment_nv_fund",AE$3,$A201))</f>
        <v/>
      </c>
      <c r="AF201" s="13" t="str">
        <f>IF($A201="","",[1]!thsiFinD("ths_adjustment_nv_fund",AF$3,$A201))</f>
        <v/>
      </c>
      <c r="AG201" s="13" t="str">
        <f>IF($A201="","",[1]!thsiFinD("ths_adjustment_nv_fund",AG$3,$A201))</f>
        <v/>
      </c>
      <c r="AH201" s="13" t="str">
        <f>IF($A201="","",[1]!thsiFinD("ths_adjustment_nv_fund",AH$3,$A201))</f>
        <v/>
      </c>
      <c r="AI201" s="13" t="str">
        <f>IF($A201="","",[1]!thsiFinD("ths_adjustment_nv_fund",AI$3,$A201))</f>
        <v/>
      </c>
      <c r="AJ201" s="13" t="str">
        <f>IF($A201="","",[1]!thsiFinD("ths_adjustment_nv_fund",AJ$3,$A201))</f>
        <v/>
      </c>
      <c r="AK201" s="13" t="str">
        <f>IF($A201="","",[1]!thsiFinD("ths_adjustment_nv_fund",AK$3,$A201))</f>
        <v/>
      </c>
      <c r="AL201" s="13" t="str">
        <f>IF($A201="","",[1]!thsiFinD("ths_adjustment_nv_fund",AL$3,$A201))</f>
        <v/>
      </c>
    </row>
    <row r="202" spans="1:38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  <c r="AC202" s="13" t="str">
        <f>IF($A202="","",[1]!thsiFinD("ths_adjustment_nv_fund",AC$3,$A202))</f>
        <v/>
      </c>
      <c r="AD202" s="13" t="str">
        <f>IF($A202="","",[1]!thsiFinD("ths_adjustment_nv_fund",AD$3,$A202))</f>
        <v/>
      </c>
      <c r="AE202" s="13" t="str">
        <f>IF($A202="","",[1]!thsiFinD("ths_adjustment_nv_fund",AE$3,$A202))</f>
        <v/>
      </c>
      <c r="AF202" s="13" t="str">
        <f>IF($A202="","",[1]!thsiFinD("ths_adjustment_nv_fund",AF$3,$A202))</f>
        <v/>
      </c>
      <c r="AG202" s="13" t="str">
        <f>IF($A202="","",[1]!thsiFinD("ths_adjustment_nv_fund",AG$3,$A202))</f>
        <v/>
      </c>
      <c r="AH202" s="13" t="str">
        <f>IF($A202="","",[1]!thsiFinD("ths_adjustment_nv_fund",AH$3,$A202))</f>
        <v/>
      </c>
      <c r="AI202" s="13" t="str">
        <f>IF($A202="","",[1]!thsiFinD("ths_adjustment_nv_fund",AI$3,$A202))</f>
        <v/>
      </c>
      <c r="AJ202" s="13" t="str">
        <f>IF($A202="","",[1]!thsiFinD("ths_adjustment_nv_fund",AJ$3,$A202))</f>
        <v/>
      </c>
      <c r="AK202" s="13" t="str">
        <f>IF($A202="","",[1]!thsiFinD("ths_adjustment_nv_fund",AK$3,$A202))</f>
        <v/>
      </c>
      <c r="AL202" s="13" t="str">
        <f>IF($A202="","",[1]!thsiFinD("ths_adjustment_nv_fund",AL$3,$A202))</f>
        <v/>
      </c>
    </row>
    <row r="203" spans="1:38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  <c r="AC203" s="13" t="str">
        <f>IF($A203="","",[1]!thsiFinD("ths_adjustment_nv_fund",AC$3,$A203))</f>
        <v/>
      </c>
      <c r="AD203" s="13" t="str">
        <f>IF($A203="","",[1]!thsiFinD("ths_adjustment_nv_fund",AD$3,$A203))</f>
        <v/>
      </c>
      <c r="AE203" s="13" t="str">
        <f>IF($A203="","",[1]!thsiFinD("ths_adjustment_nv_fund",AE$3,$A203))</f>
        <v/>
      </c>
      <c r="AF203" s="13" t="str">
        <f>IF($A203="","",[1]!thsiFinD("ths_adjustment_nv_fund",AF$3,$A203))</f>
        <v/>
      </c>
      <c r="AG203" s="13" t="str">
        <f>IF($A203="","",[1]!thsiFinD("ths_adjustment_nv_fund",AG$3,$A203))</f>
        <v/>
      </c>
      <c r="AH203" s="13" t="str">
        <f>IF($A203="","",[1]!thsiFinD("ths_adjustment_nv_fund",AH$3,$A203))</f>
        <v/>
      </c>
      <c r="AI203" s="13" t="str">
        <f>IF($A203="","",[1]!thsiFinD("ths_adjustment_nv_fund",AI$3,$A203))</f>
        <v/>
      </c>
      <c r="AJ203" s="13" t="str">
        <f>IF($A203="","",[1]!thsiFinD("ths_adjustment_nv_fund",AJ$3,$A203))</f>
        <v/>
      </c>
      <c r="AK203" s="13" t="str">
        <f>IF($A203="","",[1]!thsiFinD("ths_adjustment_nv_fund",AK$3,$A203))</f>
        <v/>
      </c>
      <c r="AL203" s="13" t="str">
        <f>IF($A203="","",[1]!thsiFinD("ths_adjustment_nv_fund",AL$3,$A203))</f>
        <v/>
      </c>
    </row>
    <row r="204" spans="1:38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  <c r="AC204" s="13" t="str">
        <f>IF($A204="","",[1]!thsiFinD("ths_adjustment_nv_fund",AC$3,$A204))</f>
        <v/>
      </c>
      <c r="AD204" s="13" t="str">
        <f>IF($A204="","",[1]!thsiFinD("ths_adjustment_nv_fund",AD$3,$A204))</f>
        <v/>
      </c>
      <c r="AE204" s="13" t="str">
        <f>IF($A204="","",[1]!thsiFinD("ths_adjustment_nv_fund",AE$3,$A204))</f>
        <v/>
      </c>
      <c r="AF204" s="13" t="str">
        <f>IF($A204="","",[1]!thsiFinD("ths_adjustment_nv_fund",AF$3,$A204))</f>
        <v/>
      </c>
      <c r="AG204" s="13" t="str">
        <f>IF($A204="","",[1]!thsiFinD("ths_adjustment_nv_fund",AG$3,$A204))</f>
        <v/>
      </c>
      <c r="AH204" s="13" t="str">
        <f>IF($A204="","",[1]!thsiFinD("ths_adjustment_nv_fund",AH$3,$A204))</f>
        <v/>
      </c>
      <c r="AI204" s="13" t="str">
        <f>IF($A204="","",[1]!thsiFinD("ths_adjustment_nv_fund",AI$3,$A204))</f>
        <v/>
      </c>
      <c r="AJ204" s="13" t="str">
        <f>IF($A204="","",[1]!thsiFinD("ths_adjustment_nv_fund",AJ$3,$A204))</f>
        <v/>
      </c>
      <c r="AK204" s="13" t="str">
        <f>IF($A204="","",[1]!thsiFinD("ths_adjustment_nv_fund",AK$3,$A204))</f>
        <v/>
      </c>
      <c r="AL204" s="13" t="str">
        <f>IF($A204="","",[1]!thsiFinD("ths_adjustment_nv_fund",AL$3,$A204))</f>
        <v/>
      </c>
    </row>
    <row r="205" spans="1:38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  <c r="AC205" s="13" t="str">
        <f>IF($A205="","",[1]!thsiFinD("ths_adjustment_nv_fund",AC$3,$A205))</f>
        <v/>
      </c>
      <c r="AD205" s="13" t="str">
        <f>IF($A205="","",[1]!thsiFinD("ths_adjustment_nv_fund",AD$3,$A205))</f>
        <v/>
      </c>
      <c r="AE205" s="13" t="str">
        <f>IF($A205="","",[1]!thsiFinD("ths_adjustment_nv_fund",AE$3,$A205))</f>
        <v/>
      </c>
      <c r="AF205" s="13" t="str">
        <f>IF($A205="","",[1]!thsiFinD("ths_adjustment_nv_fund",AF$3,$A205))</f>
        <v/>
      </c>
      <c r="AG205" s="13" t="str">
        <f>IF($A205="","",[1]!thsiFinD("ths_adjustment_nv_fund",AG$3,$A205))</f>
        <v/>
      </c>
      <c r="AH205" s="13" t="str">
        <f>IF($A205="","",[1]!thsiFinD("ths_adjustment_nv_fund",AH$3,$A205))</f>
        <v/>
      </c>
      <c r="AI205" s="13" t="str">
        <f>IF($A205="","",[1]!thsiFinD("ths_adjustment_nv_fund",AI$3,$A205))</f>
        <v/>
      </c>
      <c r="AJ205" s="13" t="str">
        <f>IF($A205="","",[1]!thsiFinD("ths_adjustment_nv_fund",AJ$3,$A205))</f>
        <v/>
      </c>
      <c r="AK205" s="13" t="str">
        <f>IF($A205="","",[1]!thsiFinD("ths_adjustment_nv_fund",AK$3,$A205))</f>
        <v/>
      </c>
      <c r="AL205" s="13" t="str">
        <f>IF($A205="","",[1]!thsiFinD("ths_adjustment_nv_fund",AL$3,$A205))</f>
        <v/>
      </c>
    </row>
    <row r="206" spans="1:38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  <c r="AC206" s="13" t="str">
        <f>IF($A206="","",[1]!thsiFinD("ths_adjustment_nv_fund",AC$3,$A206))</f>
        <v/>
      </c>
      <c r="AD206" s="13" t="str">
        <f>IF($A206="","",[1]!thsiFinD("ths_adjustment_nv_fund",AD$3,$A206))</f>
        <v/>
      </c>
      <c r="AE206" s="13" t="str">
        <f>IF($A206="","",[1]!thsiFinD("ths_adjustment_nv_fund",AE$3,$A206))</f>
        <v/>
      </c>
      <c r="AF206" s="13" t="str">
        <f>IF($A206="","",[1]!thsiFinD("ths_adjustment_nv_fund",AF$3,$A206))</f>
        <v/>
      </c>
      <c r="AG206" s="13" t="str">
        <f>IF($A206="","",[1]!thsiFinD("ths_adjustment_nv_fund",AG$3,$A206))</f>
        <v/>
      </c>
      <c r="AH206" s="13" t="str">
        <f>IF($A206="","",[1]!thsiFinD("ths_adjustment_nv_fund",AH$3,$A206))</f>
        <v/>
      </c>
      <c r="AI206" s="13" t="str">
        <f>IF($A206="","",[1]!thsiFinD("ths_adjustment_nv_fund",AI$3,$A206))</f>
        <v/>
      </c>
      <c r="AJ206" s="13" t="str">
        <f>IF($A206="","",[1]!thsiFinD("ths_adjustment_nv_fund",AJ$3,$A206))</f>
        <v/>
      </c>
      <c r="AK206" s="13" t="str">
        <f>IF($A206="","",[1]!thsiFinD("ths_adjustment_nv_fund",AK$3,$A206))</f>
        <v/>
      </c>
      <c r="AL206" s="13" t="str">
        <f>IF($A206="","",[1]!thsiFinD("ths_adjustment_nv_fund",AL$3,$A206))</f>
        <v/>
      </c>
    </row>
    <row r="207" spans="1:38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  <c r="AC207" s="13" t="str">
        <f>IF($A207="","",[1]!thsiFinD("ths_adjustment_nv_fund",AC$3,$A207))</f>
        <v/>
      </c>
      <c r="AD207" s="13" t="str">
        <f>IF($A207="","",[1]!thsiFinD("ths_adjustment_nv_fund",AD$3,$A207))</f>
        <v/>
      </c>
      <c r="AE207" s="13" t="str">
        <f>IF($A207="","",[1]!thsiFinD("ths_adjustment_nv_fund",AE$3,$A207))</f>
        <v/>
      </c>
      <c r="AF207" s="13" t="str">
        <f>IF($A207="","",[1]!thsiFinD("ths_adjustment_nv_fund",AF$3,$A207))</f>
        <v/>
      </c>
      <c r="AG207" s="13" t="str">
        <f>IF($A207="","",[1]!thsiFinD("ths_adjustment_nv_fund",AG$3,$A207))</f>
        <v/>
      </c>
      <c r="AH207" s="13" t="str">
        <f>IF($A207="","",[1]!thsiFinD("ths_adjustment_nv_fund",AH$3,$A207))</f>
        <v/>
      </c>
      <c r="AI207" s="13" t="str">
        <f>IF($A207="","",[1]!thsiFinD("ths_adjustment_nv_fund",AI$3,$A207))</f>
        <v/>
      </c>
      <c r="AJ207" s="13" t="str">
        <f>IF($A207="","",[1]!thsiFinD("ths_adjustment_nv_fund",AJ$3,$A207))</f>
        <v/>
      </c>
      <c r="AK207" s="13" t="str">
        <f>IF($A207="","",[1]!thsiFinD("ths_adjustment_nv_fund",AK$3,$A207))</f>
        <v/>
      </c>
      <c r="AL207" s="13" t="str">
        <f>IF($A207="","",[1]!thsiFinD("ths_adjustment_nv_fund",AL$3,$A207))</f>
        <v/>
      </c>
    </row>
    <row r="208" spans="1:38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  <c r="AC208" s="13" t="str">
        <f>IF($A208="","",[1]!thsiFinD("ths_adjustment_nv_fund",AC$3,$A208))</f>
        <v/>
      </c>
      <c r="AD208" s="13" t="str">
        <f>IF($A208="","",[1]!thsiFinD("ths_adjustment_nv_fund",AD$3,$A208))</f>
        <v/>
      </c>
      <c r="AE208" s="13" t="str">
        <f>IF($A208="","",[1]!thsiFinD("ths_adjustment_nv_fund",AE$3,$A208))</f>
        <v/>
      </c>
      <c r="AF208" s="13" t="str">
        <f>IF($A208="","",[1]!thsiFinD("ths_adjustment_nv_fund",AF$3,$A208))</f>
        <v/>
      </c>
      <c r="AG208" s="13" t="str">
        <f>IF($A208="","",[1]!thsiFinD("ths_adjustment_nv_fund",AG$3,$A208))</f>
        <v/>
      </c>
      <c r="AH208" s="13" t="str">
        <f>IF($A208="","",[1]!thsiFinD("ths_adjustment_nv_fund",AH$3,$A208))</f>
        <v/>
      </c>
      <c r="AI208" s="13" t="str">
        <f>IF($A208="","",[1]!thsiFinD("ths_adjustment_nv_fund",AI$3,$A208))</f>
        <v/>
      </c>
      <c r="AJ208" s="13" t="str">
        <f>IF($A208="","",[1]!thsiFinD("ths_adjustment_nv_fund",AJ$3,$A208))</f>
        <v/>
      </c>
      <c r="AK208" s="13" t="str">
        <f>IF($A208="","",[1]!thsiFinD("ths_adjustment_nv_fund",AK$3,$A208))</f>
        <v/>
      </c>
      <c r="AL208" s="13" t="str">
        <f>IF($A208="","",[1]!thsiFinD("ths_adjustment_nv_fund",AL$3,$A208))</f>
        <v/>
      </c>
    </row>
    <row r="209" spans="1:38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  <c r="AC209" s="13" t="str">
        <f>IF($A209="","",[1]!thsiFinD("ths_adjustment_nv_fund",AC$3,$A209))</f>
        <v/>
      </c>
      <c r="AD209" s="13" t="str">
        <f>IF($A209="","",[1]!thsiFinD("ths_adjustment_nv_fund",AD$3,$A209))</f>
        <v/>
      </c>
      <c r="AE209" s="13" t="str">
        <f>IF($A209="","",[1]!thsiFinD("ths_adjustment_nv_fund",AE$3,$A209))</f>
        <v/>
      </c>
      <c r="AF209" s="13" t="str">
        <f>IF($A209="","",[1]!thsiFinD("ths_adjustment_nv_fund",AF$3,$A209))</f>
        <v/>
      </c>
      <c r="AG209" s="13" t="str">
        <f>IF($A209="","",[1]!thsiFinD("ths_adjustment_nv_fund",AG$3,$A209))</f>
        <v/>
      </c>
      <c r="AH209" s="13" t="str">
        <f>IF($A209="","",[1]!thsiFinD("ths_adjustment_nv_fund",AH$3,$A209))</f>
        <v/>
      </c>
      <c r="AI209" s="13" t="str">
        <f>IF($A209="","",[1]!thsiFinD("ths_adjustment_nv_fund",AI$3,$A209))</f>
        <v/>
      </c>
      <c r="AJ209" s="13" t="str">
        <f>IF($A209="","",[1]!thsiFinD("ths_adjustment_nv_fund",AJ$3,$A209))</f>
        <v/>
      </c>
      <c r="AK209" s="13" t="str">
        <f>IF($A209="","",[1]!thsiFinD("ths_adjustment_nv_fund",AK$3,$A209))</f>
        <v/>
      </c>
      <c r="AL209" s="13" t="str">
        <f>IF($A209="","",[1]!thsiFinD("ths_adjustment_nv_fund",AL$3,$A209))</f>
        <v/>
      </c>
    </row>
    <row r="210" spans="1:38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  <c r="AC210" s="13" t="str">
        <f>IF($A210="","",[1]!thsiFinD("ths_adjustment_nv_fund",AC$3,$A210))</f>
        <v/>
      </c>
      <c r="AD210" s="13" t="str">
        <f>IF($A210="","",[1]!thsiFinD("ths_adjustment_nv_fund",AD$3,$A210))</f>
        <v/>
      </c>
      <c r="AE210" s="13" t="str">
        <f>IF($A210="","",[1]!thsiFinD("ths_adjustment_nv_fund",AE$3,$A210))</f>
        <v/>
      </c>
      <c r="AF210" s="13" t="str">
        <f>IF($A210="","",[1]!thsiFinD("ths_adjustment_nv_fund",AF$3,$A210))</f>
        <v/>
      </c>
      <c r="AG210" s="13" t="str">
        <f>IF($A210="","",[1]!thsiFinD("ths_adjustment_nv_fund",AG$3,$A210))</f>
        <v/>
      </c>
      <c r="AH210" s="13" t="str">
        <f>IF($A210="","",[1]!thsiFinD("ths_adjustment_nv_fund",AH$3,$A210))</f>
        <v/>
      </c>
      <c r="AI210" s="13" t="str">
        <f>IF($A210="","",[1]!thsiFinD("ths_adjustment_nv_fund",AI$3,$A210))</f>
        <v/>
      </c>
      <c r="AJ210" s="13" t="str">
        <f>IF($A210="","",[1]!thsiFinD("ths_adjustment_nv_fund",AJ$3,$A210))</f>
        <v/>
      </c>
      <c r="AK210" s="13" t="str">
        <f>IF($A210="","",[1]!thsiFinD("ths_adjustment_nv_fund",AK$3,$A210))</f>
        <v/>
      </c>
      <c r="AL210" s="13" t="str">
        <f>IF($A210="","",[1]!thsiFinD("ths_adjustment_nv_fund",AL$3,$A210))</f>
        <v/>
      </c>
    </row>
    <row r="211" spans="1:38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  <c r="AC211" s="13" t="str">
        <f>IF($A211="","",[1]!thsiFinD("ths_adjustment_nv_fund",AC$3,$A211))</f>
        <v/>
      </c>
      <c r="AD211" s="13" t="str">
        <f>IF($A211="","",[1]!thsiFinD("ths_adjustment_nv_fund",AD$3,$A211))</f>
        <v/>
      </c>
      <c r="AE211" s="13" t="str">
        <f>IF($A211="","",[1]!thsiFinD("ths_adjustment_nv_fund",AE$3,$A211))</f>
        <v/>
      </c>
      <c r="AF211" s="13" t="str">
        <f>IF($A211="","",[1]!thsiFinD("ths_adjustment_nv_fund",AF$3,$A211))</f>
        <v/>
      </c>
      <c r="AG211" s="13" t="str">
        <f>IF($A211="","",[1]!thsiFinD("ths_adjustment_nv_fund",AG$3,$A211))</f>
        <v/>
      </c>
      <c r="AH211" s="13" t="str">
        <f>IF($A211="","",[1]!thsiFinD("ths_adjustment_nv_fund",AH$3,$A211))</f>
        <v/>
      </c>
      <c r="AI211" s="13" t="str">
        <f>IF($A211="","",[1]!thsiFinD("ths_adjustment_nv_fund",AI$3,$A211))</f>
        <v/>
      </c>
      <c r="AJ211" s="13" t="str">
        <f>IF($A211="","",[1]!thsiFinD("ths_adjustment_nv_fund",AJ$3,$A211))</f>
        <v/>
      </c>
      <c r="AK211" s="13" t="str">
        <f>IF($A211="","",[1]!thsiFinD("ths_adjustment_nv_fund",AK$3,$A211))</f>
        <v/>
      </c>
      <c r="AL211" s="13" t="str">
        <f>IF($A211="","",[1]!thsiFinD("ths_adjustment_nv_fund",AL$3,$A211))</f>
        <v/>
      </c>
    </row>
    <row r="212" spans="1:38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  <c r="AC212" s="13" t="str">
        <f>IF($A212="","",[1]!thsiFinD("ths_adjustment_nv_fund",AC$3,$A212))</f>
        <v/>
      </c>
      <c r="AD212" s="13" t="str">
        <f>IF($A212="","",[1]!thsiFinD("ths_adjustment_nv_fund",AD$3,$A212))</f>
        <v/>
      </c>
      <c r="AE212" s="13" t="str">
        <f>IF($A212="","",[1]!thsiFinD("ths_adjustment_nv_fund",AE$3,$A212))</f>
        <v/>
      </c>
      <c r="AF212" s="13" t="str">
        <f>IF($A212="","",[1]!thsiFinD("ths_adjustment_nv_fund",AF$3,$A212))</f>
        <v/>
      </c>
      <c r="AG212" s="13" t="str">
        <f>IF($A212="","",[1]!thsiFinD("ths_adjustment_nv_fund",AG$3,$A212))</f>
        <v/>
      </c>
      <c r="AH212" s="13" t="str">
        <f>IF($A212="","",[1]!thsiFinD("ths_adjustment_nv_fund",AH$3,$A212))</f>
        <v/>
      </c>
      <c r="AI212" s="13" t="str">
        <f>IF($A212="","",[1]!thsiFinD("ths_adjustment_nv_fund",AI$3,$A212))</f>
        <v/>
      </c>
      <c r="AJ212" s="13" t="str">
        <f>IF($A212="","",[1]!thsiFinD("ths_adjustment_nv_fund",AJ$3,$A212))</f>
        <v/>
      </c>
      <c r="AK212" s="13" t="str">
        <f>IF($A212="","",[1]!thsiFinD("ths_adjustment_nv_fund",AK$3,$A212))</f>
        <v/>
      </c>
      <c r="AL212" s="13" t="str">
        <f>IF($A212="","",[1]!thsiFinD("ths_adjustment_nv_fund",AL$3,$A212))</f>
        <v/>
      </c>
    </row>
    <row r="213" spans="1:38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  <c r="AC213" s="13" t="str">
        <f>IF($A213="","",[1]!thsiFinD("ths_adjustment_nv_fund",AC$3,$A213))</f>
        <v/>
      </c>
      <c r="AD213" s="13" t="str">
        <f>IF($A213="","",[1]!thsiFinD("ths_adjustment_nv_fund",AD$3,$A213))</f>
        <v/>
      </c>
      <c r="AE213" s="13" t="str">
        <f>IF($A213="","",[1]!thsiFinD("ths_adjustment_nv_fund",AE$3,$A213))</f>
        <v/>
      </c>
      <c r="AF213" s="13" t="str">
        <f>IF($A213="","",[1]!thsiFinD("ths_adjustment_nv_fund",AF$3,$A213))</f>
        <v/>
      </c>
      <c r="AG213" s="13" t="str">
        <f>IF($A213="","",[1]!thsiFinD("ths_adjustment_nv_fund",AG$3,$A213))</f>
        <v/>
      </c>
      <c r="AH213" s="13" t="str">
        <f>IF($A213="","",[1]!thsiFinD("ths_adjustment_nv_fund",AH$3,$A213))</f>
        <v/>
      </c>
      <c r="AI213" s="13" t="str">
        <f>IF($A213="","",[1]!thsiFinD("ths_adjustment_nv_fund",AI$3,$A213))</f>
        <v/>
      </c>
      <c r="AJ213" s="13" t="str">
        <f>IF($A213="","",[1]!thsiFinD("ths_adjustment_nv_fund",AJ$3,$A213))</f>
        <v/>
      </c>
      <c r="AK213" s="13" t="str">
        <f>IF($A213="","",[1]!thsiFinD("ths_adjustment_nv_fund",AK$3,$A213))</f>
        <v/>
      </c>
      <c r="AL213" s="13" t="str">
        <f>IF($A213="","",[1]!thsiFinD("ths_adjustment_nv_fund",AL$3,$A213))</f>
        <v/>
      </c>
    </row>
    <row r="214" spans="1:38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  <c r="AC214" s="13" t="str">
        <f>IF($A214="","",[1]!thsiFinD("ths_adjustment_nv_fund",AC$3,$A214))</f>
        <v/>
      </c>
      <c r="AD214" s="13" t="str">
        <f>IF($A214="","",[1]!thsiFinD("ths_adjustment_nv_fund",AD$3,$A214))</f>
        <v/>
      </c>
      <c r="AE214" s="13" t="str">
        <f>IF($A214="","",[1]!thsiFinD("ths_adjustment_nv_fund",AE$3,$A214))</f>
        <v/>
      </c>
      <c r="AF214" s="13" t="str">
        <f>IF($A214="","",[1]!thsiFinD("ths_adjustment_nv_fund",AF$3,$A214))</f>
        <v/>
      </c>
      <c r="AG214" s="13" t="str">
        <f>IF($A214="","",[1]!thsiFinD("ths_adjustment_nv_fund",AG$3,$A214))</f>
        <v/>
      </c>
      <c r="AH214" s="13" t="str">
        <f>IF($A214="","",[1]!thsiFinD("ths_adjustment_nv_fund",AH$3,$A214))</f>
        <v/>
      </c>
      <c r="AI214" s="13" t="str">
        <f>IF($A214="","",[1]!thsiFinD("ths_adjustment_nv_fund",AI$3,$A214))</f>
        <v/>
      </c>
      <c r="AJ214" s="13" t="str">
        <f>IF($A214="","",[1]!thsiFinD("ths_adjustment_nv_fund",AJ$3,$A214))</f>
        <v/>
      </c>
      <c r="AK214" s="13" t="str">
        <f>IF($A214="","",[1]!thsiFinD("ths_adjustment_nv_fund",AK$3,$A214))</f>
        <v/>
      </c>
      <c r="AL214" s="13" t="str">
        <f>IF($A214="","",[1]!thsiFinD("ths_adjustment_nv_fund",AL$3,$A214))</f>
        <v/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39"/>
  <sheetViews>
    <sheetView topLeftCell="A13" workbookViewId="0">
      <selection activeCell="O22" sqref="O22"/>
    </sheetView>
  </sheetViews>
  <sheetFormatPr defaultRowHeight="12.5"/>
  <cols>
    <col min="1" max="1" width="11" bestFit="1" customWidth="1"/>
    <col min="28" max="38" width="13" customWidth="1"/>
  </cols>
  <sheetData>
    <row r="1" spans="1:38">
      <c r="A1" s="53">
        <f ca="1">日期页!B2</f>
        <v>46304</v>
      </c>
      <c r="B1" s="175"/>
      <c r="C1" s="13"/>
      <c r="D1" s="13"/>
      <c r="E1" s="13"/>
      <c r="F1" s="13"/>
    </row>
    <row r="2" spans="1:38">
      <c r="A2" s="173"/>
      <c r="B2" s="175"/>
      <c r="C2" s="175"/>
      <c r="D2" s="175"/>
      <c r="E2" s="175"/>
      <c r="F2" s="175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</row>
    <row r="3" spans="1:38" ht="25">
      <c r="A3" s="173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25">
      <c r="A4" s="172" t="str">
        <f ca="1">[1]!HX_HisQuote(B3:AL3, "[fundquanfullnet]", "1",A1- 4,A1, -1, "-1", 1, 2, 1, 1, 1, 1, 1, 1, 2, "1", "1900-1-1", "YSHB;Tradedays")</f>
        <v>同花顺iFinD</v>
      </c>
      <c r="B4" s="177" t="s">
        <v>422</v>
      </c>
      <c r="C4" s="177" t="s">
        <v>423</v>
      </c>
      <c r="D4" s="177" t="s">
        <v>411</v>
      </c>
      <c r="E4" s="177" t="s">
        <v>424</v>
      </c>
      <c r="F4" s="177" t="s">
        <v>425</v>
      </c>
      <c r="G4" s="177" t="s">
        <v>426</v>
      </c>
      <c r="H4" s="177" t="s">
        <v>427</v>
      </c>
      <c r="I4" s="177" t="s">
        <v>412</v>
      </c>
      <c r="J4" s="177" t="s">
        <v>428</v>
      </c>
      <c r="K4" s="177" t="s">
        <v>413</v>
      </c>
      <c r="L4" s="177" t="s">
        <v>429</v>
      </c>
      <c r="M4" s="177" t="s">
        <v>430</v>
      </c>
      <c r="N4" s="177" t="s">
        <v>431</v>
      </c>
      <c r="O4" s="177" t="s">
        <v>432</v>
      </c>
      <c r="P4" s="177" t="s">
        <v>433</v>
      </c>
      <c r="Q4" s="177" t="s">
        <v>434</v>
      </c>
      <c r="R4" s="177" t="s">
        <v>414</v>
      </c>
      <c r="S4" s="177" t="s">
        <v>435</v>
      </c>
      <c r="T4" s="177" t="s">
        <v>436</v>
      </c>
      <c r="U4" s="177" t="s">
        <v>437</v>
      </c>
      <c r="V4" s="177" t="s">
        <v>438</v>
      </c>
      <c r="W4" s="177" t="s">
        <v>439</v>
      </c>
      <c r="X4" s="177" t="s">
        <v>440</v>
      </c>
      <c r="Y4" s="177" t="s">
        <v>441</v>
      </c>
      <c r="Z4" s="177" t="s">
        <v>415</v>
      </c>
      <c r="AA4" s="177" t="s">
        <v>442</v>
      </c>
      <c r="AB4" s="177" t="s">
        <v>443</v>
      </c>
      <c r="AC4" s="177" t="s">
        <v>444</v>
      </c>
      <c r="AD4" s="177" t="s">
        <v>445</v>
      </c>
      <c r="AE4" s="177" t="s">
        <v>446</v>
      </c>
      <c r="AF4" s="177" t="s">
        <v>447</v>
      </c>
      <c r="AG4" s="177" t="s">
        <v>448</v>
      </c>
      <c r="AH4" s="177" t="s">
        <v>449</v>
      </c>
      <c r="AI4" s="177" t="s">
        <v>450</v>
      </c>
      <c r="AJ4" s="177" t="s">
        <v>451</v>
      </c>
      <c r="AK4" s="177" t="s">
        <v>452</v>
      </c>
      <c r="AL4" s="177" t="s">
        <v>453</v>
      </c>
    </row>
    <row r="5" spans="1:38" s="210" customFormat="1" ht="62.5">
      <c r="A5" s="173"/>
      <c r="B5" s="174" t="s">
        <v>416</v>
      </c>
      <c r="C5" s="174" t="s">
        <v>454</v>
      </c>
      <c r="D5" s="174" t="s">
        <v>455</v>
      </c>
      <c r="E5" s="174" t="s">
        <v>456</v>
      </c>
      <c r="F5" s="174" t="s">
        <v>457</v>
      </c>
      <c r="G5" s="178" t="s">
        <v>458</v>
      </c>
      <c r="H5" s="178" t="s">
        <v>459</v>
      </c>
      <c r="I5" s="178" t="s">
        <v>417</v>
      </c>
      <c r="J5" s="178" t="s">
        <v>460</v>
      </c>
      <c r="K5" s="178" t="s">
        <v>461</v>
      </c>
      <c r="L5" s="178" t="s">
        <v>462</v>
      </c>
      <c r="M5" s="178" t="s">
        <v>463</v>
      </c>
      <c r="N5" s="178" t="s">
        <v>464</v>
      </c>
      <c r="O5" s="178" t="s">
        <v>465</v>
      </c>
      <c r="P5" s="178" t="s">
        <v>466</v>
      </c>
      <c r="Q5" s="178" t="s">
        <v>467</v>
      </c>
      <c r="R5" s="178" t="s">
        <v>468</v>
      </c>
      <c r="S5" s="178" t="s">
        <v>469</v>
      </c>
      <c r="T5" s="178" t="s">
        <v>418</v>
      </c>
      <c r="U5" s="178" t="s">
        <v>470</v>
      </c>
      <c r="V5" s="178" t="s">
        <v>471</v>
      </c>
      <c r="W5" s="178" t="s">
        <v>472</v>
      </c>
      <c r="X5" s="178" t="s">
        <v>473</v>
      </c>
      <c r="Y5" s="178" t="s">
        <v>474</v>
      </c>
      <c r="Z5" s="178" t="s">
        <v>475</v>
      </c>
      <c r="AA5" s="178" t="s">
        <v>476</v>
      </c>
      <c r="AB5" s="178" t="s">
        <v>477</v>
      </c>
      <c r="AC5" s="178" t="s">
        <v>478</v>
      </c>
      <c r="AD5" s="178" t="s">
        <v>479</v>
      </c>
      <c r="AE5" s="178" t="s">
        <v>480</v>
      </c>
      <c r="AF5" s="178" t="s">
        <v>481</v>
      </c>
      <c r="AG5" s="178" t="s">
        <v>482</v>
      </c>
      <c r="AH5" s="178" t="s">
        <v>483</v>
      </c>
      <c r="AI5" s="178" t="s">
        <v>484</v>
      </c>
      <c r="AJ5" s="178" t="s">
        <v>419</v>
      </c>
      <c r="AK5" s="178" t="s">
        <v>420</v>
      </c>
      <c r="AL5" s="178" t="s">
        <v>485</v>
      </c>
    </row>
    <row r="6" spans="1:38" ht="25">
      <c r="A6" s="173" t="s">
        <v>410</v>
      </c>
      <c r="B6" s="174" t="s">
        <v>486</v>
      </c>
      <c r="C6" s="174" t="s">
        <v>486</v>
      </c>
      <c r="D6" s="174" t="s">
        <v>486</v>
      </c>
      <c r="E6" s="174" t="s">
        <v>421</v>
      </c>
      <c r="F6" s="174" t="s">
        <v>486</v>
      </c>
      <c r="G6" s="178" t="s">
        <v>421</v>
      </c>
      <c r="H6" s="178" t="s">
        <v>421</v>
      </c>
      <c r="I6" s="178" t="s">
        <v>421</v>
      </c>
      <c r="J6" s="178" t="s">
        <v>486</v>
      </c>
      <c r="K6" s="178" t="s">
        <v>421</v>
      </c>
      <c r="L6" s="178" t="s">
        <v>421</v>
      </c>
      <c r="M6" s="178" t="s">
        <v>421</v>
      </c>
      <c r="N6" s="178" t="s">
        <v>486</v>
      </c>
      <c r="O6" s="178" t="s">
        <v>421</v>
      </c>
      <c r="P6" s="178" t="s">
        <v>421</v>
      </c>
      <c r="Q6" s="178" t="s">
        <v>421</v>
      </c>
      <c r="R6" s="178" t="s">
        <v>421</v>
      </c>
      <c r="S6" s="178" t="s">
        <v>421</v>
      </c>
      <c r="T6" s="178" t="s">
        <v>486</v>
      </c>
      <c r="U6" s="178" t="s">
        <v>421</v>
      </c>
      <c r="V6" s="178" t="s">
        <v>486</v>
      </c>
      <c r="W6" s="178" t="s">
        <v>486</v>
      </c>
      <c r="X6" s="178" t="s">
        <v>421</v>
      </c>
      <c r="Y6" s="178" t="s">
        <v>486</v>
      </c>
      <c r="Z6" s="178" t="s">
        <v>486</v>
      </c>
      <c r="AA6" s="178" t="s">
        <v>421</v>
      </c>
      <c r="AB6" s="178" t="s">
        <v>486</v>
      </c>
      <c r="AC6" s="178" t="s">
        <v>486</v>
      </c>
      <c r="AD6" s="178" t="s">
        <v>486</v>
      </c>
      <c r="AE6" s="178" t="s">
        <v>486</v>
      </c>
      <c r="AF6" s="178" t="s">
        <v>486</v>
      </c>
      <c r="AG6" s="178" t="s">
        <v>486</v>
      </c>
      <c r="AH6" s="178" t="s">
        <v>486</v>
      </c>
      <c r="AI6" s="178" t="s">
        <v>486</v>
      </c>
      <c r="AJ6" s="178" t="s">
        <v>421</v>
      </c>
      <c r="AK6" s="178" t="s">
        <v>486</v>
      </c>
      <c r="AL6" s="178" t="s">
        <v>486</v>
      </c>
    </row>
    <row r="7" spans="1:38">
      <c r="A7" s="173">
        <v>46303</v>
      </c>
      <c r="B7" s="175">
        <v>3.0838999999999999</v>
      </c>
      <c r="C7" s="175">
        <v>1.3222707561</v>
      </c>
      <c r="D7" s="175">
        <v>4.0359999999999996</v>
      </c>
      <c r="E7" s="175">
        <v>1.8213999999999999</v>
      </c>
      <c r="F7" s="175">
        <v>1.768</v>
      </c>
      <c r="G7" s="176">
        <v>3.4135</v>
      </c>
      <c r="H7" s="176">
        <v>3.3384999999999998</v>
      </c>
      <c r="I7" s="176">
        <v>2.0969000000000002</v>
      </c>
      <c r="J7" s="176">
        <v>2.7505999999999999</v>
      </c>
      <c r="K7" s="176">
        <v>2.7240000000000002</v>
      </c>
      <c r="L7" s="176">
        <v>1.4663999999999999</v>
      </c>
      <c r="M7" s="176">
        <v>1.4457</v>
      </c>
      <c r="N7" s="176">
        <v>1.4330000000000001</v>
      </c>
      <c r="O7" s="176">
        <v>1.3956</v>
      </c>
      <c r="P7" s="176">
        <v>2.5533000000000001</v>
      </c>
      <c r="Q7" s="176">
        <v>3.0442999999999998</v>
      </c>
      <c r="R7" s="176">
        <v>2.9762</v>
      </c>
      <c r="S7" s="176">
        <v>3.992</v>
      </c>
      <c r="T7" s="176">
        <v>2.5465</v>
      </c>
      <c r="U7" s="176">
        <v>2.5318999999999998</v>
      </c>
      <c r="V7" s="176">
        <v>1.8803000000000001</v>
      </c>
      <c r="W7" s="176">
        <v>1.86</v>
      </c>
      <c r="X7" s="176">
        <v>1.8080000000000001</v>
      </c>
      <c r="Y7" s="176">
        <v>2.1709999999999998</v>
      </c>
      <c r="Z7" s="176">
        <v>1.5265637033999999</v>
      </c>
      <c r="AA7" s="176">
        <v>1.2398256834000001</v>
      </c>
      <c r="AB7" s="176">
        <v>1.5632999999999999</v>
      </c>
      <c r="AC7" s="176">
        <v>2.9217485362</v>
      </c>
      <c r="AD7" s="176">
        <v>1.6241000000000001</v>
      </c>
      <c r="AE7" s="176">
        <v>1.8265</v>
      </c>
      <c r="AF7" s="176">
        <v>3.6393975807999999</v>
      </c>
      <c r="AG7" s="176">
        <v>1.7750244726</v>
      </c>
      <c r="AH7" s="176">
        <v>4.6062074580000001</v>
      </c>
      <c r="AI7" s="176">
        <v>4.8262045219000003</v>
      </c>
      <c r="AJ7" s="176">
        <v>2.048031699</v>
      </c>
      <c r="AK7" s="176">
        <v>1.7582274626000001</v>
      </c>
      <c r="AL7" s="176">
        <v>1.8298000000000001</v>
      </c>
    </row>
    <row r="8" spans="1:38">
      <c r="A8" s="173">
        <v>46286</v>
      </c>
      <c r="B8" s="175">
        <v>3.2452000000000001</v>
      </c>
      <c r="C8" s="175">
        <v>1.3215138402</v>
      </c>
      <c r="D8" s="175">
        <v>4.7640000000000002</v>
      </c>
      <c r="E8" s="175">
        <v>1.9053</v>
      </c>
      <c r="F8" s="175">
        <v>1.8498000000000001</v>
      </c>
      <c r="G8" s="176">
        <v>4.0392000000000001</v>
      </c>
      <c r="H8" s="176">
        <v>3.9508999999999999</v>
      </c>
      <c r="I8" s="176">
        <v>2.4380000000000002</v>
      </c>
      <c r="J8" s="176">
        <v>3.1736</v>
      </c>
      <c r="K8" s="176">
        <v>3.1433</v>
      </c>
      <c r="L8" s="176">
        <v>1.5784</v>
      </c>
      <c r="M8" s="176">
        <v>1.5564</v>
      </c>
      <c r="N8" s="176">
        <v>1.5462</v>
      </c>
      <c r="O8" s="176">
        <v>1.5062</v>
      </c>
      <c r="P8" s="176">
        <v>3.0871</v>
      </c>
      <c r="Q8" s="176">
        <v>3.7130999999999998</v>
      </c>
      <c r="R8" s="176">
        <v>3.6309999999999998</v>
      </c>
      <c r="S8" s="176">
        <v>4.7119999999999997</v>
      </c>
      <c r="T8" s="176">
        <v>2.8959999999999999</v>
      </c>
      <c r="U8" s="176">
        <v>2.8795999999999999</v>
      </c>
      <c r="V8" s="176">
        <v>1.9877</v>
      </c>
      <c r="W8" s="176">
        <v>1.9665999999999999</v>
      </c>
      <c r="X8" s="176">
        <v>1.806</v>
      </c>
      <c r="Y8" s="176">
        <v>2.5110000000000001</v>
      </c>
      <c r="Z8" s="176">
        <v>1.5252418125</v>
      </c>
      <c r="AA8" s="176">
        <v>1.2386416268</v>
      </c>
      <c r="AB8" s="176">
        <v>1.696</v>
      </c>
      <c r="AC8" s="176">
        <v>3.1313177773</v>
      </c>
      <c r="AD8" s="176">
        <v>1.7504</v>
      </c>
      <c r="AE8" s="176">
        <v>1.9318</v>
      </c>
      <c r="AF8" s="176">
        <v>3.6845012260000001</v>
      </c>
      <c r="AG8" s="176">
        <v>1.7731584810000001</v>
      </c>
      <c r="AH8" s="176">
        <v>4.6277286815999998</v>
      </c>
      <c r="AI8" s="176">
        <v>4.9470678024000003</v>
      </c>
      <c r="AJ8" s="176">
        <v>2.0077894993999998</v>
      </c>
      <c r="AK8" s="176">
        <v>1.7297973600000001</v>
      </c>
      <c r="AL8" s="176">
        <v>1.9285000000000001</v>
      </c>
    </row>
    <row r="9" spans="1:38">
      <c r="A9" s="173">
        <v>46281</v>
      </c>
      <c r="B9" s="175">
        <v>3.2387000000000001</v>
      </c>
      <c r="C9" s="175">
        <v>1.3212937508</v>
      </c>
      <c r="D9" s="175">
        <v>4.6520000000000001</v>
      </c>
      <c r="E9" s="175">
        <v>1.8754</v>
      </c>
      <c r="F9" s="175">
        <v>1.8209</v>
      </c>
      <c r="G9" s="176">
        <v>3.8841000000000001</v>
      </c>
      <c r="H9" s="176">
        <v>3.7993999999999999</v>
      </c>
      <c r="I9" s="176">
        <v>2.3473999999999999</v>
      </c>
      <c r="J9" s="176">
        <v>3.0562999999999998</v>
      </c>
      <c r="K9" s="176">
        <v>3.0272000000000001</v>
      </c>
      <c r="L9" s="176">
        <v>1.5286</v>
      </c>
      <c r="M9" s="176">
        <v>1.5073000000000001</v>
      </c>
      <c r="N9" s="176">
        <v>1.5082</v>
      </c>
      <c r="O9" s="176">
        <v>1.4694</v>
      </c>
      <c r="P9" s="176">
        <v>2.9813000000000001</v>
      </c>
      <c r="Q9" s="176">
        <v>3.5937999999999999</v>
      </c>
      <c r="R9" s="176">
        <v>3.5146999999999999</v>
      </c>
      <c r="S9" s="176">
        <v>4.6020000000000003</v>
      </c>
      <c r="T9" s="176">
        <v>2.8161999999999998</v>
      </c>
      <c r="U9" s="176">
        <v>2.8003</v>
      </c>
      <c r="V9" s="176">
        <v>1.9162999999999999</v>
      </c>
      <c r="W9" s="176">
        <v>1.8960999999999999</v>
      </c>
      <c r="X9" s="176">
        <v>1.8037000000000001</v>
      </c>
      <c r="Y9" s="176">
        <v>2.4119999999999999</v>
      </c>
      <c r="Z9" s="176">
        <v>1.5233691336999999</v>
      </c>
      <c r="AA9" s="176">
        <v>1.2379311929000001</v>
      </c>
      <c r="AB9" s="176">
        <v>1.6617</v>
      </c>
      <c r="AC9" s="176">
        <v>3.0531528063</v>
      </c>
      <c r="AD9" s="176">
        <v>1.7012</v>
      </c>
      <c r="AE9" s="176">
        <v>1.8687</v>
      </c>
      <c r="AF9" s="176">
        <v>3.6611717543000002</v>
      </c>
      <c r="AG9" s="176">
        <v>1.7716423629</v>
      </c>
      <c r="AH9" s="176">
        <v>4.5573964353000003</v>
      </c>
      <c r="AI9" s="176">
        <v>4.8720013598999996</v>
      </c>
      <c r="AJ9" s="176">
        <v>2.0128506348999999</v>
      </c>
      <c r="AK9" s="176">
        <v>1.7305371768</v>
      </c>
      <c r="AL9" s="176">
        <v>1.9232</v>
      </c>
    </row>
    <row r="10" spans="1:38">
      <c r="A10" s="173">
        <v>46282</v>
      </c>
      <c r="B10" s="175">
        <v>3.2322000000000002</v>
      </c>
      <c r="C10" s="175">
        <v>1.3213371816999999</v>
      </c>
      <c r="D10" s="175">
        <v>4.6349999999999998</v>
      </c>
      <c r="E10" s="175">
        <v>1.8714</v>
      </c>
      <c r="F10" s="175">
        <v>1.8169999999999999</v>
      </c>
      <c r="G10" s="176">
        <v>3.8973</v>
      </c>
      <c r="H10" s="176">
        <v>3.8123</v>
      </c>
      <c r="I10" s="176">
        <v>2.3403999999999998</v>
      </c>
      <c r="J10" s="176">
        <v>3.0727000000000002</v>
      </c>
      <c r="K10" s="176">
        <v>3.0434000000000001</v>
      </c>
      <c r="L10" s="176">
        <v>1.5293000000000001</v>
      </c>
      <c r="M10" s="176">
        <v>1.508</v>
      </c>
      <c r="N10" s="176">
        <v>1.5041</v>
      </c>
      <c r="O10" s="176">
        <v>1.4653</v>
      </c>
      <c r="P10" s="176">
        <v>2.9897</v>
      </c>
      <c r="Q10" s="176">
        <v>3.6055000000000001</v>
      </c>
      <c r="R10" s="176">
        <v>3.5261</v>
      </c>
      <c r="S10" s="176">
        <v>4.585</v>
      </c>
      <c r="T10" s="176">
        <v>2.8195999999999999</v>
      </c>
      <c r="U10" s="176">
        <v>2.8037000000000001</v>
      </c>
      <c r="V10" s="176">
        <v>1.9186000000000001</v>
      </c>
      <c r="W10" s="176">
        <v>1.8983000000000001</v>
      </c>
      <c r="X10" s="176">
        <v>1.804</v>
      </c>
      <c r="Y10" s="176">
        <v>2.4350000000000001</v>
      </c>
      <c r="Z10" s="176">
        <v>1.5234792912999999</v>
      </c>
      <c r="AA10" s="176">
        <v>1.2381680042000001</v>
      </c>
      <c r="AB10" s="176">
        <v>1.6559999999999999</v>
      </c>
      <c r="AC10" s="176">
        <v>3.045045913</v>
      </c>
      <c r="AD10" s="176">
        <v>1.6972</v>
      </c>
      <c r="AE10" s="176">
        <v>1.8667</v>
      </c>
      <c r="AF10" s="176">
        <v>3.6207340034</v>
      </c>
      <c r="AG10" s="176">
        <v>1.7648781435000001</v>
      </c>
      <c r="AH10" s="176">
        <v>4.5629431425</v>
      </c>
      <c r="AI10" s="176">
        <v>4.8800757336</v>
      </c>
      <c r="AJ10" s="176">
        <v>2.0055675375000002</v>
      </c>
      <c r="AK10" s="176">
        <v>1.7271551571999999</v>
      </c>
      <c r="AL10" s="176">
        <v>1.9181999999999999</v>
      </c>
    </row>
    <row r="11" spans="1:38">
      <c r="A11" s="173">
        <v>46283</v>
      </c>
      <c r="B11" s="175">
        <v>0</v>
      </c>
      <c r="C11" s="175">
        <v>0</v>
      </c>
      <c r="D11" s="175">
        <v>0</v>
      </c>
      <c r="E11" s="175">
        <v>0</v>
      </c>
      <c r="F11" s="175">
        <v>0</v>
      </c>
      <c r="G11" s="176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  <c r="O11" s="176">
        <v>0</v>
      </c>
      <c r="P11" s="176">
        <v>0</v>
      </c>
      <c r="Q11" s="176">
        <v>0</v>
      </c>
      <c r="R11" s="176">
        <v>0</v>
      </c>
      <c r="S11" s="176">
        <v>0</v>
      </c>
      <c r="T11" s="176">
        <v>0</v>
      </c>
      <c r="U11" s="176">
        <v>0</v>
      </c>
      <c r="V11" s="176">
        <v>0</v>
      </c>
      <c r="W11" s="176">
        <v>0</v>
      </c>
      <c r="X11" s="176">
        <v>0</v>
      </c>
      <c r="Y11" s="176">
        <v>0</v>
      </c>
      <c r="Z11" s="176">
        <v>0</v>
      </c>
      <c r="AA11" s="176">
        <v>0</v>
      </c>
      <c r="AB11" s="176">
        <v>0</v>
      </c>
      <c r="AC11" s="176">
        <v>0</v>
      </c>
      <c r="AD11" s="176">
        <v>0</v>
      </c>
      <c r="AE11" s="176">
        <v>0</v>
      </c>
      <c r="AF11" s="176">
        <v>0</v>
      </c>
      <c r="AG11" s="176">
        <v>0</v>
      </c>
      <c r="AH11" s="176">
        <v>0</v>
      </c>
      <c r="AI11" s="176">
        <v>0</v>
      </c>
      <c r="AJ11" s="176">
        <v>0</v>
      </c>
      <c r="AK11" s="176">
        <v>0</v>
      </c>
      <c r="AL11" s="176">
        <v>0</v>
      </c>
    </row>
    <row r="12" spans="1:38">
      <c r="A12" s="173"/>
      <c r="B12" s="175"/>
      <c r="C12" s="175"/>
      <c r="D12" s="175"/>
      <c r="E12" s="175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</row>
    <row r="13" spans="1:38">
      <c r="A13" s="173"/>
      <c r="B13" s="175"/>
      <c r="C13" s="175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 spans="1:38">
      <c r="A14" s="173"/>
      <c r="B14" s="175"/>
      <c r="C14" s="175"/>
      <c r="D14" s="175"/>
      <c r="E14" s="175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spans="1:38">
      <c r="A15" s="173"/>
      <c r="B15" s="175"/>
      <c r="C15" s="175"/>
      <c r="D15" s="175"/>
      <c r="E15" s="175"/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spans="1:38">
      <c r="A16" s="173"/>
      <c r="B16" s="175"/>
      <c r="C16" s="175"/>
      <c r="D16" s="175"/>
      <c r="E16" s="175"/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 spans="1:25">
      <c r="A17" s="173"/>
      <c r="B17" s="175"/>
      <c r="C17" s="175"/>
      <c r="D17" s="175"/>
      <c r="E17" s="175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 spans="1:25">
      <c r="A18" s="173"/>
      <c r="B18" s="175"/>
      <c r="C18" s="175"/>
      <c r="D18" s="175"/>
      <c r="E18" s="175"/>
      <c r="F18" s="17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 spans="1:25">
      <c r="A19" s="173"/>
      <c r="B19" s="175"/>
      <c r="C19" s="175"/>
      <c r="D19" s="175"/>
      <c r="E19" s="175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spans="1:25">
      <c r="A20" s="173"/>
      <c r="B20" s="175"/>
      <c r="C20" s="175"/>
      <c r="D20" s="175"/>
      <c r="E20" s="175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>
      <c r="A21" s="173"/>
      <c r="B21" s="175"/>
      <c r="C21" s="175"/>
      <c r="D21" s="175"/>
      <c r="E21" s="175"/>
      <c r="F21" s="17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spans="1:25">
      <c r="A22" s="173"/>
      <c r="B22" s="175"/>
      <c r="C22" s="175"/>
      <c r="D22" s="175"/>
      <c r="E22" s="175"/>
      <c r="F22" s="17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spans="1:25">
      <c r="A23" s="173"/>
      <c r="B23" s="175"/>
      <c r="C23" s="175"/>
      <c r="D23" s="175"/>
      <c r="E23" s="175"/>
      <c r="F23" s="17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 spans="1:25">
      <c r="A24" s="173"/>
      <c r="B24" s="175"/>
      <c r="C24" s="175"/>
      <c r="D24" s="175"/>
      <c r="E24" s="175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</row>
    <row r="25" spans="1:25">
      <c r="A25" s="173"/>
      <c r="B25" s="175"/>
      <c r="C25" s="175"/>
      <c r="D25" s="175"/>
      <c r="E25" s="175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</row>
    <row r="26" spans="1:25">
      <c r="A26" s="173"/>
      <c r="B26" s="175"/>
      <c r="C26" s="175"/>
      <c r="D26" s="175"/>
      <c r="E26" s="175"/>
      <c r="F26" s="175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spans="1:25">
      <c r="A27" s="173"/>
      <c r="B27" s="175"/>
      <c r="C27" s="175"/>
      <c r="D27" s="175"/>
      <c r="E27" s="175"/>
      <c r="F27" s="175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spans="1:25">
      <c r="A28" s="173"/>
      <c r="B28" s="175"/>
      <c r="C28" s="175"/>
      <c r="D28" s="175"/>
      <c r="E28" s="175"/>
      <c r="F28" s="17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spans="1:25">
      <c r="A29" s="173"/>
      <c r="B29" s="175"/>
      <c r="C29" s="175"/>
      <c r="D29" s="175"/>
      <c r="E29" s="175"/>
      <c r="F29" s="17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 spans="1:25">
      <c r="A30" s="173"/>
      <c r="B30" s="175"/>
      <c r="C30" s="175"/>
      <c r="D30" s="175"/>
      <c r="E30" s="175"/>
      <c r="F30" s="175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 spans="1:25">
      <c r="A31" s="173"/>
      <c r="B31" s="175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 spans="1:25">
      <c r="A32" s="173"/>
      <c r="B32" s="175"/>
      <c r="C32" s="175"/>
      <c r="D32" s="175"/>
      <c r="E32" s="175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</row>
    <row r="33" spans="1:25">
      <c r="A33" s="173"/>
      <c r="B33" s="175"/>
      <c r="C33" s="175"/>
      <c r="D33" s="175"/>
      <c r="E33" s="175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spans="1:25">
      <c r="A34" s="173"/>
      <c r="B34" s="175"/>
      <c r="C34" s="175"/>
      <c r="D34" s="175"/>
      <c r="E34" s="175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spans="1:25" ht="14.5">
      <c r="A35" s="173"/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89"/>
      <c r="T35" s="189"/>
      <c r="U35" s="176"/>
      <c r="V35" s="176"/>
      <c r="W35" s="176"/>
      <c r="X35" s="176"/>
      <c r="Y35" s="176"/>
    </row>
    <row r="36" spans="1:25" ht="14.5">
      <c r="A36" s="173"/>
      <c r="B36" s="175"/>
      <c r="C36" s="175"/>
      <c r="D36" s="175"/>
      <c r="E36" s="175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89"/>
      <c r="T36" s="190"/>
      <c r="U36" s="176"/>
      <c r="V36" s="176"/>
      <c r="W36" s="176"/>
      <c r="X36" s="176"/>
      <c r="Y36" s="176"/>
    </row>
    <row r="37" spans="1:25" ht="14.5">
      <c r="A37" s="173"/>
      <c r="B37" s="175"/>
      <c r="C37" s="175"/>
      <c r="D37" s="175"/>
      <c r="E37" s="175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89"/>
      <c r="T37" s="190"/>
      <c r="U37" s="176"/>
      <c r="V37" s="176"/>
      <c r="W37" s="176"/>
      <c r="X37" s="176"/>
      <c r="Y37" s="176"/>
    </row>
    <row r="38" spans="1:25" ht="14.5">
      <c r="A38" s="173"/>
      <c r="B38" s="175"/>
      <c r="C38" s="175"/>
      <c r="D38" s="175"/>
      <c r="E38" s="175"/>
      <c r="F38" s="175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89"/>
      <c r="T38" s="190"/>
      <c r="U38" s="176"/>
      <c r="V38" s="176"/>
      <c r="W38" s="176"/>
      <c r="X38" s="176"/>
      <c r="Y38" s="176"/>
    </row>
    <row r="39" spans="1:25" ht="14.5">
      <c r="A39" s="173"/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89"/>
      <c r="T39" s="190"/>
      <c r="U39" s="176"/>
      <c r="V39" s="176"/>
      <c r="W39" s="176"/>
      <c r="X39" s="176"/>
      <c r="Y39" s="176"/>
    </row>
    <row r="40" spans="1:25" ht="14.5">
      <c r="A40" s="173"/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89"/>
      <c r="T40" s="190"/>
      <c r="U40" s="176"/>
      <c r="V40" s="176"/>
      <c r="W40" s="176"/>
      <c r="X40" s="176"/>
      <c r="Y40" s="176"/>
    </row>
    <row r="41" spans="1:25" ht="14.5">
      <c r="A41" s="173"/>
      <c r="B41" s="175"/>
      <c r="C41" s="175"/>
      <c r="D41" s="175"/>
      <c r="E41" s="175"/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89"/>
      <c r="T41" s="190"/>
      <c r="U41" s="176"/>
      <c r="V41" s="176"/>
      <c r="W41" s="176"/>
      <c r="X41" s="176"/>
      <c r="Y41" s="176"/>
    </row>
    <row r="42" spans="1:25" ht="14.5">
      <c r="A42" s="173"/>
      <c r="B42" s="175"/>
      <c r="C42" s="175"/>
      <c r="D42" s="175"/>
      <c r="E42" s="175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89"/>
      <c r="T42" s="190"/>
      <c r="U42" s="176"/>
      <c r="V42" s="176"/>
      <c r="W42" s="176"/>
      <c r="X42" s="176"/>
      <c r="Y42" s="176"/>
    </row>
    <row r="43" spans="1:25" ht="14.5">
      <c r="A43" s="173"/>
      <c r="B43" s="175"/>
      <c r="C43" s="175"/>
      <c r="D43" s="175"/>
      <c r="E43" s="175"/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89"/>
      <c r="T43" s="190"/>
      <c r="U43" s="176"/>
      <c r="V43" s="176"/>
      <c r="W43" s="176"/>
      <c r="X43" s="176"/>
      <c r="Y43" s="176"/>
    </row>
    <row r="44" spans="1:25" ht="14.5">
      <c r="A44" s="173"/>
      <c r="B44" s="175"/>
      <c r="C44" s="175"/>
      <c r="D44" s="175"/>
      <c r="E44" s="175"/>
      <c r="F44" s="175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89"/>
      <c r="T44" s="190"/>
      <c r="U44" s="176"/>
      <c r="V44" s="176"/>
      <c r="W44" s="176"/>
      <c r="X44" s="176"/>
      <c r="Y44" s="176"/>
    </row>
    <row r="45" spans="1:25" ht="14.5">
      <c r="A45" s="173"/>
      <c r="B45" s="175"/>
      <c r="C45" s="175"/>
      <c r="D45" s="175"/>
      <c r="E45" s="175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89"/>
      <c r="T45" s="190"/>
      <c r="U45" s="176"/>
      <c r="V45" s="176"/>
      <c r="W45" s="176"/>
      <c r="X45" s="176"/>
      <c r="Y45" s="176"/>
    </row>
    <row r="46" spans="1:25" ht="14.5">
      <c r="A46" s="173"/>
      <c r="B46" s="175"/>
      <c r="C46" s="175"/>
      <c r="D46" s="175"/>
      <c r="E46" s="175"/>
      <c r="F46" s="175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89"/>
      <c r="T46" s="190"/>
      <c r="U46" s="176"/>
      <c r="V46" s="176"/>
      <c r="W46" s="176"/>
      <c r="X46" s="176"/>
      <c r="Y46" s="176"/>
    </row>
    <row r="47" spans="1:25" ht="14.5">
      <c r="A47" s="173"/>
      <c r="B47" s="175"/>
      <c r="C47" s="175"/>
      <c r="D47" s="175"/>
      <c r="E47" s="175"/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89"/>
      <c r="T47" s="190"/>
      <c r="U47" s="176"/>
      <c r="V47" s="176"/>
      <c r="W47" s="176"/>
      <c r="X47" s="176"/>
      <c r="Y47" s="176"/>
    </row>
    <row r="48" spans="1:25" ht="14.5">
      <c r="A48" s="173"/>
      <c r="B48" s="175"/>
      <c r="C48" s="175"/>
      <c r="D48" s="175"/>
      <c r="E48" s="175"/>
      <c r="F48" s="175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89"/>
      <c r="T48" s="190"/>
      <c r="U48" s="176"/>
      <c r="V48" s="176"/>
      <c r="W48" s="176"/>
      <c r="X48" s="176"/>
      <c r="Y48" s="176"/>
    </row>
    <row r="49" spans="1:25" ht="14.5">
      <c r="A49" s="173"/>
      <c r="B49" s="175"/>
      <c r="C49" s="175"/>
      <c r="D49" s="175"/>
      <c r="E49" s="175"/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89"/>
      <c r="T49" s="190"/>
      <c r="U49" s="176"/>
      <c r="V49" s="176"/>
      <c r="W49" s="176"/>
      <c r="X49" s="176"/>
      <c r="Y49" s="176"/>
    </row>
    <row r="50" spans="1:25" ht="14.5">
      <c r="A50" s="173"/>
      <c r="B50" s="175"/>
      <c r="C50" s="175"/>
      <c r="D50" s="175"/>
      <c r="E50" s="175"/>
      <c r="F50" s="175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89"/>
      <c r="T50" s="190"/>
      <c r="U50" s="176"/>
      <c r="V50" s="176"/>
      <c r="W50" s="176"/>
      <c r="X50" s="176"/>
      <c r="Y50" s="176"/>
    </row>
    <row r="51" spans="1:25" ht="14.5">
      <c r="A51" s="173"/>
      <c r="B51" s="175"/>
      <c r="C51" s="175"/>
      <c r="D51" s="175"/>
      <c r="E51" s="175"/>
      <c r="F51" s="17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89"/>
      <c r="T51" s="190"/>
      <c r="U51" s="176"/>
      <c r="V51" s="176"/>
      <c r="W51" s="176"/>
      <c r="X51" s="176"/>
      <c r="Y51" s="176"/>
    </row>
    <row r="52" spans="1:25" ht="14.5">
      <c r="A52" s="173"/>
      <c r="B52" s="175"/>
      <c r="C52" s="175"/>
      <c r="D52" s="175"/>
      <c r="E52" s="175"/>
      <c r="F52" s="175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89"/>
      <c r="T52" s="190"/>
      <c r="U52" s="176"/>
      <c r="V52" s="176"/>
      <c r="W52" s="176"/>
      <c r="X52" s="176"/>
      <c r="Y52" s="176"/>
    </row>
    <row r="53" spans="1:25" ht="14.5">
      <c r="A53" s="173"/>
      <c r="B53" s="175"/>
      <c r="C53" s="175"/>
      <c r="D53" s="175"/>
      <c r="E53" s="175"/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89"/>
      <c r="T53" s="190"/>
      <c r="U53" s="176"/>
      <c r="V53" s="176"/>
      <c r="W53" s="176"/>
      <c r="X53" s="176"/>
      <c r="Y53" s="176"/>
    </row>
    <row r="54" spans="1:25" ht="14.5">
      <c r="A54" s="173"/>
      <c r="B54" s="175"/>
      <c r="C54" s="175"/>
      <c r="D54" s="175"/>
      <c r="E54" s="175"/>
      <c r="F54" s="175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89"/>
      <c r="T54" s="190"/>
      <c r="U54" s="176"/>
      <c r="V54" s="176"/>
      <c r="W54" s="176"/>
      <c r="X54" s="176"/>
      <c r="Y54" s="176"/>
    </row>
    <row r="55" spans="1:25" ht="14.5">
      <c r="A55" s="173"/>
      <c r="B55" s="175"/>
      <c r="C55" s="175"/>
      <c r="D55" s="175"/>
      <c r="E55" s="175"/>
      <c r="F55" s="17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89"/>
      <c r="T55" s="190"/>
      <c r="U55" s="176"/>
      <c r="V55" s="176"/>
      <c r="W55" s="176"/>
      <c r="X55" s="176"/>
      <c r="Y55" s="176"/>
    </row>
    <row r="56" spans="1:25" ht="14.5">
      <c r="A56" s="173"/>
      <c r="B56" s="175"/>
      <c r="C56" s="175"/>
      <c r="D56" s="175"/>
      <c r="E56" s="175"/>
      <c r="F56" s="175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89"/>
      <c r="T56" s="190"/>
      <c r="U56" s="176"/>
      <c r="V56" s="176"/>
      <c r="W56" s="176"/>
      <c r="X56" s="176"/>
      <c r="Y56" s="176"/>
    </row>
    <row r="57" spans="1:25" ht="14.5">
      <c r="A57" s="173"/>
      <c r="B57" s="175"/>
      <c r="C57" s="175"/>
      <c r="D57" s="175"/>
      <c r="E57" s="175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89"/>
      <c r="T57" s="190"/>
      <c r="U57" s="176"/>
      <c r="V57" s="176"/>
      <c r="W57" s="176"/>
      <c r="X57" s="176"/>
      <c r="Y57" s="176"/>
    </row>
    <row r="58" spans="1:25" ht="14.5">
      <c r="A58" s="173"/>
      <c r="B58" s="175"/>
      <c r="C58" s="175"/>
      <c r="D58" s="175"/>
      <c r="E58" s="175"/>
      <c r="F58" s="175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89"/>
      <c r="T58" s="190"/>
      <c r="U58" s="176"/>
      <c r="V58" s="176"/>
      <c r="W58" s="176"/>
      <c r="X58" s="176"/>
      <c r="Y58" s="176"/>
    </row>
    <row r="59" spans="1:25" ht="14.5">
      <c r="A59" s="173"/>
      <c r="B59" s="175"/>
      <c r="C59" s="175"/>
      <c r="D59" s="175"/>
      <c r="E59" s="175"/>
      <c r="F59" s="175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89"/>
      <c r="T59" s="190"/>
      <c r="U59" s="176"/>
      <c r="V59" s="176"/>
      <c r="W59" s="176"/>
      <c r="X59" s="176"/>
      <c r="Y59" s="176"/>
    </row>
    <row r="60" spans="1:25">
      <c r="A60" s="173"/>
      <c r="B60" s="175"/>
      <c r="C60" s="175"/>
      <c r="D60" s="175"/>
      <c r="E60" s="175"/>
      <c r="F60" s="175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25">
      <c r="A61" s="173"/>
      <c r="B61" s="175"/>
      <c r="C61" s="175"/>
      <c r="D61" s="175"/>
      <c r="E61" s="175"/>
      <c r="F61" s="175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</row>
    <row r="62" spans="1:25">
      <c r="A62" s="173"/>
      <c r="B62" s="175"/>
      <c r="C62" s="175"/>
      <c r="D62" s="175"/>
      <c r="E62" s="175"/>
      <c r="F62" s="175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spans="1:25">
      <c r="A63" s="173"/>
      <c r="B63" s="175"/>
      <c r="C63" s="175"/>
      <c r="D63" s="175"/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</row>
    <row r="64" spans="1:25">
      <c r="A64" s="91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>
      <c r="A65" s="91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>
      <c r="A66" s="91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>
      <c r="A67" s="91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</row>
    <row r="68" spans="1:25">
      <c r="A68" s="91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>
      <c r="A69" s="91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>
      <c r="A70" s="91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>
      <c r="A71" s="91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</row>
    <row r="72" spans="1:25">
      <c r="A72" s="91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5">
      <c r="A73" s="91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5">
      <c r="A74" s="91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5">
      <c r="A75" s="91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</row>
    <row r="76" spans="1:25">
      <c r="A76" s="91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</row>
    <row r="77" spans="1:25">
      <c r="A77" s="91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</row>
    <row r="78" spans="1:25">
      <c r="A78" s="91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</row>
    <row r="79" spans="1:25">
      <c r="A79" s="91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</row>
    <row r="80" spans="1:25">
      <c r="A80" s="91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</row>
    <row r="81" spans="1:25">
      <c r="A81" s="91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</row>
    <row r="82" spans="1:25">
      <c r="A82" s="91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</row>
    <row r="83" spans="1:25">
      <c r="A83" s="91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</row>
    <row r="84" spans="1:25">
      <c r="A84" s="91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</row>
    <row r="85" spans="1:25">
      <c r="A85" s="91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</row>
    <row r="86" spans="1:25">
      <c r="A86" s="91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>
      <c r="A87" s="91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>
      <c r="A88" s="91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</row>
    <row r="89" spans="1:25">
      <c r="A89" s="91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</row>
    <row r="90" spans="1:25">
      <c r="A90" s="91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</row>
    <row r="91" spans="1:25">
      <c r="A91" s="91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</row>
    <row r="92" spans="1:25">
      <c r="A92" s="91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</row>
    <row r="93" spans="1:25">
      <c r="A93" s="91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>
      <c r="A94" s="91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>
      <c r="A95" s="91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>
      <c r="A96" s="91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>
      <c r="A97" s="91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>
      <c r="A98" s="91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>
      <c r="A99" s="91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>
      <c r="A100" s="91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</row>
    <row r="101" spans="1:25">
      <c r="A101" s="91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91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91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91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91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91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91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91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91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91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91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91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91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91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91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91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91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91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91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91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91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91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91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91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91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91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91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91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91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91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91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91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91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91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91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91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91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91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91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91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91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91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91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91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91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91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91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91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91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91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91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91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91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91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91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91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91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91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91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  <row r="160" spans="1:25">
      <c r="A160" s="91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</row>
    <row r="161" spans="1:25">
      <c r="A161" s="91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</row>
    <row r="162" spans="1:25">
      <c r="A162" s="91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</row>
    <row r="163" spans="1:25">
      <c r="A163" s="91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</row>
    <row r="164" spans="1:25">
      <c r="A164" s="91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</row>
    <row r="165" spans="1:25">
      <c r="A165" s="91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</row>
    <row r="166" spans="1:25">
      <c r="A166" s="91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</row>
    <row r="167" spans="1:25">
      <c r="A167" s="91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</row>
    <row r="168" spans="1:25">
      <c r="A168" s="91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</row>
    <row r="169" spans="1:25">
      <c r="A169" s="91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</row>
    <row r="170" spans="1:25">
      <c r="A170" s="91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</row>
    <row r="171" spans="1:25">
      <c r="A171" s="91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</row>
    <row r="172" spans="1:25">
      <c r="A172" s="91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</row>
    <row r="173" spans="1:25">
      <c r="A173" s="91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</row>
    <row r="174" spans="1:25">
      <c r="A174" s="91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</row>
    <row r="175" spans="1:25">
      <c r="A175" s="91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</row>
    <row r="176" spans="1:25">
      <c r="A176" s="91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</row>
    <row r="177" spans="1:25">
      <c r="A177" s="91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</row>
    <row r="178" spans="1:25">
      <c r="A178" s="91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</row>
    <row r="179" spans="1:25">
      <c r="A179" s="91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</row>
    <row r="180" spans="1:25">
      <c r="A180" s="91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</row>
    <row r="181" spans="1:25">
      <c r="A181" s="91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</row>
    <row r="182" spans="1:25">
      <c r="A182" s="91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</row>
    <row r="183" spans="1:25">
      <c r="A183" s="91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</row>
    <row r="184" spans="1:25">
      <c r="A184" s="91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</row>
    <row r="185" spans="1:25">
      <c r="A185" s="91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</row>
    <row r="186" spans="1:25">
      <c r="A186" s="91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</row>
    <row r="187" spans="1:25">
      <c r="A187" s="91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</row>
    <row r="188" spans="1:25">
      <c r="A188" s="91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</row>
    <row r="189" spans="1:25">
      <c r="A189" s="91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</row>
    <row r="190" spans="1:25">
      <c r="A190" s="91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</row>
    <row r="191" spans="1:25">
      <c r="A191" s="91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</row>
    <row r="192" spans="1:25">
      <c r="A192" s="91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</row>
    <row r="193" spans="1:25">
      <c r="A193" s="91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</row>
    <row r="194" spans="1:25">
      <c r="A194" s="91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</row>
    <row r="195" spans="1:25">
      <c r="A195" s="91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</row>
    <row r="196" spans="1:25">
      <c r="A196" s="91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</row>
    <row r="197" spans="1:25">
      <c r="A197" s="91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</row>
    <row r="198" spans="1:25">
      <c r="A198" s="91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</row>
    <row r="199" spans="1:25">
      <c r="A199" s="91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</row>
    <row r="200" spans="1:25">
      <c r="A200" s="91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</row>
    <row r="201" spans="1:25">
      <c r="A201" s="91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</row>
    <row r="202" spans="1:25">
      <c r="A202" s="91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</row>
    <row r="203" spans="1:25">
      <c r="A203" s="91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</row>
    <row r="204" spans="1:25">
      <c r="A204" s="91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</row>
    <row r="205" spans="1:25">
      <c r="A205" s="91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</row>
    <row r="206" spans="1:25">
      <c r="A206" s="91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</row>
    <row r="207" spans="1:25">
      <c r="A207" s="91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</row>
    <row r="208" spans="1:25">
      <c r="A208" s="91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</row>
    <row r="209" spans="1:25">
      <c r="A209" s="91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</row>
    <row r="210" spans="1:25">
      <c r="A210" s="91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</row>
    <row r="211" spans="1:25">
      <c r="A211" s="91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</row>
    <row r="212" spans="1:25">
      <c r="A212" s="91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</row>
    <row r="213" spans="1:25">
      <c r="A213" s="91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</row>
    <row r="214" spans="1:25">
      <c r="A214" s="91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</row>
    <row r="215" spans="1:25">
      <c r="A215" s="91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</row>
    <row r="216" spans="1:25">
      <c r="A216" s="91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</row>
    <row r="217" spans="1:25">
      <c r="A217" s="91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</row>
    <row r="218" spans="1:25">
      <c r="A218" s="91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</row>
    <row r="219" spans="1:25">
      <c r="A219" s="91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</row>
    <row r="220" spans="1:25">
      <c r="A220" s="91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</row>
    <row r="221" spans="1:25">
      <c r="A221" s="91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</row>
    <row r="222" spans="1:25">
      <c r="A222" s="91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</row>
    <row r="223" spans="1:25">
      <c r="A223" s="91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</row>
    <row r="224" spans="1:25">
      <c r="A224" s="91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</row>
    <row r="225" spans="1:25">
      <c r="A225" s="91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</row>
    <row r="226" spans="1:25">
      <c r="A226" s="91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</row>
    <row r="227" spans="1:25">
      <c r="A227" s="91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</row>
    <row r="228" spans="1:25">
      <c r="A228" s="91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</row>
    <row r="229" spans="1:25">
      <c r="A229" s="91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</row>
    <row r="230" spans="1:25">
      <c r="A230" s="91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</row>
    <row r="231" spans="1:25">
      <c r="A231" s="91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</row>
    <row r="232" spans="1:25">
      <c r="A232" s="91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</row>
    <row r="233" spans="1:25">
      <c r="A233" s="91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</row>
    <row r="234" spans="1:25">
      <c r="A234" s="91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</row>
    <row r="235" spans="1:25">
      <c r="A235" s="91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</row>
    <row r="236" spans="1:25">
      <c r="A236" s="91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</row>
    <row r="237" spans="1:25">
      <c r="A237" s="91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</row>
    <row r="238" spans="1:25">
      <c r="A238" s="91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</row>
    <row r="239" spans="1:25">
      <c r="A239" s="91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</row>
    <row r="240" spans="1:25">
      <c r="A240" s="91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</row>
    <row r="241" spans="1:25">
      <c r="A241" s="91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</row>
    <row r="242" spans="1:25">
      <c r="A242" s="91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</row>
    <row r="243" spans="1:25">
      <c r="A243" s="91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</row>
    <row r="244" spans="1:25">
      <c r="A244" s="91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</row>
    <row r="245" spans="1:25">
      <c r="A245" s="91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</row>
    <row r="246" spans="1:25">
      <c r="A246" s="91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</row>
    <row r="247" spans="1:25">
      <c r="A247" s="91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</row>
    <row r="248" spans="1:25">
      <c r="A248" s="91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 spans="1:25">
      <c r="A249" s="91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 spans="1:25">
      <c r="A250" s="91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</row>
    <row r="251" spans="1:25">
      <c r="A251" s="91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</row>
    <row r="252" spans="1:25">
      <c r="A252" s="91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 spans="1:25">
      <c r="A253" s="91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 spans="1:25">
      <c r="A254" s="91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 spans="1:25">
      <c r="A255" s="91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</row>
    <row r="256" spans="1:25">
      <c r="A256" s="91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</row>
    <row r="257" spans="1:25">
      <c r="A257" s="91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</row>
    <row r="258" spans="1:25">
      <c r="A258" s="91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</row>
    <row r="259" spans="1:25">
      <c r="A259" s="91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</row>
    <row r="260" spans="1:25">
      <c r="A260" s="91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</row>
    <row r="261" spans="1:25">
      <c r="A261" s="91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</row>
    <row r="262" spans="1:25">
      <c r="A262" s="91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</row>
    <row r="263" spans="1:25">
      <c r="A263" s="91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</row>
    <row r="264" spans="1:25">
      <c r="A264" s="91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</row>
    <row r="265" spans="1:25">
      <c r="A265" s="91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</row>
    <row r="266" spans="1:25">
      <c r="A266" s="91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</row>
    <row r="267" spans="1:25">
      <c r="A267" s="91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</row>
    <row r="268" spans="1:25">
      <c r="A268" s="91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</row>
    <row r="269" spans="1:25">
      <c r="A269" s="91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</row>
    <row r="270" spans="1:25">
      <c r="A270" s="91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</row>
    <row r="271" spans="1:25">
      <c r="A271" s="91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</row>
    <row r="272" spans="1:25">
      <c r="A272" s="91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</row>
    <row r="273" spans="1:25">
      <c r="A273" s="91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</row>
    <row r="274" spans="1:25">
      <c r="A274" s="91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</row>
    <row r="275" spans="1:25">
      <c r="A275" s="91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</row>
    <row r="276" spans="1:25">
      <c r="A276" s="91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</row>
    <row r="277" spans="1:25">
      <c r="A277" s="91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spans="1:25">
      <c r="A278" s="91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spans="1:25">
      <c r="A279" s="91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spans="1:25">
      <c r="A280" s="91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spans="1:25">
      <c r="A281" s="91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spans="1:25">
      <c r="A282" s="91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spans="1:25">
      <c r="A283" s="91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spans="1:25">
      <c r="A284" s="91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spans="1:25">
      <c r="A285" s="91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spans="1:25">
      <c r="A286" s="91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spans="1:25">
      <c r="A287" s="91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spans="1:25">
      <c r="A288" s="91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spans="1:25">
      <c r="A289" s="91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spans="1:25">
      <c r="A290" s="91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spans="1:25">
      <c r="A291" s="91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spans="1:25">
      <c r="A292" s="91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spans="1:25">
      <c r="A293" s="91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spans="1:25">
      <c r="A294" s="91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spans="1:25">
      <c r="A295" s="91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spans="1:25">
      <c r="A296" s="91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spans="1:25">
      <c r="A297" s="91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spans="1:25">
      <c r="A298" s="91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spans="1:25">
      <c r="A299" s="91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spans="1:25">
      <c r="A300" s="91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spans="1:25">
      <c r="A301" s="91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spans="1:25">
      <c r="A302" s="91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spans="1:25">
      <c r="A303" s="91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spans="1:25">
      <c r="A304" s="91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spans="1:25">
      <c r="A305" s="91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spans="1:25">
      <c r="A306" s="91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spans="1:25">
      <c r="A307" s="91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spans="1:25">
      <c r="A308" s="91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spans="1:25">
      <c r="A309" s="91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spans="1:25">
      <c r="A310" s="91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spans="1:25">
      <c r="A311" s="91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spans="1:25">
      <c r="A312" s="91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spans="1:25">
      <c r="A313" s="91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spans="1:25">
      <c r="A314" s="91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spans="1:25">
      <c r="A315" s="91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spans="1:25">
      <c r="A316" s="91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spans="1:25">
      <c r="A317" s="91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spans="1:25">
      <c r="A318" s="91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spans="1:25">
      <c r="A319" s="91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spans="1:25">
      <c r="A320" s="91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spans="1:25">
      <c r="A321" s="91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spans="1:25">
      <c r="A322" s="91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spans="1:25">
      <c r="A323" s="91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spans="1:25">
      <c r="A324" s="91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spans="1:25">
      <c r="A325" s="91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spans="1:25">
      <c r="A326" s="91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spans="1:25">
      <c r="A327" s="91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spans="1:25">
      <c r="A328" s="91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spans="1:25">
      <c r="A329" s="91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spans="1:25">
      <c r="A330" s="91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spans="1:25">
      <c r="A331" s="91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spans="1:25">
      <c r="A332" s="91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spans="1:25">
      <c r="A333" s="91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spans="1:25">
      <c r="A334" s="91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spans="1:25">
      <c r="A335" s="91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spans="1:25">
      <c r="A336" s="91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spans="1:25">
      <c r="A337" s="91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spans="1:25">
      <c r="A338" s="91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spans="1:25">
      <c r="A339" s="91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spans="1:25">
      <c r="A340" s="91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spans="1:25">
      <c r="A341" s="91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spans="1:25">
      <c r="A342" s="91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spans="1:25">
      <c r="A343" s="91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spans="1:25">
      <c r="A344" s="91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spans="1:25">
      <c r="A345" s="91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spans="1:25">
      <c r="A346" s="91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spans="1:25">
      <c r="A347" s="91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spans="1:25">
      <c r="A348" s="91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spans="1:25">
      <c r="A349" s="91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spans="1:25">
      <c r="A350" s="91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spans="1:25">
      <c r="A351" s="91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spans="1:25">
      <c r="A352" s="91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spans="1:25">
      <c r="A353" s="91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spans="1:25">
      <c r="A354" s="91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spans="1:25">
      <c r="A355" s="91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spans="1:25">
      <c r="A356" s="91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spans="1:25">
      <c r="A357" s="91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spans="1:25">
      <c r="A358" s="91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spans="1:25">
      <c r="A359" s="91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spans="1:25">
      <c r="A360" s="91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spans="1:25">
      <c r="A361" s="91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spans="1:25">
      <c r="A362" s="91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spans="1:25">
      <c r="A363" s="91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spans="1:25">
      <c r="A364" s="91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spans="1:25">
      <c r="A365" s="91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spans="1:25">
      <c r="A366" s="91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spans="1:25">
      <c r="A367" s="91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spans="1:25">
      <c r="A368" s="91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spans="1:25">
      <c r="A369" s="91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spans="1:25">
      <c r="A370" s="91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spans="1:25">
      <c r="A371" s="91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spans="1:25">
      <c r="A372" s="91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spans="1:25">
      <c r="A373" s="91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spans="1:25">
      <c r="A374" s="91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spans="1:25">
      <c r="A375" s="91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spans="1:25">
      <c r="A376" s="91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spans="1:25">
      <c r="A377" s="91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spans="1:25">
      <c r="A378" s="91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spans="1:25">
      <c r="A379" s="91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spans="1:25">
      <c r="A380" s="91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spans="1:25">
      <c r="A381" s="91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spans="1:25">
      <c r="A382" s="91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spans="1:25">
      <c r="A383" s="91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spans="1:25">
      <c r="A384" s="91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spans="1:25">
      <c r="A385" s="91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spans="1:25">
      <c r="A386" s="91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spans="1:25">
      <c r="A387" s="91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spans="1:25">
      <c r="A388" s="91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spans="1:25">
      <c r="A389" s="91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spans="1:25">
      <c r="A390" s="91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spans="1:25">
      <c r="A391" s="91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spans="1:25">
      <c r="A392" s="91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spans="1:25">
      <c r="A393" s="91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spans="1:25">
      <c r="A394" s="91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spans="1:25">
      <c r="A395" s="91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spans="1:25">
      <c r="A396" s="91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spans="1:25">
      <c r="A397" s="91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spans="1:25">
      <c r="A398" s="91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spans="1:25">
      <c r="A399" s="91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spans="1:25">
      <c r="A400" s="91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spans="1:25">
      <c r="A401" s="91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spans="1:25">
      <c r="A402" s="91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spans="1:25">
      <c r="A403" s="91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spans="1:25">
      <c r="A404" s="91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spans="1:25">
      <c r="A405" s="91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spans="1:25">
      <c r="A406" s="91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spans="1:25">
      <c r="A407" s="91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spans="1:25">
      <c r="A408" s="91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spans="1:25">
      <c r="A409" s="91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spans="1:25">
      <c r="A410" s="91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spans="1:25">
      <c r="A411" s="91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spans="1:25">
      <c r="A412" s="91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spans="1:25">
      <c r="A413" s="91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spans="1:25">
      <c r="A414" s="91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spans="1:25">
      <c r="A415" s="91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spans="1:25">
      <c r="A416" s="91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spans="1:25">
      <c r="A417" s="91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spans="1:25">
      <c r="A418" s="91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spans="1:25">
      <c r="A419" s="91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spans="1:25">
      <c r="A420" s="91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spans="1:25">
      <c r="A421" s="91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spans="1:25">
      <c r="A422" s="91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spans="1:25">
      <c r="A423" s="91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spans="1:25">
      <c r="A424" s="91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spans="1:25">
      <c r="A425" s="91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spans="1:25">
      <c r="A426" s="91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spans="1:25">
      <c r="A427" s="91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spans="1:25">
      <c r="A428" s="91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spans="1:25">
      <c r="A429" s="91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spans="1:25">
      <c r="A430" s="91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spans="1:25">
      <c r="A431" s="91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spans="1:25">
      <c r="A432" s="91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spans="1:25">
      <c r="A433" s="91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spans="1:25">
      <c r="A434" s="91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spans="1:25">
      <c r="A435" s="91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spans="1:25">
      <c r="A436" s="91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spans="1:25">
      <c r="A437" s="91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spans="1:25">
      <c r="A438" s="91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spans="1:25">
      <c r="A439" s="91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spans="1:25">
      <c r="A440" s="91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spans="1:25">
      <c r="A441" s="91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spans="1:25">
      <c r="A442" s="91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spans="1:25">
      <c r="A443" s="91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spans="1:25">
      <c r="A444" s="91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spans="1:25">
      <c r="A445" s="91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spans="1:25">
      <c r="A446" s="91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spans="1:25">
      <c r="A447" s="91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spans="1:25">
      <c r="A448" s="91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spans="1:25">
      <c r="A449" s="91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spans="1:25">
      <c r="A450" s="91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spans="1:25">
      <c r="A451" s="91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spans="1:25">
      <c r="A452" s="91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spans="1:25">
      <c r="A453" s="91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spans="1:25">
      <c r="A454" s="91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spans="1:25">
      <c r="A455" s="91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spans="1:25">
      <c r="A456" s="91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spans="1:25">
      <c r="A457" s="91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spans="1:25">
      <c r="A458" s="91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spans="1:25">
      <c r="A459" s="91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spans="1:25">
      <c r="A460" s="91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spans="1:25">
      <c r="A461" s="91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spans="1:25">
      <c r="A462" s="91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spans="1:25">
      <c r="A463" s="91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spans="1:25">
      <c r="A464" s="91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spans="1:25">
      <c r="A465" s="91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spans="1:25">
      <c r="A466" s="91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spans="1:25">
      <c r="A467" s="91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spans="1:25">
      <c r="A468" s="91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spans="1:25">
      <c r="A469" s="91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spans="1:25">
      <c r="A470" s="91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spans="1:25">
      <c r="A471" s="91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spans="1:25">
      <c r="A472" s="91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spans="1:25">
      <c r="A473" s="91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spans="1:25">
      <c r="A474" s="91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spans="1:25">
      <c r="A475" s="91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spans="1:25">
      <c r="A476" s="91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spans="1:25">
      <c r="A477" s="91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spans="1:25">
      <c r="A478" s="91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spans="1:25">
      <c r="A479" s="91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spans="1:25">
      <c r="A480" s="91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spans="1:25">
      <c r="A481" s="91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spans="1:25">
      <c r="A482" s="91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spans="1:25">
      <c r="A483" s="91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spans="1:25">
      <c r="A484" s="91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spans="1:25">
      <c r="A485" s="91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spans="1:25">
      <c r="A486" s="91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spans="1:25">
      <c r="A487" s="91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spans="1:25">
      <c r="A488" s="91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spans="1:25">
      <c r="A489" s="91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spans="1:25">
      <c r="A490" s="91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spans="1:25">
      <c r="A491" s="91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spans="1:25">
      <c r="A492" s="91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spans="1:25">
      <c r="A493" s="91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spans="1:25">
      <c r="A494" s="91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spans="1:25">
      <c r="A495" s="91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spans="1:25">
      <c r="A496" s="91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spans="1:25">
      <c r="A497" s="91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spans="1:25">
      <c r="A498" s="91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spans="1:25">
      <c r="A499" s="91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spans="1:25">
      <c r="A500" s="91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spans="1:25">
      <c r="A501" s="91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spans="1:25">
      <c r="A502" s="91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spans="1:25">
      <c r="A503" s="91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spans="1:25">
      <c r="A504" s="91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spans="1:25">
      <c r="A505" s="91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spans="1:25">
      <c r="A506" s="91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spans="1:25">
      <c r="A507" s="91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spans="1:25">
      <c r="A508" s="91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spans="1:25">
      <c r="A509" s="91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spans="1:25">
      <c r="A510" s="91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spans="1:25">
      <c r="A511" s="91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spans="1:25">
      <c r="A512" s="91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spans="1:25">
      <c r="A513" s="91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spans="1:25">
      <c r="A514" s="91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spans="1:25">
      <c r="A515" s="91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spans="1:25">
      <c r="A516" s="91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spans="1:25">
      <c r="A517" s="91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spans="1:25">
      <c r="A518" s="91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spans="1:25">
      <c r="A519" s="91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spans="1:25">
      <c r="A520" s="91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spans="1:25">
      <c r="A521" s="91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spans="1:25">
      <c r="A522" s="91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spans="1:25">
      <c r="A523" s="91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spans="1:25">
      <c r="A524" s="91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spans="1:25">
      <c r="A525" s="91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spans="1:25">
      <c r="A526" s="91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spans="1:25">
      <c r="A527" s="91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spans="1:25">
      <c r="A528" s="91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spans="1:25">
      <c r="A529" s="91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spans="1:25">
      <c r="A530" s="91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spans="1:25">
      <c r="A531" s="91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spans="1:25">
      <c r="A532" s="91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spans="1:25">
      <c r="A533" s="91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spans="1:25">
      <c r="A534" s="91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spans="1:25">
      <c r="A535" s="91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spans="1:25">
      <c r="A536" s="91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spans="1:25">
      <c r="A537" s="91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spans="1:25">
      <c r="A538" s="91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spans="1:25">
      <c r="A539" s="91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spans="1:25">
      <c r="A540" s="91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spans="1:25">
      <c r="A541" s="91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spans="1:25">
      <c r="A542" s="91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spans="1:25">
      <c r="A543" s="91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spans="1:25">
      <c r="A544" s="91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spans="1:25">
      <c r="A545" s="91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spans="1:25">
      <c r="A546" s="91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spans="1:25">
      <c r="A547" s="91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spans="1:25">
      <c r="A548" s="91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spans="1:25">
      <c r="A549" s="91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spans="1:25">
      <c r="A550" s="91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spans="1:25">
      <c r="A551" s="91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spans="1:25">
      <c r="A552" s="91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spans="1:25">
      <c r="A553" s="91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spans="1:25">
      <c r="A554" s="91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spans="1:25">
      <c r="A555" s="91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spans="1:25">
      <c r="A556" s="91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spans="1:25">
      <c r="A557" s="91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spans="1:25">
      <c r="A558" s="91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spans="1:25">
      <c r="A559" s="91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spans="1:25">
      <c r="A560" s="91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spans="1:25">
      <c r="A561" s="91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spans="1:25">
      <c r="A562" s="91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spans="1:25">
      <c r="A563" s="91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spans="1:25">
      <c r="A564" s="91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spans="1:25">
      <c r="A565" s="91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spans="1:25">
      <c r="A566" s="91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spans="1:25">
      <c r="A567" s="91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spans="1:25">
      <c r="A568" s="91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spans="1:25">
      <c r="A569" s="91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spans="1:25">
      <c r="A570" s="91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spans="1:25">
      <c r="A571" s="91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spans="1:25">
      <c r="A572" s="91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spans="1:25">
      <c r="A573" s="91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spans="1:25">
      <c r="A574" s="91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spans="1:25">
      <c r="A575" s="91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spans="1:25">
      <c r="A576" s="91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spans="1:25">
      <c r="A577" s="91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spans="1:25">
      <c r="A578" s="91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spans="1:25">
      <c r="A579" s="91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spans="1:25">
      <c r="A580" s="91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spans="1:25">
      <c r="A581" s="91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spans="1:25">
      <c r="A582" s="91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spans="1:25">
      <c r="A583" s="91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spans="1:25">
      <c r="A584" s="91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spans="1:25">
      <c r="A585" s="91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spans="1:25">
      <c r="A586" s="91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spans="1:25">
      <c r="A587" s="91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spans="1:25">
      <c r="A588" s="91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spans="1:25">
      <c r="A589" s="91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spans="1:25">
      <c r="A590" s="91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spans="1:25">
      <c r="A591" s="91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spans="1:25">
      <c r="A592" s="91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spans="1:25">
      <c r="A593" s="91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spans="1:25">
      <c r="A594" s="91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spans="1:25">
      <c r="A595" s="91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spans="1:25">
      <c r="A596" s="91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spans="1:25">
      <c r="A597" s="91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spans="1:25">
      <c r="A598" s="91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spans="1:25">
      <c r="A599" s="91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spans="1:25">
      <c r="A600" s="91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spans="1:25">
      <c r="A601" s="91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spans="1:25">
      <c r="A602" s="91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spans="1:25">
      <c r="A603" s="91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spans="1:25">
      <c r="A604" s="91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spans="1:25">
      <c r="A605" s="91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spans="1:25">
      <c r="A606" s="91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spans="1:25">
      <c r="A607" s="91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spans="1:25">
      <c r="A608" s="91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spans="1:25">
      <c r="A609" s="91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spans="1:25">
      <c r="A610" s="91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spans="1:25">
      <c r="A611" s="91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spans="1:25">
      <c r="A612" s="91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spans="1:25">
      <c r="A613" s="91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spans="1:25">
      <c r="A614" s="91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spans="1:25">
      <c r="A615" s="91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spans="1:25">
      <c r="A616" s="91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spans="1:25">
      <c r="A617" s="91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spans="1:25">
      <c r="A618" s="91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spans="1:25">
      <c r="A619" s="91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spans="1:25">
      <c r="A620" s="91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spans="1:25">
      <c r="A621" s="91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spans="1:25">
      <c r="A622" s="91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spans="1:25">
      <c r="A623" s="91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spans="1:25">
      <c r="A624" s="91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spans="1:25">
      <c r="A625" s="91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spans="1:25">
      <c r="A626" s="91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spans="1:25">
      <c r="A627" s="91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spans="1:25">
      <c r="A628" s="91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spans="1:25">
      <c r="A629" s="91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spans="1:25">
      <c r="A630" s="91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spans="1:25">
      <c r="A631" s="91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spans="1:25">
      <c r="A632" s="91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spans="1:25">
      <c r="A633" s="91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spans="1:25">
      <c r="A634" s="91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spans="1:25">
      <c r="A635" s="91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spans="1:25">
      <c r="A636" s="91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spans="1:25">
      <c r="A637" s="91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spans="1:25">
      <c r="A638" s="91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spans="1:25">
      <c r="A639" s="91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spans="1:25">
      <c r="A640" s="91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spans="1:25">
      <c r="A641" s="91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spans="1:25">
      <c r="A642" s="91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spans="1:25">
      <c r="A643" s="91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spans="1:25">
      <c r="A644" s="91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spans="1:25">
      <c r="A645" s="91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spans="1:25">
      <c r="A646" s="91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spans="1:25">
      <c r="A647" s="91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spans="1:25">
      <c r="A648" s="91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spans="1:25">
      <c r="A649" s="91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spans="1:25">
      <c r="A650" s="91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spans="1:25">
      <c r="A651" s="91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spans="1:25">
      <c r="A652" s="91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spans="1:25">
      <c r="A653" s="91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spans="1:25">
      <c r="A654" s="91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spans="1:25">
      <c r="A655" s="91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spans="1:25">
      <c r="A656" s="91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spans="1:25">
      <c r="A657" s="91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spans="1:25">
      <c r="A658" s="91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spans="1:25">
      <c r="A659" s="91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spans="1:25">
      <c r="A660" s="91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spans="1:25">
      <c r="A661" s="91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spans="1:25">
      <c r="A662" s="91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spans="1:25">
      <c r="A663" s="91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spans="1:25">
      <c r="A664" s="91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spans="1:25">
      <c r="A665" s="91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spans="1:25">
      <c r="A666" s="91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spans="1:25">
      <c r="A667" s="91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spans="1:25">
      <c r="A668" s="91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spans="1:25">
      <c r="A669" s="91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spans="1:25">
      <c r="A670" s="91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spans="1:25">
      <c r="A671" s="91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spans="1:25">
      <c r="A672" s="91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spans="1:25">
      <c r="A673" s="91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spans="1:25">
      <c r="A674" s="91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spans="1:25">
      <c r="A675" s="91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spans="1:25">
      <c r="A676" s="91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spans="1:25">
      <c r="A677" s="91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spans="1:25">
      <c r="A678" s="91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spans="1:25">
      <c r="A679" s="91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spans="1:25">
      <c r="A680" s="91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spans="1:25">
      <c r="A681" s="91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spans="1:25">
      <c r="A682" s="91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spans="1:25">
      <c r="A683" s="91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spans="1:25">
      <c r="A684" s="91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spans="1:25">
      <c r="A685" s="91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spans="1:25">
      <c r="A686" s="91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spans="1:25">
      <c r="A687" s="91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spans="1:25">
      <c r="A688" s="91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spans="1:25">
      <c r="A689" s="91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spans="1:25">
      <c r="A690" s="91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spans="1:25">
      <c r="A691" s="91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spans="1:25">
      <c r="A692" s="91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spans="1:25">
      <c r="A693" s="91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spans="1:25">
      <c r="A694" s="91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spans="1:25">
      <c r="A695" s="91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spans="1:25">
      <c r="A696" s="91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spans="1:25">
      <c r="A697" s="91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spans="1:25">
      <c r="A698" s="91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spans="1:25">
      <c r="A699" s="91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spans="1:25">
      <c r="A700" s="91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spans="1:25">
      <c r="A701" s="91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spans="1:25">
      <c r="A702" s="91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spans="1:25">
      <c r="A703" s="91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spans="1:25">
      <c r="A704" s="91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spans="1:25">
      <c r="A705" s="91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spans="1:25">
      <c r="A706" s="91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spans="1:25">
      <c r="A707" s="91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spans="1:25">
      <c r="A708" s="91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spans="1:25">
      <c r="A709" s="91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spans="1:25">
      <c r="A710" s="91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spans="1:25">
      <c r="A711" s="91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spans="1:25">
      <c r="A712" s="91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spans="1:25">
      <c r="A713" s="91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spans="1:25">
      <c r="A714" s="91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spans="1:25">
      <c r="A715" s="91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spans="1:25">
      <c r="A716" s="91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spans="1:25">
      <c r="A717" s="91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spans="1:25">
      <c r="A718" s="91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spans="1:25">
      <c r="A719" s="91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spans="1:25">
      <c r="A720" s="91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spans="1:25">
      <c r="A721" s="91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spans="1:25">
      <c r="A722" s="91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spans="1:25">
      <c r="A723" s="91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spans="1:25">
      <c r="A724" s="91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spans="1:25">
      <c r="A725" s="91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spans="1:25">
      <c r="A726" s="91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spans="1:25">
      <c r="A727" s="91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spans="1:25">
      <c r="A728" s="91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spans="1:25">
      <c r="A729" s="91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spans="1:25">
      <c r="A730" s="91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spans="1:25">
      <c r="A731" s="91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spans="1:25">
      <c r="A732" s="91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spans="1:25">
      <c r="A733" s="91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spans="1:25">
      <c r="A734" s="91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spans="1:25">
      <c r="A735" s="91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spans="1:25">
      <c r="A736" s="91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spans="1:25">
      <c r="A737" s="91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spans="1:25">
      <c r="A738" s="91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spans="1:25">
      <c r="A739" s="91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spans="1:25">
      <c r="A740" s="91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spans="1:25">
      <c r="A741" s="91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spans="1:25">
      <c r="A742" s="91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spans="1:25">
      <c r="A743" s="91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spans="1:25">
      <c r="A744" s="91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spans="1:25">
      <c r="A745" s="91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spans="1:25">
      <c r="A746" s="91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spans="1:25">
      <c r="A747" s="91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spans="1:25">
      <c r="A748" s="91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spans="1:25">
      <c r="A749" s="91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spans="1:25">
      <c r="A750" s="91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spans="1:25">
      <c r="A751" s="91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spans="1:25">
      <c r="A752" s="91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spans="1:25">
      <c r="A753" s="91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spans="1:25">
      <c r="A754" s="91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spans="1:25">
      <c r="A755" s="91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spans="1:25">
      <c r="A756" s="91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spans="1:25">
      <c r="A757" s="91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spans="1:25">
      <c r="A758" s="91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spans="1:25">
      <c r="A759" s="91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spans="1:25">
      <c r="A760" s="91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spans="1:25">
      <c r="A761" s="91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spans="1:25">
      <c r="A762" s="91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spans="1:25">
      <c r="A763" s="91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spans="1:25">
      <c r="A764" s="91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spans="1:25">
      <c r="A765" s="91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spans="1:25">
      <c r="A766" s="91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spans="1:25">
      <c r="A767" s="91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spans="1:25">
      <c r="A768" s="91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spans="1:25">
      <c r="A769" s="91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spans="1:25">
      <c r="A770" s="91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spans="1:25">
      <c r="A771" s="91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spans="1:25">
      <c r="A772" s="91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spans="1:25">
      <c r="A773" s="91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spans="1:25">
      <c r="A774" s="91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spans="1:25">
      <c r="A775" s="91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spans="1:25">
      <c r="A776" s="91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spans="1:25">
      <c r="A777" s="91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spans="1:25">
      <c r="A778" s="91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spans="1:25">
      <c r="A779" s="91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spans="1:25">
      <c r="A780" s="91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spans="1:25">
      <c r="A781" s="91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spans="1:25">
      <c r="A782" s="91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spans="1:25">
      <c r="A783" s="91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spans="1:25">
      <c r="A784" s="91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spans="1:25">
      <c r="A785" s="91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spans="1:25">
      <c r="A786" s="91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spans="1:25">
      <c r="A787" s="91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spans="1:25">
      <c r="A788" s="91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spans="1:25">
      <c r="A789" s="91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spans="1:25">
      <c r="A790" s="91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spans="1:25">
      <c r="A791" s="91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spans="1:25">
      <c r="A792" s="91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spans="1:25">
      <c r="A793" s="91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spans="1:25">
      <c r="A794" s="91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spans="1:25">
      <c r="A795" s="91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spans="1:25">
      <c r="A796" s="91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spans="1:25">
      <c r="A797" s="91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spans="1:25">
      <c r="A798" s="91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spans="1:25">
      <c r="A799" s="91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spans="1:25">
      <c r="A800" s="91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spans="1:25">
      <c r="A801" s="91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spans="1:25">
      <c r="A802" s="91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spans="1:25">
      <c r="A803" s="91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spans="1:25">
      <c r="A804" s="91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spans="1:25">
      <c r="A805" s="91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spans="1:25">
      <c r="A806" s="91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spans="1:25">
      <c r="A807" s="91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spans="1:25">
      <c r="A808" s="91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spans="1:25">
      <c r="A809" s="91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spans="1:25">
      <c r="A810" s="91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spans="1:25">
      <c r="A811" s="91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spans="1:25">
      <c r="A812" s="91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spans="1:25">
      <c r="A813" s="91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spans="1:25">
      <c r="A814" s="91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spans="1:25">
      <c r="A815" s="91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spans="1:25">
      <c r="A816" s="91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spans="1:25">
      <c r="A817" s="91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spans="1:25">
      <c r="A818" s="91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spans="1:25">
      <c r="A819" s="91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spans="1:25">
      <c r="A820" s="91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spans="1:25">
      <c r="A821" s="91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spans="1:25">
      <c r="A822" s="91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spans="1:25">
      <c r="A823" s="91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spans="1:25">
      <c r="A824" s="91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spans="1:25">
      <c r="A825" s="91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spans="1:25">
      <c r="A826" s="91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spans="1:25">
      <c r="A827" s="91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spans="1:25">
      <c r="A828" s="91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spans="1:25">
      <c r="A829" s="91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spans="1:25">
      <c r="A830" s="91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spans="1:25">
      <c r="A831" s="91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spans="1:25">
      <c r="A832" s="91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spans="1:25">
      <c r="A833" s="91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spans="1:25">
      <c r="A834" s="91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spans="1:25">
      <c r="A835" s="91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spans="1:25">
      <c r="A836" s="91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spans="1:25">
      <c r="A837" s="91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spans="1:25">
      <c r="A838" s="91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spans="1:25">
      <c r="A839" s="91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spans="1:25">
      <c r="A840" s="91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spans="1:25">
      <c r="A841" s="91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spans="1:25">
      <c r="A842" s="91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spans="1:25">
      <c r="A843" s="91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spans="1:25">
      <c r="A844" s="91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spans="1:25">
      <c r="A845" s="91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spans="1:25">
      <c r="A846" s="91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spans="1:25">
      <c r="A847" s="91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spans="1:25">
      <c r="A848" s="91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spans="1:25">
      <c r="A849" s="91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spans="1:25">
      <c r="A850" s="91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spans="1:25">
      <c r="A851" s="91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spans="1:25">
      <c r="A852" s="91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spans="1:25">
      <c r="A853" s="91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spans="1:25">
      <c r="A854" s="91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spans="1:25">
      <c r="A855" s="91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spans="1:25">
      <c r="A856" s="91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spans="1:25">
      <c r="A857" s="91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spans="1:25">
      <c r="A858" s="91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spans="1:25">
      <c r="A859" s="91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spans="1:25">
      <c r="A860" s="91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spans="1:25">
      <c r="A861" s="91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spans="1:25">
      <c r="A862" s="91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spans="1:25">
      <c r="A863" s="91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spans="1:25">
      <c r="A864" s="91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spans="1:25">
      <c r="A865" s="91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spans="1:25">
      <c r="A866" s="91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spans="1:25">
      <c r="A867" s="91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spans="1:25">
      <c r="A868" s="91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spans="1:25">
      <c r="A869" s="91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spans="1:25">
      <c r="A870" s="91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spans="1:25">
      <c r="A871" s="91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spans="1:25">
      <c r="A872" s="91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spans="1:25">
      <c r="A873" s="91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spans="1:25">
      <c r="A874" s="91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spans="1:25">
      <c r="A875" s="91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spans="1:25">
      <c r="A876" s="91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spans="1:25">
      <c r="A877" s="91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spans="1:25">
      <c r="A878" s="91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spans="1:25">
      <c r="A879" s="91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spans="1:25">
      <c r="A880" s="91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spans="1:25">
      <c r="A881" s="91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spans="1:25">
      <c r="A882" s="91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spans="1:25">
      <c r="A883" s="91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spans="1:25">
      <c r="A884" s="91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spans="1:25">
      <c r="A885" s="91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spans="1:25">
      <c r="A886" s="91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spans="1:25">
      <c r="A887" s="91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spans="1:25">
      <c r="A888" s="91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spans="1:25">
      <c r="A889" s="91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spans="1:25">
      <c r="A890" s="91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spans="1:25">
      <c r="A891" s="91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spans="1:25">
      <c r="A892" s="91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spans="1:25">
      <c r="A893" s="91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spans="1:25">
      <c r="A894" s="91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spans="1:25">
      <c r="A895" s="91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spans="1:25">
      <c r="A896" s="91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spans="1:25">
      <c r="A897" s="91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spans="1:25">
      <c r="A898" s="91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spans="1:25">
      <c r="A899" s="91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spans="1:25">
      <c r="A900" s="91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spans="1:25">
      <c r="A901" s="91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spans="1:25">
      <c r="A902" s="91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spans="1:25">
      <c r="A903" s="91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spans="1:25">
      <c r="A904" s="91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spans="1:25">
      <c r="A905" s="91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spans="1:25">
      <c r="A906" s="91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spans="1:25">
      <c r="A907" s="91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spans="1:25">
      <c r="A908" s="91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spans="1:25">
      <c r="A909" s="91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spans="1:25">
      <c r="A910" s="91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spans="1:25">
      <c r="A911" s="91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spans="1:25">
      <c r="A912" s="91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spans="1:25">
      <c r="A913" s="91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spans="1:25">
      <c r="A914" s="91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spans="1:25">
      <c r="A915" s="91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spans="1:25">
      <c r="A916" s="91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spans="1:25">
      <c r="A917" s="91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spans="1:25">
      <c r="A918" s="91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spans="1:25">
      <c r="A919" s="91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spans="1:25">
      <c r="A920" s="91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spans="1:25">
      <c r="A921" s="91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spans="1:25">
      <c r="A922" s="91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spans="1:25">
      <c r="A923" s="91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spans="1:25">
      <c r="A924" s="91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spans="1:25">
      <c r="A925" s="91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>
      <c r="A926" s="91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spans="1:25">
      <c r="A927" s="91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spans="1:25">
      <c r="A928" s="91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spans="1:25">
      <c r="A929" s="91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spans="1:25">
      <c r="A930" s="91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spans="1:25">
      <c r="A931" s="91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spans="1:25">
      <c r="A932" s="91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spans="1:25">
      <c r="A933" s="91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spans="1:25">
      <c r="A934" s="91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spans="1:25">
      <c r="A935" s="91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spans="1:25">
      <c r="A936" s="91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spans="1:25">
      <c r="A937" s="91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spans="1:25">
      <c r="A938" s="91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spans="1:25">
      <c r="A939" s="91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spans="1:25">
      <c r="A940" s="91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spans="1:25">
      <c r="A941" s="91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spans="1:25">
      <c r="A942" s="91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spans="1:25">
      <c r="A943" s="91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spans="1:25">
      <c r="A944" s="91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spans="1:25">
      <c r="A945" s="91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spans="1:25">
      <c r="A946" s="91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spans="1:25">
      <c r="A947" s="91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spans="1:25">
      <c r="A948" s="91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spans="1:25">
      <c r="A949" s="91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spans="1:25">
      <c r="A950" s="91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spans="1:25">
      <c r="A951" s="91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spans="1:25">
      <c r="A952" s="91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spans="1:25">
      <c r="A953" s="91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spans="1:25">
      <c r="A954" s="91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spans="1:25">
      <c r="A955" s="91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spans="1:25">
      <c r="A956" s="91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spans="1:25">
      <c r="A957" s="91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spans="1:25">
      <c r="A958" s="91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spans="1:25">
      <c r="A959" s="91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spans="1:25">
      <c r="A960" s="91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spans="1:25">
      <c r="A961" s="91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spans="1:25">
      <c r="A962" s="91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spans="1:25">
      <c r="A963" s="91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spans="1:25">
      <c r="A964" s="91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spans="1:25">
      <c r="A965" s="91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spans="1:25">
      <c r="A966" s="91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spans="1:25">
      <c r="A967" s="91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spans="1:25">
      <c r="A968" s="91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spans="1:25">
      <c r="A969" s="91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spans="1:25">
      <c r="A970" s="91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spans="1:25">
      <c r="A971" s="91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spans="1:25">
      <c r="A972" s="91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spans="1:25">
      <c r="A973" s="91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spans="1:25">
      <c r="A974" s="91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spans="1:25">
      <c r="A975" s="91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spans="1:25">
      <c r="A976" s="91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spans="1:25">
      <c r="A977" s="91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spans="1:25">
      <c r="A978" s="91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spans="1:25">
      <c r="A979" s="91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spans="1:25">
      <c r="A980" s="91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spans="1:25">
      <c r="A981" s="91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spans="1:25">
      <c r="A982" s="91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spans="1:25">
      <c r="A983" s="91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spans="1:25">
      <c r="A984" s="91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spans="1:25">
      <c r="A985" s="91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spans="1:25">
      <c r="A986" s="91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spans="1:25">
      <c r="A987" s="91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spans="1:25">
      <c r="A988" s="91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spans="1:25">
      <c r="A989" s="91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spans="1:25">
      <c r="A990" s="91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spans="1:25">
      <c r="A991" s="91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spans="1:25">
      <c r="A992" s="91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spans="1:25">
      <c r="A993" s="91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spans="1:25">
      <c r="A994" s="91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spans="1:25">
      <c r="A995" s="91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spans="1:25">
      <c r="A996" s="91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spans="1:25">
      <c r="A997" s="91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spans="1:25">
      <c r="A998" s="91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spans="1:25">
      <c r="A999" s="91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spans="1:25">
      <c r="A1000" s="91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spans="1:25">
      <c r="A1001" s="91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spans="1:25">
      <c r="A1002" s="91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spans="1:25">
      <c r="A1003" s="91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spans="1:25">
      <c r="A1004" s="91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spans="1:25">
      <c r="A1005" s="91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spans="1:25">
      <c r="A1006" s="91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spans="1:25">
      <c r="A1007" s="91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spans="1:25">
      <c r="A1008" s="91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spans="1:25">
      <c r="A1009" s="91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spans="1:25">
      <c r="A1010" s="91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spans="1:25">
      <c r="A1011" s="91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spans="1:25">
      <c r="A1012" s="91"/>
      <c r="B1012" s="176"/>
      <c r="C1012" s="176"/>
      <c r="D1012" s="176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</row>
    <row r="1013" spans="1:25">
      <c r="A1013" s="91"/>
      <c r="B1013" s="176"/>
      <c r="C1013" s="176"/>
      <c r="D1013" s="176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</row>
    <row r="1014" spans="1:25">
      <c r="A1014" s="91"/>
      <c r="B1014" s="176"/>
      <c r="C1014" s="176"/>
      <c r="D1014" s="176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</row>
    <row r="1015" spans="1:25">
      <c r="A1015" s="91"/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</row>
    <row r="1016" spans="1:25">
      <c r="A1016" s="91"/>
      <c r="B1016" s="176"/>
      <c r="C1016" s="176"/>
      <c r="D1016" s="176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</row>
    <row r="1017" spans="1:25">
      <c r="A1017" s="91"/>
      <c r="B1017" s="176"/>
      <c r="C1017" s="176"/>
      <c r="D1017" s="176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</row>
    <row r="1018" spans="1:25">
      <c r="A1018" s="91"/>
      <c r="B1018" s="176"/>
      <c r="C1018" s="176"/>
      <c r="D1018" s="176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</row>
    <row r="1019" spans="1:25">
      <c r="A1019" s="91"/>
      <c r="B1019" s="176"/>
      <c r="C1019" s="176"/>
      <c r="D1019" s="176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</row>
    <row r="1020" spans="1:25">
      <c r="A1020" s="91"/>
      <c r="B1020" s="176"/>
      <c r="C1020" s="176"/>
      <c r="D1020" s="176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</row>
    <row r="1021" spans="1:25">
      <c r="A1021" s="91"/>
      <c r="B1021" s="176"/>
      <c r="C1021" s="176"/>
      <c r="D1021" s="176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</row>
    <row r="1022" spans="1:25">
      <c r="A1022" s="91"/>
      <c r="B1022" s="176"/>
      <c r="C1022" s="176"/>
      <c r="D1022" s="176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</row>
    <row r="1023" spans="1:25">
      <c r="A1023" s="91"/>
      <c r="B1023" s="176"/>
      <c r="C1023" s="176"/>
      <c r="D1023" s="176"/>
      <c r="E1023" s="176"/>
      <c r="F1023" s="176"/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</row>
    <row r="1024" spans="1:25">
      <c r="A1024" s="91"/>
      <c r="B1024" s="176"/>
      <c r="C1024" s="176"/>
      <c r="D1024" s="176"/>
      <c r="E1024" s="176"/>
      <c r="F1024" s="176"/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</row>
    <row r="1025" spans="1:25">
      <c r="A1025" s="91"/>
      <c r="B1025" s="176"/>
      <c r="C1025" s="176"/>
      <c r="D1025" s="176"/>
      <c r="E1025" s="176"/>
      <c r="F1025" s="176"/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</row>
    <row r="1026" spans="1:25">
      <c r="A1026" s="91"/>
      <c r="B1026" s="176"/>
      <c r="C1026" s="176"/>
      <c r="D1026" s="176"/>
      <c r="E1026" s="176"/>
      <c r="F1026" s="176"/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</row>
    <row r="1027" spans="1:25">
      <c r="A1027" s="91"/>
      <c r="B1027" s="176"/>
      <c r="C1027" s="176"/>
      <c r="D1027" s="176"/>
      <c r="E1027" s="176"/>
      <c r="F1027" s="176"/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</row>
    <row r="1028" spans="1:25">
      <c r="A1028" s="91"/>
      <c r="B1028" s="176"/>
      <c r="C1028" s="176"/>
      <c r="D1028" s="176"/>
      <c r="E1028" s="176"/>
      <c r="F1028" s="176"/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</row>
    <row r="1029" spans="1:25">
      <c r="A1029" s="91"/>
      <c r="B1029" s="176"/>
      <c r="C1029" s="176"/>
      <c r="D1029" s="176"/>
      <c r="E1029" s="176"/>
      <c r="F1029" s="176"/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</row>
    <row r="1030" spans="1:25">
      <c r="A1030" s="91"/>
      <c r="B1030" s="176"/>
      <c r="C1030" s="176"/>
      <c r="D1030" s="176"/>
      <c r="E1030" s="176"/>
      <c r="F1030" s="176"/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</row>
    <row r="1031" spans="1:25">
      <c r="A1031" s="91"/>
      <c r="B1031" s="176"/>
      <c r="C1031" s="176"/>
      <c r="D1031" s="176"/>
      <c r="E1031" s="176"/>
      <c r="F1031" s="176"/>
      <c r="G1031" s="176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</row>
    <row r="1032" spans="1:25">
      <c r="A1032" s="91"/>
      <c r="B1032" s="176"/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</row>
    <row r="1033" spans="1:25">
      <c r="A1033" s="91"/>
      <c r="B1033" s="176"/>
      <c r="C1033" s="176"/>
      <c r="D1033" s="176"/>
      <c r="E1033" s="176"/>
      <c r="F1033" s="176"/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</row>
    <row r="1034" spans="1:25">
      <c r="A1034" s="91"/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</row>
    <row r="1035" spans="1:25">
      <c r="A1035" s="91"/>
      <c r="B1035" s="176"/>
      <c r="C1035" s="176"/>
      <c r="D1035" s="176"/>
      <c r="E1035" s="176"/>
      <c r="F1035" s="176"/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</row>
    <row r="1036" spans="1:25">
      <c r="A1036" s="91"/>
      <c r="B1036" s="176"/>
      <c r="C1036" s="176"/>
      <c r="D1036" s="176"/>
      <c r="E1036" s="176"/>
      <c r="F1036" s="176"/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</row>
    <row r="1037" spans="1:25">
      <c r="A1037" s="91"/>
      <c r="B1037" s="176"/>
      <c r="C1037" s="176"/>
      <c r="D1037" s="176"/>
      <c r="E1037" s="176"/>
      <c r="F1037" s="176"/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</row>
    <row r="1038" spans="1:25">
      <c r="A1038" s="91"/>
      <c r="B1038" s="176"/>
      <c r="C1038" s="176"/>
      <c r="D1038" s="176"/>
      <c r="E1038" s="176"/>
      <c r="F1038" s="176"/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</row>
    <row r="1039" spans="1:25">
      <c r="A1039" s="91"/>
      <c r="B1039" s="176"/>
      <c r="C1039" s="176"/>
      <c r="D1039" s="176"/>
      <c r="E1039" s="176"/>
      <c r="F1039" s="176"/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</row>
    <row r="1040" spans="1:25">
      <c r="A1040" s="91"/>
      <c r="B1040" s="176"/>
      <c r="C1040" s="176"/>
      <c r="D1040" s="176"/>
      <c r="E1040" s="176"/>
      <c r="F1040" s="176"/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</row>
    <row r="1041" spans="1:25">
      <c r="A1041" s="91"/>
      <c r="B1041" s="176"/>
      <c r="C1041" s="176"/>
      <c r="D1041" s="176"/>
      <c r="E1041" s="176"/>
      <c r="F1041" s="176"/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</row>
    <row r="1042" spans="1:25">
      <c r="A1042" s="91"/>
      <c r="B1042" s="176"/>
      <c r="C1042" s="176"/>
      <c r="D1042" s="176"/>
      <c r="E1042" s="176"/>
      <c r="F1042" s="176"/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76"/>
      <c r="T1042" s="176"/>
      <c r="U1042" s="176"/>
      <c r="V1042" s="176"/>
      <c r="W1042" s="176"/>
      <c r="X1042" s="176"/>
      <c r="Y1042" s="176"/>
    </row>
    <row r="1043" spans="1:25">
      <c r="A1043" s="91"/>
      <c r="B1043" s="176"/>
      <c r="C1043" s="176"/>
      <c r="D1043" s="176"/>
      <c r="E1043" s="176"/>
      <c r="F1043" s="176"/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</row>
    <row r="1044" spans="1:25">
      <c r="A1044" s="91"/>
      <c r="B1044" s="176"/>
      <c r="C1044" s="176"/>
      <c r="D1044" s="176"/>
      <c r="E1044" s="176"/>
      <c r="F1044" s="176"/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</row>
    <row r="1045" spans="1:25">
      <c r="A1045" s="91"/>
      <c r="B1045" s="176"/>
      <c r="C1045" s="176"/>
      <c r="D1045" s="176"/>
      <c r="E1045" s="176"/>
      <c r="F1045" s="176"/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76"/>
      <c r="T1045" s="176"/>
      <c r="U1045" s="176"/>
      <c r="V1045" s="176"/>
      <c r="W1045" s="176"/>
      <c r="X1045" s="176"/>
      <c r="Y1045" s="176"/>
    </row>
    <row r="1046" spans="1:25">
      <c r="A1046" s="91"/>
      <c r="B1046" s="176"/>
      <c r="C1046" s="176"/>
      <c r="D1046" s="176"/>
      <c r="E1046" s="176"/>
      <c r="F1046" s="176"/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76"/>
      <c r="T1046" s="176"/>
      <c r="U1046" s="176"/>
      <c r="V1046" s="176"/>
      <c r="W1046" s="176"/>
      <c r="X1046" s="176"/>
      <c r="Y1046" s="176"/>
    </row>
    <row r="1047" spans="1:25">
      <c r="A1047" s="91"/>
      <c r="B1047" s="176"/>
      <c r="C1047" s="176"/>
      <c r="D1047" s="176"/>
      <c r="E1047" s="176"/>
      <c r="F1047" s="176"/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76"/>
      <c r="T1047" s="176"/>
      <c r="U1047" s="176"/>
      <c r="V1047" s="176"/>
      <c r="W1047" s="176"/>
      <c r="X1047" s="176"/>
      <c r="Y1047" s="176"/>
    </row>
    <row r="1048" spans="1:25">
      <c r="A1048" s="91"/>
      <c r="B1048" s="176"/>
      <c r="C1048" s="176"/>
      <c r="D1048" s="176"/>
      <c r="E1048" s="176"/>
      <c r="F1048" s="176"/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</row>
    <row r="1049" spans="1:25">
      <c r="A1049" s="91"/>
      <c r="B1049" s="176"/>
      <c r="C1049" s="176"/>
      <c r="D1049" s="176"/>
      <c r="E1049" s="176"/>
      <c r="F1049" s="176"/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</row>
    <row r="1050" spans="1:25">
      <c r="A1050" s="91"/>
      <c r="B1050" s="176"/>
      <c r="C1050" s="176"/>
      <c r="D1050" s="176"/>
      <c r="E1050" s="176"/>
      <c r="F1050" s="176"/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</row>
    <row r="1051" spans="1:25">
      <c r="A1051" s="91"/>
      <c r="B1051" s="176"/>
      <c r="C1051" s="176"/>
      <c r="D1051" s="176"/>
      <c r="E1051" s="176"/>
      <c r="F1051" s="176"/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</row>
    <row r="1052" spans="1:25">
      <c r="A1052" s="91"/>
      <c r="B1052" s="176"/>
      <c r="C1052" s="176"/>
      <c r="D1052" s="176"/>
      <c r="E1052" s="176"/>
      <c r="F1052" s="176"/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</row>
    <row r="1053" spans="1:25">
      <c r="A1053" s="91"/>
      <c r="B1053" s="176"/>
      <c r="C1053" s="176"/>
      <c r="D1053" s="176"/>
      <c r="E1053" s="176"/>
      <c r="F1053" s="176"/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</row>
    <row r="1054" spans="1:25">
      <c r="A1054" s="91"/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</row>
    <row r="1055" spans="1:25">
      <c r="A1055" s="91"/>
      <c r="B1055" s="176"/>
      <c r="C1055" s="176"/>
      <c r="D1055" s="176"/>
      <c r="E1055" s="176"/>
      <c r="F1055" s="176"/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</row>
    <row r="1056" spans="1:25">
      <c r="A1056" s="91"/>
      <c r="B1056" s="176"/>
      <c r="C1056" s="176"/>
      <c r="D1056" s="176"/>
      <c r="E1056" s="176"/>
      <c r="F1056" s="176"/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</row>
    <row r="1057" spans="1:25">
      <c r="A1057" s="91"/>
      <c r="B1057" s="176"/>
      <c r="C1057" s="176"/>
      <c r="D1057" s="176"/>
      <c r="E1057" s="176"/>
      <c r="F1057" s="176"/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</row>
    <row r="1058" spans="1:25">
      <c r="A1058" s="91"/>
      <c r="B1058" s="176"/>
      <c r="C1058" s="176"/>
      <c r="D1058" s="176"/>
      <c r="E1058" s="176"/>
      <c r="F1058" s="176"/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  <c r="U1058" s="176"/>
      <c r="V1058" s="176"/>
      <c r="W1058" s="176"/>
      <c r="X1058" s="176"/>
      <c r="Y1058" s="176"/>
    </row>
    <row r="1059" spans="1:25">
      <c r="A1059" s="91"/>
      <c r="B1059" s="176"/>
      <c r="C1059" s="176"/>
      <c r="D1059" s="176"/>
      <c r="E1059" s="176"/>
      <c r="F1059" s="176"/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</row>
    <row r="1060" spans="1:25">
      <c r="A1060" s="91"/>
      <c r="B1060" s="176"/>
      <c r="C1060" s="176"/>
      <c r="D1060" s="176"/>
      <c r="E1060" s="176"/>
      <c r="F1060" s="176"/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</row>
    <row r="1061" spans="1:25">
      <c r="A1061" s="91"/>
      <c r="B1061" s="176"/>
      <c r="C1061" s="176"/>
      <c r="D1061" s="176"/>
      <c r="E1061" s="176"/>
      <c r="F1061" s="176"/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</row>
    <row r="1062" spans="1:25">
      <c r="A1062" s="91"/>
      <c r="B1062" s="176"/>
      <c r="C1062" s="176"/>
      <c r="D1062" s="176"/>
      <c r="E1062" s="176"/>
      <c r="F1062" s="176"/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</row>
    <row r="1063" spans="1:25">
      <c r="A1063" s="91"/>
      <c r="B1063" s="176"/>
      <c r="C1063" s="176"/>
      <c r="D1063" s="176"/>
      <c r="E1063" s="176"/>
      <c r="F1063" s="176"/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</row>
    <row r="1064" spans="1:25">
      <c r="A1064" s="91"/>
      <c r="B1064" s="176"/>
      <c r="C1064" s="176"/>
      <c r="D1064" s="176"/>
      <c r="E1064" s="176"/>
      <c r="F1064" s="176"/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</row>
    <row r="1065" spans="1:25">
      <c r="A1065" s="91"/>
      <c r="B1065" s="176"/>
      <c r="C1065" s="176"/>
      <c r="D1065" s="176"/>
      <c r="E1065" s="176"/>
      <c r="F1065" s="176"/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</row>
    <row r="1066" spans="1:25">
      <c r="A1066" s="91"/>
      <c r="B1066" s="176"/>
      <c r="C1066" s="176"/>
      <c r="D1066" s="176"/>
      <c r="E1066" s="176"/>
      <c r="F1066" s="176"/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</row>
    <row r="1067" spans="1:25">
      <c r="A1067" s="91"/>
      <c r="B1067" s="176"/>
      <c r="C1067" s="176"/>
      <c r="D1067" s="176"/>
      <c r="E1067" s="176"/>
      <c r="F1067" s="176"/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</row>
    <row r="1068" spans="1:25">
      <c r="A1068" s="91"/>
      <c r="B1068" s="176"/>
      <c r="C1068" s="176"/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</row>
    <row r="1069" spans="1:25">
      <c r="A1069" s="91"/>
      <c r="B1069" s="176"/>
      <c r="C1069" s="176"/>
      <c r="D1069" s="176"/>
      <c r="E1069" s="176"/>
      <c r="F1069" s="176"/>
      <c r="G1069" s="176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</row>
    <row r="1070" spans="1:25">
      <c r="A1070" s="91"/>
      <c r="B1070" s="176"/>
      <c r="C1070" s="176"/>
      <c r="D1070" s="176"/>
      <c r="E1070" s="176"/>
      <c r="F1070" s="176"/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</row>
    <row r="1071" spans="1:25">
      <c r="A1071" s="91"/>
      <c r="B1071" s="176"/>
      <c r="C1071" s="176"/>
      <c r="D1071" s="176"/>
      <c r="E1071" s="176"/>
      <c r="F1071" s="176"/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</row>
    <row r="1072" spans="1:25">
      <c r="A1072" s="91"/>
      <c r="B1072" s="176"/>
      <c r="C1072" s="176"/>
      <c r="D1072" s="176"/>
      <c r="E1072" s="176"/>
      <c r="F1072" s="176"/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</row>
    <row r="1073" spans="1:25">
      <c r="A1073" s="91"/>
      <c r="B1073" s="176"/>
      <c r="C1073" s="176"/>
      <c r="D1073" s="176"/>
      <c r="E1073" s="176"/>
      <c r="F1073" s="176"/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</row>
    <row r="1074" spans="1:25">
      <c r="A1074" s="91"/>
      <c r="B1074" s="176"/>
      <c r="C1074" s="176"/>
      <c r="D1074" s="176"/>
      <c r="E1074" s="176"/>
      <c r="F1074" s="176"/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76"/>
      <c r="T1074" s="176"/>
      <c r="U1074" s="176"/>
      <c r="V1074" s="176"/>
      <c r="W1074" s="176"/>
      <c r="X1074" s="176"/>
      <c r="Y1074" s="176"/>
    </row>
    <row r="1075" spans="1:25">
      <c r="A1075" s="91"/>
      <c r="B1075" s="176"/>
      <c r="C1075" s="176"/>
      <c r="D1075" s="176"/>
      <c r="E1075" s="176"/>
      <c r="F1075" s="176"/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76"/>
      <c r="T1075" s="176"/>
      <c r="U1075" s="176"/>
      <c r="V1075" s="176"/>
      <c r="W1075" s="176"/>
      <c r="X1075" s="176"/>
      <c r="Y1075" s="176"/>
    </row>
    <row r="1076" spans="1:25">
      <c r="A1076" s="91"/>
      <c r="B1076" s="176"/>
      <c r="C1076" s="176"/>
      <c r="D1076" s="176"/>
      <c r="E1076" s="176"/>
      <c r="F1076" s="176"/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</row>
    <row r="1077" spans="1:25">
      <c r="A1077" s="91"/>
      <c r="B1077" s="176"/>
      <c r="C1077" s="176"/>
      <c r="D1077" s="176"/>
      <c r="E1077" s="176"/>
      <c r="F1077" s="176"/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</row>
    <row r="1078" spans="1:25">
      <c r="A1078" s="91"/>
      <c r="B1078" s="176"/>
      <c r="C1078" s="176"/>
      <c r="D1078" s="176"/>
      <c r="E1078" s="176"/>
      <c r="F1078" s="176"/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6"/>
    </row>
    <row r="1079" spans="1:25">
      <c r="A1079" s="91"/>
      <c r="B1079" s="176"/>
      <c r="C1079" s="176"/>
      <c r="D1079" s="176"/>
      <c r="E1079" s="176"/>
      <c r="F1079" s="176"/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6"/>
    </row>
    <row r="1080" spans="1:25">
      <c r="A1080" s="91"/>
      <c r="B1080" s="176"/>
      <c r="C1080" s="176"/>
      <c r="D1080" s="176"/>
      <c r="E1080" s="176"/>
      <c r="F1080" s="176"/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</row>
    <row r="1081" spans="1:25">
      <c r="A1081" s="91"/>
      <c r="B1081" s="176"/>
      <c r="C1081" s="176"/>
      <c r="D1081" s="176"/>
      <c r="E1081" s="176"/>
      <c r="F1081" s="176"/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</row>
    <row r="1082" spans="1:25">
      <c r="A1082" s="91"/>
      <c r="B1082" s="176"/>
      <c r="C1082" s="176"/>
      <c r="D1082" s="176"/>
      <c r="E1082" s="176"/>
      <c r="F1082" s="176"/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</row>
    <row r="1083" spans="1:25">
      <c r="A1083" s="91"/>
      <c r="B1083" s="176"/>
      <c r="C1083" s="176"/>
      <c r="D1083" s="176"/>
      <c r="E1083" s="176"/>
      <c r="F1083" s="176"/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</row>
    <row r="1084" spans="1:25">
      <c r="A1084" s="91"/>
      <c r="B1084" s="176"/>
      <c r="C1084" s="176"/>
      <c r="D1084" s="176"/>
      <c r="E1084" s="176"/>
      <c r="F1084" s="176"/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</row>
    <row r="1085" spans="1:25">
      <c r="A1085" s="91"/>
      <c r="B1085" s="176"/>
      <c r="C1085" s="176"/>
      <c r="D1085" s="176"/>
      <c r="E1085" s="176"/>
      <c r="F1085" s="176"/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</row>
    <row r="1086" spans="1:25">
      <c r="A1086" s="91"/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</row>
    <row r="1087" spans="1:25">
      <c r="A1087" s="91"/>
      <c r="B1087" s="176"/>
      <c r="C1087" s="176"/>
      <c r="D1087" s="176"/>
      <c r="E1087" s="176"/>
      <c r="F1087" s="176"/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  <c r="U1087" s="176"/>
      <c r="V1087" s="176"/>
      <c r="W1087" s="176"/>
      <c r="X1087" s="176"/>
      <c r="Y1087" s="176"/>
    </row>
    <row r="1088" spans="1:25">
      <c r="A1088" s="91"/>
      <c r="B1088" s="176"/>
      <c r="C1088" s="176"/>
      <c r="D1088" s="176"/>
      <c r="E1088" s="176"/>
      <c r="F1088" s="176"/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/>
      <c r="Y1088" s="176"/>
    </row>
    <row r="1089" spans="1:25">
      <c r="A1089" s="91"/>
      <c r="B1089" s="176"/>
      <c r="C1089" s="176"/>
      <c r="D1089" s="176"/>
      <c r="E1089" s="176"/>
      <c r="F1089" s="176"/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</row>
    <row r="1090" spans="1:25">
      <c r="A1090" s="91"/>
      <c r="B1090" s="176"/>
      <c r="C1090" s="176"/>
      <c r="D1090" s="176"/>
      <c r="E1090" s="176"/>
      <c r="F1090" s="176"/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</row>
    <row r="1091" spans="1:25">
      <c r="A1091" s="91"/>
      <c r="B1091" s="176"/>
      <c r="C1091" s="176"/>
      <c r="D1091" s="176"/>
      <c r="E1091" s="176"/>
      <c r="F1091" s="176"/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</row>
    <row r="1092" spans="1:25">
      <c r="A1092" s="91"/>
      <c r="B1092" s="176"/>
      <c r="C1092" s="176"/>
      <c r="D1092" s="176"/>
      <c r="E1092" s="176"/>
      <c r="F1092" s="176"/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</row>
    <row r="1093" spans="1:25">
      <c r="A1093" s="91"/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</row>
    <row r="1094" spans="1:25">
      <c r="A1094" s="91"/>
      <c r="B1094" s="176"/>
      <c r="C1094" s="176"/>
      <c r="D1094" s="176"/>
      <c r="E1094" s="176"/>
      <c r="F1094" s="176"/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</row>
    <row r="1095" spans="1:25">
      <c r="A1095" s="91"/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</row>
    <row r="1096" spans="1:25">
      <c r="A1096" s="91"/>
      <c r="B1096" s="176"/>
      <c r="C1096" s="176"/>
      <c r="D1096" s="176"/>
      <c r="E1096" s="176"/>
      <c r="F1096" s="176"/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</row>
    <row r="1097" spans="1:25">
      <c r="A1097" s="91"/>
      <c r="B1097" s="176"/>
      <c r="C1097" s="176"/>
      <c r="D1097" s="176"/>
      <c r="E1097" s="176"/>
      <c r="F1097" s="176"/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</row>
    <row r="1098" spans="1:25">
      <c r="A1098" s="91"/>
      <c r="B1098" s="176"/>
      <c r="C1098" s="176"/>
      <c r="D1098" s="176"/>
      <c r="E1098" s="176"/>
      <c r="F1098" s="176"/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</row>
    <row r="1099" spans="1:25">
      <c r="A1099" s="91"/>
      <c r="B1099" s="176"/>
      <c r="C1099" s="176"/>
      <c r="D1099" s="176"/>
      <c r="E1099" s="176"/>
      <c r="F1099" s="176"/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</row>
    <row r="1100" spans="1:25">
      <c r="A1100" s="91"/>
      <c r="B1100" s="176"/>
      <c r="C1100" s="176"/>
      <c r="D1100" s="176"/>
      <c r="E1100" s="176"/>
      <c r="F1100" s="176"/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</row>
    <row r="1101" spans="1:25">
      <c r="A1101" s="91"/>
      <c r="B1101" s="176"/>
      <c r="C1101" s="176"/>
      <c r="D1101" s="176"/>
      <c r="E1101" s="176"/>
      <c r="F1101" s="176"/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</row>
    <row r="1102" spans="1:25">
      <c r="A1102" s="91"/>
      <c r="B1102" s="176"/>
      <c r="C1102" s="176"/>
      <c r="D1102" s="176"/>
      <c r="E1102" s="176"/>
      <c r="F1102" s="176"/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</row>
    <row r="1103" spans="1:25">
      <c r="A1103" s="91"/>
      <c r="B1103" s="176"/>
      <c r="C1103" s="176"/>
      <c r="D1103" s="176"/>
      <c r="E1103" s="176"/>
      <c r="F1103" s="176"/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</row>
    <row r="1104" spans="1:25">
      <c r="A1104" s="91"/>
      <c r="B1104" s="176"/>
      <c r="C1104" s="176"/>
      <c r="D1104" s="176"/>
      <c r="E1104" s="176"/>
      <c r="F1104" s="176"/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6"/>
    </row>
    <row r="1105" spans="1:25">
      <c r="A1105" s="91"/>
      <c r="B1105" s="176"/>
      <c r="C1105" s="176"/>
      <c r="D1105" s="176"/>
      <c r="E1105" s="176"/>
      <c r="F1105" s="176"/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6"/>
    </row>
    <row r="1106" spans="1:25">
      <c r="A1106" s="91"/>
      <c r="B1106" s="176"/>
      <c r="C1106" s="176"/>
      <c r="D1106" s="176"/>
      <c r="E1106" s="176"/>
      <c r="F1106" s="176"/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</row>
    <row r="1107" spans="1:25">
      <c r="A1107" s="91"/>
      <c r="B1107" s="176"/>
      <c r="C1107" s="176"/>
      <c r="D1107" s="176"/>
      <c r="E1107" s="176"/>
      <c r="F1107" s="176"/>
      <c r="G1107" s="176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</row>
    <row r="1108" spans="1:25">
      <c r="A1108" s="91"/>
      <c r="B1108" s="176"/>
      <c r="C1108" s="176"/>
      <c r="D1108" s="176"/>
      <c r="E1108" s="176"/>
      <c r="F1108" s="176"/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</row>
    <row r="1109" spans="1:25">
      <c r="A1109" s="91"/>
      <c r="B1109" s="176"/>
      <c r="C1109" s="176"/>
      <c r="D1109" s="176"/>
      <c r="E1109" s="176"/>
      <c r="F1109" s="176"/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</row>
    <row r="1110" spans="1:25">
      <c r="A1110" s="91"/>
      <c r="B1110" s="176"/>
      <c r="C1110" s="176"/>
      <c r="D1110" s="176"/>
      <c r="E1110" s="176"/>
      <c r="F1110" s="176"/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</row>
    <row r="1111" spans="1:25">
      <c r="A1111" s="91"/>
      <c r="B1111" s="176"/>
      <c r="C1111" s="176"/>
      <c r="D1111" s="176"/>
      <c r="E1111" s="176"/>
      <c r="F1111" s="176"/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</row>
    <row r="1112" spans="1:25">
      <c r="A1112" s="91"/>
      <c r="B1112" s="176"/>
      <c r="C1112" s="176"/>
      <c r="D1112" s="176"/>
      <c r="E1112" s="176"/>
      <c r="F1112" s="176"/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</row>
    <row r="1113" spans="1:25">
      <c r="A1113" s="91"/>
      <c r="B1113" s="176"/>
      <c r="C1113" s="176"/>
      <c r="D1113" s="176"/>
      <c r="E1113" s="176"/>
      <c r="F1113" s="176"/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76"/>
      <c r="T1113" s="176"/>
      <c r="U1113" s="176"/>
      <c r="V1113" s="176"/>
      <c r="W1113" s="176"/>
      <c r="X1113" s="176"/>
      <c r="Y1113" s="176"/>
    </row>
    <row r="1114" spans="1:25">
      <c r="A1114" s="91"/>
      <c r="B1114" s="176"/>
      <c r="C1114" s="176"/>
      <c r="D1114" s="176"/>
      <c r="E1114" s="176"/>
      <c r="F1114" s="176"/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76"/>
      <c r="T1114" s="176"/>
      <c r="U1114" s="176"/>
      <c r="V1114" s="176"/>
      <c r="W1114" s="176"/>
      <c r="X1114" s="176"/>
      <c r="Y1114" s="176"/>
    </row>
    <row r="1115" spans="1:25">
      <c r="A1115" s="91"/>
      <c r="B1115" s="176"/>
      <c r="C1115" s="176"/>
      <c r="D1115" s="176"/>
      <c r="E1115" s="176"/>
      <c r="F1115" s="176"/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</row>
    <row r="1116" spans="1:25">
      <c r="A1116" s="91"/>
      <c r="B1116" s="176"/>
      <c r="C1116" s="176"/>
      <c r="D1116" s="176"/>
      <c r="E1116" s="176"/>
      <c r="F1116" s="176"/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</row>
    <row r="1117" spans="1:25">
      <c r="A1117" s="91"/>
      <c r="B1117" s="176"/>
      <c r="C1117" s="176"/>
      <c r="D1117" s="176"/>
      <c r="E1117" s="176"/>
      <c r="F1117" s="176"/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6"/>
    </row>
    <row r="1118" spans="1:25">
      <c r="A1118" s="91"/>
      <c r="B1118" s="176"/>
      <c r="C1118" s="176"/>
      <c r="D1118" s="176"/>
      <c r="E1118" s="176"/>
      <c r="F1118" s="176"/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6"/>
    </row>
    <row r="1119" spans="1:25">
      <c r="A1119" s="91"/>
      <c r="B1119" s="176"/>
      <c r="C1119" s="176"/>
      <c r="D1119" s="176"/>
      <c r="E1119" s="176"/>
      <c r="F1119" s="176"/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</row>
    <row r="1120" spans="1:25">
      <c r="A1120" s="91"/>
      <c r="B1120" s="176"/>
      <c r="C1120" s="176"/>
      <c r="D1120" s="176"/>
      <c r="E1120" s="176"/>
      <c r="F1120" s="176"/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</row>
    <row r="1121" spans="1:25">
      <c r="A1121" s="91"/>
      <c r="B1121" s="176"/>
      <c r="C1121" s="176"/>
      <c r="D1121" s="176"/>
      <c r="E1121" s="176"/>
      <c r="F1121" s="176"/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</row>
    <row r="1122" spans="1:25">
      <c r="A1122" s="91"/>
      <c r="B1122" s="176"/>
      <c r="C1122" s="176"/>
      <c r="D1122" s="176"/>
      <c r="E1122" s="176"/>
      <c r="F1122" s="176"/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</row>
    <row r="1123" spans="1:25">
      <c r="A1123" s="91"/>
      <c r="B1123" s="176"/>
      <c r="C1123" s="176"/>
      <c r="D1123" s="176"/>
      <c r="E1123" s="176"/>
      <c r="F1123" s="176"/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</row>
    <row r="1124" spans="1:25">
      <c r="A1124" s="91"/>
      <c r="B1124" s="176"/>
      <c r="C1124" s="176"/>
      <c r="D1124" s="176"/>
      <c r="E1124" s="176"/>
      <c r="F1124" s="176"/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</row>
    <row r="1125" spans="1:25">
      <c r="A1125" s="91"/>
      <c r="B1125" s="176"/>
      <c r="C1125" s="176"/>
      <c r="D1125" s="176"/>
      <c r="E1125" s="176"/>
      <c r="F1125" s="176"/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</row>
    <row r="1126" spans="1:25">
      <c r="A1126" s="91"/>
      <c r="B1126" s="176"/>
      <c r="C1126" s="176"/>
      <c r="D1126" s="176"/>
      <c r="E1126" s="176"/>
      <c r="F1126" s="176"/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76"/>
      <c r="T1126" s="176"/>
      <c r="U1126" s="176"/>
      <c r="V1126" s="176"/>
      <c r="W1126" s="176"/>
      <c r="X1126" s="176"/>
      <c r="Y1126" s="176"/>
    </row>
    <row r="1127" spans="1:25">
      <c r="A1127" s="91"/>
      <c r="B1127" s="176"/>
      <c r="C1127" s="176"/>
      <c r="D1127" s="176"/>
      <c r="E1127" s="176"/>
      <c r="F1127" s="176"/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76"/>
      <c r="T1127" s="176"/>
      <c r="U1127" s="176"/>
      <c r="V1127" s="176"/>
      <c r="W1127" s="176"/>
      <c r="X1127" s="176"/>
      <c r="Y1127" s="176"/>
    </row>
    <row r="1128" spans="1:25">
      <c r="A1128" s="91"/>
      <c r="B1128" s="176"/>
      <c r="C1128" s="176"/>
      <c r="D1128" s="176"/>
      <c r="E1128" s="176"/>
      <c r="F1128" s="176"/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</row>
    <row r="1129" spans="1:25">
      <c r="A1129" s="91"/>
      <c r="B1129" s="176"/>
      <c r="C1129" s="176"/>
      <c r="D1129" s="176"/>
      <c r="E1129" s="176"/>
      <c r="F1129" s="176"/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</row>
    <row r="1130" spans="1:25">
      <c r="A1130" s="91"/>
      <c r="B1130" s="176"/>
      <c r="C1130" s="176"/>
      <c r="D1130" s="176"/>
      <c r="E1130" s="176"/>
      <c r="F1130" s="176"/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6"/>
    </row>
    <row r="1131" spans="1:25">
      <c r="A1131" s="91"/>
      <c r="B1131" s="176"/>
      <c r="C1131" s="176"/>
      <c r="D1131" s="176"/>
      <c r="E1131" s="176"/>
      <c r="F1131" s="176"/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6"/>
    </row>
    <row r="1132" spans="1:25">
      <c r="A1132" s="91"/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</row>
    <row r="1133" spans="1:25">
      <c r="A1133" s="91"/>
      <c r="B1133" s="176"/>
      <c r="C1133" s="176"/>
      <c r="D1133" s="176"/>
      <c r="E1133" s="176"/>
      <c r="F1133" s="176"/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</row>
    <row r="1134" spans="1:25">
      <c r="A1134" s="91"/>
      <c r="B1134" s="176"/>
      <c r="C1134" s="176"/>
      <c r="D1134" s="176"/>
      <c r="E1134" s="176"/>
      <c r="F1134" s="176"/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</row>
    <row r="1135" spans="1:25">
      <c r="A1135" s="91"/>
      <c r="B1135" s="176"/>
      <c r="C1135" s="176"/>
      <c r="D1135" s="176"/>
      <c r="E1135" s="176"/>
      <c r="F1135" s="176"/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</row>
    <row r="1136" spans="1:25">
      <c r="A1136" s="91"/>
      <c r="B1136" s="176"/>
      <c r="C1136" s="176"/>
      <c r="D1136" s="176"/>
      <c r="E1136" s="176"/>
      <c r="F1136" s="176"/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</row>
    <row r="1137" spans="1:25">
      <c r="A1137" s="91"/>
      <c r="B1137" s="176"/>
      <c r="C1137" s="176"/>
      <c r="D1137" s="176"/>
      <c r="E1137" s="176"/>
      <c r="F1137" s="176"/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</row>
    <row r="1138" spans="1:25">
      <c r="A1138" s="91"/>
      <c r="B1138" s="176"/>
      <c r="C1138" s="176"/>
      <c r="D1138" s="176"/>
      <c r="E1138" s="176"/>
      <c r="F1138" s="176"/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</row>
    <row r="1139" spans="1:25">
      <c r="A1139" s="91"/>
      <c r="B1139" s="176"/>
      <c r="C1139" s="176"/>
      <c r="D1139" s="176"/>
      <c r="E1139" s="176"/>
      <c r="F1139" s="176"/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76"/>
      <c r="T1139" s="176"/>
      <c r="U1139" s="176"/>
      <c r="V1139" s="176"/>
      <c r="W1139" s="176"/>
      <c r="X1139" s="176"/>
      <c r="Y1139" s="176"/>
    </row>
    <row r="1140" spans="1:25">
      <c r="A1140" s="91"/>
      <c r="B1140" s="176"/>
      <c r="C1140" s="176"/>
      <c r="D1140" s="176"/>
      <c r="E1140" s="176"/>
      <c r="F1140" s="176"/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76"/>
      <c r="T1140" s="176"/>
      <c r="U1140" s="176"/>
      <c r="V1140" s="176"/>
      <c r="W1140" s="176"/>
      <c r="X1140" s="176"/>
      <c r="Y1140" s="176"/>
    </row>
    <row r="1141" spans="1:25">
      <c r="A1141" s="91"/>
      <c r="B1141" s="176"/>
      <c r="C1141" s="176"/>
      <c r="D1141" s="176"/>
      <c r="E1141" s="176"/>
      <c r="F1141" s="176"/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</row>
    <row r="1142" spans="1:25">
      <c r="A1142" s="91"/>
      <c r="B1142" s="176"/>
      <c r="C1142" s="176"/>
      <c r="D1142" s="176"/>
      <c r="E1142" s="176"/>
      <c r="F1142" s="176"/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</row>
    <row r="1143" spans="1:25">
      <c r="A1143" s="91"/>
      <c r="B1143" s="176"/>
      <c r="C1143" s="176"/>
      <c r="D1143" s="176"/>
      <c r="E1143" s="176"/>
      <c r="F1143" s="176"/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6"/>
    </row>
    <row r="1144" spans="1:25">
      <c r="A1144" s="91"/>
      <c r="B1144" s="176"/>
      <c r="C1144" s="176"/>
      <c r="D1144" s="176"/>
      <c r="E1144" s="176"/>
      <c r="F1144" s="176"/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6"/>
    </row>
    <row r="1145" spans="1:25">
      <c r="A1145" s="91"/>
      <c r="B1145" s="176"/>
      <c r="C1145" s="176"/>
      <c r="D1145" s="176"/>
      <c r="E1145" s="176"/>
      <c r="F1145" s="176"/>
      <c r="G1145" s="176"/>
      <c r="H1145" s="176"/>
      <c r="I1145" s="176"/>
      <c r="J1145" s="176"/>
      <c r="K1145" s="176"/>
      <c r="L1145" s="176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</row>
    <row r="1146" spans="1:25">
      <c r="A1146" s="91"/>
      <c r="B1146" s="176"/>
      <c r="C1146" s="176"/>
      <c r="D1146" s="176"/>
      <c r="E1146" s="176"/>
      <c r="F1146" s="176"/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</row>
    <row r="1147" spans="1:25">
      <c r="A1147" s="91"/>
      <c r="B1147" s="176"/>
      <c r="C1147" s="176"/>
      <c r="D1147" s="176"/>
      <c r="E1147" s="176"/>
      <c r="F1147" s="176"/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</row>
    <row r="1148" spans="1:25">
      <c r="A1148" s="91"/>
      <c r="B1148" s="176"/>
      <c r="C1148" s="176"/>
      <c r="D1148" s="176"/>
      <c r="E1148" s="176"/>
      <c r="F1148" s="176"/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</row>
    <row r="1149" spans="1:25">
      <c r="A1149" s="91"/>
      <c r="B1149" s="176"/>
      <c r="C1149" s="176"/>
      <c r="D1149" s="176"/>
      <c r="E1149" s="176"/>
      <c r="F1149" s="176"/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</row>
    <row r="1150" spans="1:25">
      <c r="A1150" s="91"/>
      <c r="B1150" s="176"/>
      <c r="C1150" s="176"/>
      <c r="D1150" s="176"/>
      <c r="E1150" s="176"/>
      <c r="F1150" s="176"/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</row>
    <row r="1151" spans="1:25">
      <c r="A1151" s="91"/>
      <c r="B1151" s="176"/>
      <c r="C1151" s="176"/>
      <c r="D1151" s="176"/>
      <c r="E1151" s="176"/>
      <c r="F1151" s="176"/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</row>
    <row r="1152" spans="1:25">
      <c r="A1152" s="91"/>
      <c r="B1152" s="176"/>
      <c r="C1152" s="176"/>
      <c r="D1152" s="176"/>
      <c r="E1152" s="176"/>
      <c r="F1152" s="176"/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76"/>
      <c r="T1152" s="176"/>
      <c r="U1152" s="176"/>
      <c r="V1152" s="176"/>
      <c r="W1152" s="176"/>
      <c r="X1152" s="176"/>
      <c r="Y1152" s="176"/>
    </row>
    <row r="1153" spans="1:25">
      <c r="A1153" s="91"/>
      <c r="B1153" s="176"/>
      <c r="C1153" s="176"/>
      <c r="D1153" s="176"/>
      <c r="E1153" s="176"/>
      <c r="F1153" s="176"/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76"/>
      <c r="T1153" s="176"/>
      <c r="U1153" s="176"/>
      <c r="V1153" s="176"/>
      <c r="W1153" s="176"/>
      <c r="X1153" s="176"/>
      <c r="Y1153" s="176"/>
    </row>
    <row r="1154" spans="1:25">
      <c r="A1154" s="91"/>
      <c r="B1154" s="176"/>
      <c r="C1154" s="176"/>
      <c r="D1154" s="176"/>
      <c r="E1154" s="176"/>
      <c r="F1154" s="176"/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</row>
    <row r="1155" spans="1:25">
      <c r="A1155" s="91"/>
      <c r="B1155" s="176"/>
      <c r="C1155" s="176"/>
      <c r="D1155" s="176"/>
      <c r="E1155" s="176"/>
      <c r="F1155" s="176"/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</row>
    <row r="1156" spans="1:25">
      <c r="A1156" s="91"/>
      <c r="B1156" s="176"/>
      <c r="C1156" s="176"/>
      <c r="D1156" s="176"/>
      <c r="E1156" s="176"/>
      <c r="F1156" s="176"/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6"/>
    </row>
    <row r="1157" spans="1:25">
      <c r="A1157" s="91"/>
      <c r="B1157" s="176"/>
      <c r="C1157" s="176"/>
      <c r="D1157" s="176"/>
      <c r="E1157" s="176"/>
      <c r="F1157" s="176"/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6"/>
    </row>
    <row r="1158" spans="1:25">
      <c r="A1158" s="91"/>
      <c r="B1158" s="176"/>
      <c r="C1158" s="176"/>
      <c r="D1158" s="176"/>
      <c r="E1158" s="176"/>
      <c r="F1158" s="176"/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</row>
    <row r="1159" spans="1:25">
      <c r="A1159" s="91"/>
      <c r="B1159" s="176"/>
      <c r="C1159" s="176"/>
      <c r="D1159" s="176"/>
      <c r="E1159" s="176"/>
      <c r="F1159" s="176"/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</row>
    <row r="1160" spans="1:25">
      <c r="A1160" s="91"/>
      <c r="B1160" s="176"/>
      <c r="C1160" s="176"/>
      <c r="D1160" s="176"/>
      <c r="E1160" s="176"/>
      <c r="F1160" s="176"/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</row>
    <row r="1161" spans="1:25">
      <c r="A1161" s="91"/>
      <c r="B1161" s="176"/>
      <c r="C1161" s="176"/>
      <c r="D1161" s="176"/>
      <c r="E1161" s="176"/>
      <c r="F1161" s="176"/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</row>
    <row r="1162" spans="1:25">
      <c r="A1162" s="91"/>
      <c r="B1162" s="176"/>
      <c r="C1162" s="176"/>
      <c r="D1162" s="176"/>
      <c r="E1162" s="176"/>
      <c r="F1162" s="176"/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</row>
    <row r="1163" spans="1:25">
      <c r="A1163" s="91"/>
      <c r="B1163" s="176"/>
      <c r="C1163" s="176"/>
      <c r="D1163" s="176"/>
      <c r="E1163" s="176"/>
      <c r="F1163" s="176"/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</row>
    <row r="1164" spans="1:25">
      <c r="A1164" s="91"/>
      <c r="B1164" s="176"/>
      <c r="C1164" s="176"/>
      <c r="D1164" s="176"/>
      <c r="E1164" s="176"/>
      <c r="F1164" s="176"/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</row>
    <row r="1165" spans="1:25">
      <c r="A1165" s="91"/>
      <c r="B1165" s="176"/>
      <c r="C1165" s="176"/>
      <c r="D1165" s="176"/>
      <c r="E1165" s="176"/>
      <c r="F1165" s="176"/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76"/>
      <c r="T1165" s="176"/>
      <c r="U1165" s="176"/>
      <c r="V1165" s="176"/>
      <c r="W1165" s="176"/>
      <c r="X1165" s="176"/>
      <c r="Y1165" s="176"/>
    </row>
    <row r="1166" spans="1:25">
      <c r="A1166" s="91"/>
      <c r="B1166" s="176"/>
      <c r="C1166" s="176"/>
      <c r="D1166" s="176"/>
      <c r="E1166" s="176"/>
      <c r="F1166" s="176"/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76"/>
      <c r="T1166" s="176"/>
      <c r="U1166" s="176"/>
      <c r="V1166" s="176"/>
      <c r="W1166" s="176"/>
      <c r="X1166" s="176"/>
      <c r="Y1166" s="176"/>
    </row>
    <row r="1167" spans="1:25">
      <c r="A1167" s="91"/>
      <c r="B1167" s="176"/>
      <c r="C1167" s="176"/>
      <c r="D1167" s="176"/>
      <c r="E1167" s="176"/>
      <c r="F1167" s="176"/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</row>
    <row r="1168" spans="1:25">
      <c r="A1168" s="91"/>
      <c r="B1168" s="176"/>
      <c r="C1168" s="176"/>
      <c r="D1168" s="176"/>
      <c r="E1168" s="176"/>
      <c r="F1168" s="176"/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</row>
    <row r="1169" spans="1:25">
      <c r="A1169" s="91"/>
      <c r="B1169" s="176"/>
      <c r="C1169" s="176"/>
      <c r="D1169" s="176"/>
      <c r="E1169" s="176"/>
      <c r="F1169" s="176"/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6"/>
    </row>
    <row r="1170" spans="1:25">
      <c r="A1170" s="91"/>
      <c r="B1170" s="176"/>
      <c r="C1170" s="176"/>
      <c r="D1170" s="176"/>
      <c r="E1170" s="176"/>
      <c r="F1170" s="176"/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6"/>
    </row>
    <row r="1171" spans="1:25">
      <c r="A1171" s="91"/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</row>
    <row r="1172" spans="1:25">
      <c r="A1172" s="91"/>
      <c r="B1172" s="176"/>
      <c r="C1172" s="176"/>
      <c r="D1172" s="176"/>
      <c r="E1172" s="176"/>
      <c r="F1172" s="176"/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</row>
    <row r="1173" spans="1:25">
      <c r="A1173" s="91"/>
      <c r="B1173" s="176"/>
      <c r="C1173" s="176"/>
      <c r="D1173" s="176"/>
      <c r="E1173" s="176"/>
      <c r="F1173" s="176"/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</row>
    <row r="1174" spans="1:25">
      <c r="A1174" s="91"/>
      <c r="B1174" s="176"/>
      <c r="C1174" s="176"/>
      <c r="D1174" s="176"/>
      <c r="E1174" s="176"/>
      <c r="F1174" s="176"/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</row>
    <row r="1175" spans="1:25">
      <c r="A1175" s="91"/>
      <c r="B1175" s="176"/>
      <c r="C1175" s="176"/>
      <c r="D1175" s="176"/>
      <c r="E1175" s="176"/>
      <c r="F1175" s="176"/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</row>
    <row r="1176" spans="1:25">
      <c r="A1176" s="91"/>
      <c r="B1176" s="176"/>
      <c r="C1176" s="176"/>
      <c r="D1176" s="176"/>
      <c r="E1176" s="176"/>
      <c r="F1176" s="176"/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</row>
    <row r="1177" spans="1:25">
      <c r="A1177" s="91"/>
      <c r="B1177" s="176"/>
      <c r="C1177" s="176"/>
      <c r="D1177" s="176"/>
      <c r="E1177" s="176"/>
      <c r="F1177" s="176"/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</row>
    <row r="1178" spans="1:25">
      <c r="A1178" s="91"/>
      <c r="B1178" s="176"/>
      <c r="C1178" s="176"/>
      <c r="D1178" s="176"/>
      <c r="E1178" s="176"/>
      <c r="F1178" s="176"/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76"/>
      <c r="T1178" s="176"/>
      <c r="U1178" s="176"/>
      <c r="V1178" s="176"/>
      <c r="W1178" s="176"/>
      <c r="X1178" s="176"/>
      <c r="Y1178" s="176"/>
    </row>
    <row r="1179" spans="1:25">
      <c r="A1179" s="91"/>
      <c r="B1179" s="176"/>
      <c r="C1179" s="176"/>
      <c r="D1179" s="176"/>
      <c r="E1179" s="176"/>
      <c r="F1179" s="176"/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76"/>
      <c r="T1179" s="176"/>
      <c r="U1179" s="176"/>
      <c r="V1179" s="176"/>
      <c r="W1179" s="176"/>
      <c r="X1179" s="176"/>
      <c r="Y1179" s="176"/>
    </row>
    <row r="1180" spans="1:25">
      <c r="A1180" s="91"/>
      <c r="B1180" s="176"/>
      <c r="C1180" s="176"/>
      <c r="D1180" s="176"/>
      <c r="E1180" s="176"/>
      <c r="F1180" s="176"/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</row>
    <row r="1181" spans="1:25">
      <c r="A1181" s="91"/>
      <c r="B1181" s="176"/>
      <c r="C1181" s="176"/>
      <c r="D1181" s="176"/>
      <c r="E1181" s="176"/>
      <c r="F1181" s="176"/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</row>
    <row r="1182" spans="1:25">
      <c r="A1182" s="91"/>
      <c r="B1182" s="176"/>
      <c r="C1182" s="176"/>
      <c r="D1182" s="176"/>
      <c r="E1182" s="176"/>
      <c r="F1182" s="176"/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6"/>
    </row>
    <row r="1183" spans="1:25">
      <c r="A1183" s="91"/>
      <c r="B1183" s="176"/>
      <c r="C1183" s="176"/>
      <c r="D1183" s="176"/>
      <c r="E1183" s="176"/>
      <c r="F1183" s="176"/>
      <c r="G1183" s="176"/>
      <c r="H1183" s="176"/>
      <c r="I1183" s="176"/>
      <c r="J1183" s="176"/>
      <c r="K1183" s="176"/>
      <c r="L1183" s="176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6"/>
    </row>
    <row r="1184" spans="1:25">
      <c r="A1184" s="91"/>
      <c r="B1184" s="176"/>
      <c r="C1184" s="176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</row>
    <row r="1185" spans="1:25">
      <c r="A1185" s="91"/>
      <c r="B1185" s="176"/>
      <c r="C1185" s="176"/>
      <c r="D1185" s="176"/>
      <c r="E1185" s="176"/>
      <c r="F1185" s="176"/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</row>
    <row r="1186" spans="1:25">
      <c r="A1186" s="91"/>
      <c r="B1186" s="176"/>
      <c r="C1186" s="176"/>
      <c r="D1186" s="176"/>
      <c r="E1186" s="176"/>
      <c r="F1186" s="176"/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</row>
    <row r="1187" spans="1:25">
      <c r="A1187" s="91"/>
      <c r="B1187" s="176"/>
      <c r="C1187" s="176"/>
      <c r="D1187" s="176"/>
      <c r="E1187" s="176"/>
      <c r="F1187" s="176"/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</row>
    <row r="1188" spans="1:25">
      <c r="A1188" s="91"/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</row>
    <row r="1189" spans="1:25">
      <c r="A1189" s="91"/>
      <c r="B1189" s="176"/>
      <c r="C1189" s="176"/>
      <c r="D1189" s="176"/>
      <c r="E1189" s="176"/>
      <c r="F1189" s="176"/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</row>
    <row r="1190" spans="1:25">
      <c r="A1190" s="91"/>
      <c r="B1190" s="176"/>
      <c r="C1190" s="176"/>
      <c r="D1190" s="176"/>
      <c r="E1190" s="176"/>
      <c r="F1190" s="176"/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</row>
    <row r="1191" spans="1:25">
      <c r="A1191" s="91"/>
      <c r="B1191" s="176"/>
      <c r="C1191" s="176"/>
      <c r="D1191" s="176"/>
      <c r="E1191" s="176"/>
      <c r="F1191" s="176"/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76"/>
      <c r="T1191" s="176"/>
      <c r="U1191" s="176"/>
      <c r="V1191" s="176"/>
      <c r="W1191" s="176"/>
      <c r="X1191" s="176"/>
      <c r="Y1191" s="176"/>
    </row>
    <row r="1192" spans="1:25">
      <c r="A1192" s="91"/>
      <c r="B1192" s="176"/>
      <c r="C1192" s="176"/>
      <c r="D1192" s="176"/>
      <c r="E1192" s="176"/>
      <c r="F1192" s="176"/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76"/>
      <c r="T1192" s="176"/>
      <c r="U1192" s="176"/>
      <c r="V1192" s="176"/>
      <c r="W1192" s="176"/>
      <c r="X1192" s="176"/>
      <c r="Y1192" s="176"/>
    </row>
    <row r="1193" spans="1:25">
      <c r="A1193" s="91"/>
      <c r="B1193" s="176"/>
      <c r="C1193" s="176"/>
      <c r="D1193" s="176"/>
      <c r="E1193" s="176"/>
      <c r="F1193" s="176"/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</row>
    <row r="1194" spans="1:25">
      <c r="A1194" s="91"/>
      <c r="B1194" s="176"/>
      <c r="C1194" s="176"/>
      <c r="D1194" s="176"/>
      <c r="E1194" s="176"/>
      <c r="F1194" s="176"/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</row>
    <row r="1195" spans="1:25">
      <c r="A1195" s="91"/>
      <c r="B1195" s="176"/>
      <c r="C1195" s="176"/>
      <c r="D1195" s="176"/>
      <c r="E1195" s="176"/>
      <c r="F1195" s="176"/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6"/>
    </row>
    <row r="1196" spans="1:25">
      <c r="A1196" s="91"/>
      <c r="B1196" s="176"/>
      <c r="C1196" s="176"/>
      <c r="D1196" s="176"/>
      <c r="E1196" s="176"/>
      <c r="F1196" s="176"/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</row>
    <row r="1197" spans="1:25">
      <c r="A1197" s="91"/>
      <c r="B1197" s="176"/>
      <c r="C1197" s="176"/>
      <c r="D1197" s="176"/>
      <c r="E1197" s="176"/>
      <c r="F1197" s="176"/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</row>
    <row r="1198" spans="1:25">
      <c r="A1198" s="91"/>
      <c r="B1198" s="176"/>
      <c r="C1198" s="176"/>
      <c r="D1198" s="176"/>
      <c r="E1198" s="176"/>
      <c r="F1198" s="176"/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</row>
    <row r="1199" spans="1:25">
      <c r="A1199" s="91"/>
      <c r="B1199" s="176"/>
      <c r="C1199" s="176"/>
      <c r="D1199" s="176"/>
      <c r="E1199" s="176"/>
      <c r="F1199" s="176"/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</row>
    <row r="1200" spans="1:25">
      <c r="A1200" s="91"/>
      <c r="B1200" s="176"/>
      <c r="C1200" s="176"/>
      <c r="D1200" s="176"/>
      <c r="E1200" s="176"/>
      <c r="F1200" s="176"/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</row>
    <row r="1201" spans="1:25">
      <c r="A1201" s="91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</row>
    <row r="1202" spans="1:25">
      <c r="A1202" s="91"/>
      <c r="B1202" s="176"/>
      <c r="C1202" s="176"/>
      <c r="D1202" s="176"/>
      <c r="E1202" s="176"/>
      <c r="F1202" s="176"/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</row>
    <row r="1203" spans="1:25">
      <c r="A1203" s="91"/>
      <c r="B1203" s="176"/>
      <c r="C1203" s="176"/>
      <c r="D1203" s="176"/>
      <c r="E1203" s="176"/>
      <c r="F1203" s="176"/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</row>
    <row r="1204" spans="1:25">
      <c r="A1204" s="91"/>
      <c r="B1204" s="176"/>
      <c r="C1204" s="176"/>
      <c r="D1204" s="176"/>
      <c r="E1204" s="176"/>
      <c r="F1204" s="176"/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76"/>
      <c r="T1204" s="176"/>
      <c r="U1204" s="176"/>
      <c r="V1204" s="176"/>
      <c r="W1204" s="176"/>
      <c r="X1204" s="176"/>
      <c r="Y1204" s="176"/>
    </row>
    <row r="1205" spans="1:25">
      <c r="A1205" s="91"/>
      <c r="B1205" s="176"/>
      <c r="C1205" s="176"/>
      <c r="D1205" s="176"/>
      <c r="E1205" s="176"/>
      <c r="F1205" s="176"/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76"/>
      <c r="T1205" s="176"/>
      <c r="U1205" s="176"/>
      <c r="V1205" s="176"/>
      <c r="W1205" s="176"/>
      <c r="X1205" s="176"/>
      <c r="Y1205" s="176"/>
    </row>
    <row r="1206" spans="1:25">
      <c r="A1206" s="91"/>
      <c r="B1206" s="176"/>
      <c r="C1206" s="176"/>
      <c r="D1206" s="176"/>
      <c r="E1206" s="176"/>
      <c r="F1206" s="176"/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76"/>
      <c r="T1206" s="176"/>
      <c r="U1206" s="176"/>
      <c r="V1206" s="176"/>
      <c r="W1206" s="176"/>
      <c r="X1206" s="176"/>
      <c r="Y1206" s="176"/>
    </row>
    <row r="1207" spans="1:25">
      <c r="A1207" s="91"/>
      <c r="B1207" s="176"/>
      <c r="C1207" s="176"/>
      <c r="D1207" s="176"/>
      <c r="E1207" s="176"/>
      <c r="F1207" s="176"/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76"/>
      <c r="T1207" s="176"/>
      <c r="U1207" s="176"/>
      <c r="V1207" s="176"/>
      <c r="W1207" s="176"/>
      <c r="X1207" s="176"/>
      <c r="Y1207" s="176"/>
    </row>
    <row r="1208" spans="1:25">
      <c r="A1208" s="91"/>
      <c r="B1208" s="176"/>
      <c r="C1208" s="176"/>
      <c r="D1208" s="176"/>
      <c r="E1208" s="176"/>
      <c r="F1208" s="176"/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76"/>
      <c r="T1208" s="176"/>
      <c r="U1208" s="176"/>
      <c r="V1208" s="176"/>
      <c r="W1208" s="176"/>
      <c r="X1208" s="176"/>
      <c r="Y1208" s="176"/>
    </row>
    <row r="1209" spans="1:25">
      <c r="A1209" s="91"/>
      <c r="B1209" s="176"/>
      <c r="C1209" s="176"/>
      <c r="D1209" s="176"/>
      <c r="E1209" s="176"/>
      <c r="F1209" s="176"/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76"/>
      <c r="T1209" s="176"/>
      <c r="U1209" s="176"/>
      <c r="V1209" s="176"/>
      <c r="W1209" s="176"/>
      <c r="X1209" s="176"/>
      <c r="Y1209" s="176"/>
    </row>
    <row r="1210" spans="1:25">
      <c r="A1210" s="91"/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  <c r="Y1210" s="176"/>
    </row>
    <row r="1211" spans="1:25">
      <c r="A1211" s="91"/>
      <c r="B1211" s="176"/>
      <c r="C1211" s="176"/>
      <c r="D1211" s="176"/>
      <c r="E1211" s="176"/>
      <c r="F1211" s="176"/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76"/>
      <c r="T1211" s="176"/>
      <c r="U1211" s="176"/>
      <c r="V1211" s="176"/>
      <c r="W1211" s="176"/>
      <c r="X1211" s="176"/>
      <c r="Y1211" s="176"/>
    </row>
    <row r="1212" spans="1:25">
      <c r="A1212" s="91"/>
      <c r="B1212" s="176"/>
      <c r="C1212" s="176"/>
      <c r="D1212" s="176"/>
      <c r="E1212" s="176"/>
      <c r="F1212" s="176"/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76"/>
      <c r="T1212" s="176"/>
      <c r="U1212" s="176"/>
      <c r="V1212" s="176"/>
      <c r="W1212" s="176"/>
      <c r="X1212" s="176"/>
      <c r="Y1212" s="176"/>
    </row>
    <row r="1213" spans="1:25">
      <c r="A1213" s="91"/>
      <c r="B1213" s="176"/>
      <c r="C1213" s="176"/>
      <c r="D1213" s="176"/>
      <c r="E1213" s="176"/>
      <c r="F1213" s="176"/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76"/>
      <c r="T1213" s="176"/>
      <c r="U1213" s="176"/>
      <c r="V1213" s="176"/>
      <c r="W1213" s="176"/>
      <c r="X1213" s="176"/>
      <c r="Y1213" s="176"/>
    </row>
    <row r="1214" spans="1:25">
      <c r="A1214" s="91"/>
      <c r="B1214" s="176"/>
      <c r="C1214" s="176"/>
      <c r="D1214" s="176"/>
      <c r="E1214" s="176"/>
      <c r="F1214" s="176"/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76"/>
      <c r="T1214" s="176"/>
      <c r="U1214" s="176"/>
      <c r="V1214" s="176"/>
      <c r="W1214" s="176"/>
      <c r="X1214" s="176"/>
      <c r="Y1214" s="176"/>
    </row>
    <row r="1215" spans="1:25">
      <c r="A1215" s="91"/>
      <c r="B1215" s="176"/>
      <c r="C1215" s="176"/>
      <c r="D1215" s="176"/>
      <c r="E1215" s="176"/>
      <c r="F1215" s="176"/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76"/>
      <c r="T1215" s="176"/>
      <c r="U1215" s="176"/>
      <c r="V1215" s="176"/>
      <c r="W1215" s="176"/>
      <c r="X1215" s="176"/>
      <c r="Y1215" s="176"/>
    </row>
    <row r="1216" spans="1:25">
      <c r="A1216" s="91"/>
      <c r="B1216" s="176"/>
      <c r="C1216" s="176"/>
      <c r="D1216" s="176"/>
      <c r="E1216" s="176"/>
      <c r="F1216" s="176"/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76"/>
      <c r="T1216" s="176"/>
      <c r="U1216" s="176"/>
      <c r="V1216" s="176"/>
      <c r="W1216" s="176"/>
      <c r="X1216" s="176"/>
      <c r="Y1216" s="176"/>
    </row>
    <row r="1217" spans="1:25">
      <c r="A1217" s="91"/>
      <c r="B1217" s="176"/>
      <c r="C1217" s="176"/>
      <c r="D1217" s="176"/>
      <c r="E1217" s="176"/>
      <c r="F1217" s="176"/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76"/>
      <c r="T1217" s="176"/>
      <c r="U1217" s="176"/>
      <c r="V1217" s="176"/>
      <c r="W1217" s="176"/>
      <c r="X1217" s="176"/>
      <c r="Y1217" s="176"/>
    </row>
    <row r="1218" spans="1:25">
      <c r="A1218" s="91"/>
      <c r="B1218" s="176"/>
      <c r="C1218" s="176"/>
      <c r="D1218" s="176"/>
      <c r="E1218" s="176"/>
      <c r="F1218" s="176"/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76"/>
      <c r="T1218" s="176"/>
      <c r="U1218" s="176"/>
      <c r="V1218" s="176"/>
      <c r="W1218" s="176"/>
      <c r="X1218" s="176"/>
      <c r="Y1218" s="176"/>
    </row>
    <row r="1219" spans="1:25">
      <c r="A1219" s="91"/>
      <c r="B1219" s="176"/>
      <c r="C1219" s="176"/>
      <c r="D1219" s="176"/>
      <c r="E1219" s="176"/>
      <c r="F1219" s="176"/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76"/>
      <c r="T1219" s="176"/>
      <c r="U1219" s="176"/>
      <c r="V1219" s="176"/>
      <c r="W1219" s="176"/>
      <c r="X1219" s="176"/>
      <c r="Y1219" s="176"/>
    </row>
    <row r="1220" spans="1:25">
      <c r="A1220" s="91"/>
      <c r="B1220" s="176"/>
      <c r="C1220" s="176"/>
      <c r="D1220" s="176"/>
      <c r="E1220" s="176"/>
      <c r="F1220" s="176"/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76"/>
      <c r="T1220" s="176"/>
      <c r="U1220" s="176"/>
      <c r="V1220" s="176"/>
      <c r="W1220" s="176"/>
      <c r="X1220" s="176"/>
      <c r="Y1220" s="176"/>
    </row>
    <row r="1221" spans="1:25">
      <c r="A1221" s="91"/>
      <c r="B1221" s="176"/>
      <c r="C1221" s="176"/>
      <c r="D1221" s="176"/>
      <c r="E1221" s="176"/>
      <c r="F1221" s="176"/>
      <c r="G1221" s="176"/>
      <c r="H1221" s="176"/>
      <c r="I1221" s="176"/>
      <c r="J1221" s="176"/>
      <c r="K1221" s="176"/>
      <c r="L1221" s="176"/>
      <c r="M1221" s="176"/>
      <c r="N1221" s="176"/>
      <c r="O1221" s="176"/>
      <c r="P1221" s="176"/>
      <c r="Q1221" s="176"/>
      <c r="R1221" s="176"/>
      <c r="S1221" s="176"/>
      <c r="T1221" s="176"/>
      <c r="U1221" s="176"/>
      <c r="V1221" s="176"/>
      <c r="W1221" s="176"/>
      <c r="X1221" s="176"/>
      <c r="Y1221" s="176"/>
    </row>
    <row r="1222" spans="1:25">
      <c r="A1222" s="91"/>
      <c r="B1222" s="176"/>
      <c r="C1222" s="176"/>
      <c r="D1222" s="176"/>
      <c r="E1222" s="176"/>
      <c r="F1222" s="176"/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76"/>
      <c r="T1222" s="176"/>
      <c r="U1222" s="176"/>
      <c r="V1222" s="176"/>
      <c r="W1222" s="176"/>
      <c r="X1222" s="176"/>
      <c r="Y1222" s="176"/>
    </row>
    <row r="1223" spans="1:25">
      <c r="A1223" s="91"/>
      <c r="B1223" s="176"/>
      <c r="C1223" s="176"/>
      <c r="D1223" s="176"/>
      <c r="E1223" s="176"/>
      <c r="F1223" s="176"/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76"/>
      <c r="T1223" s="176"/>
      <c r="U1223" s="176"/>
      <c r="V1223" s="176"/>
      <c r="W1223" s="176"/>
      <c r="X1223" s="176"/>
      <c r="Y1223" s="176"/>
    </row>
    <row r="1224" spans="1:25">
      <c r="A1224" s="91"/>
      <c r="B1224" s="176"/>
      <c r="C1224" s="176"/>
      <c r="D1224" s="176"/>
      <c r="E1224" s="176"/>
      <c r="F1224" s="176"/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76"/>
      <c r="T1224" s="176"/>
      <c r="U1224" s="176"/>
      <c r="V1224" s="176"/>
      <c r="W1224" s="176"/>
      <c r="X1224" s="176"/>
      <c r="Y1224" s="176"/>
    </row>
    <row r="1225" spans="1:25">
      <c r="A1225" s="91"/>
      <c r="B1225" s="176"/>
      <c r="C1225" s="176"/>
      <c r="D1225" s="176"/>
      <c r="E1225" s="176"/>
      <c r="F1225" s="176"/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76"/>
      <c r="T1225" s="176"/>
      <c r="U1225" s="176"/>
      <c r="V1225" s="176"/>
      <c r="W1225" s="176"/>
      <c r="X1225" s="176"/>
      <c r="Y1225" s="176"/>
    </row>
    <row r="1226" spans="1:25">
      <c r="A1226" s="91"/>
      <c r="B1226" s="176"/>
      <c r="C1226" s="176"/>
      <c r="D1226" s="176"/>
      <c r="E1226" s="176"/>
      <c r="F1226" s="176"/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76"/>
      <c r="T1226" s="176"/>
      <c r="U1226" s="176"/>
      <c r="V1226" s="176"/>
      <c r="W1226" s="176"/>
      <c r="X1226" s="176"/>
      <c r="Y1226" s="176"/>
    </row>
    <row r="1227" spans="1:25">
      <c r="A1227" s="91"/>
      <c r="B1227" s="176"/>
      <c r="C1227" s="176"/>
      <c r="D1227" s="176"/>
      <c r="E1227" s="176"/>
      <c r="F1227" s="176"/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76"/>
      <c r="T1227" s="176"/>
      <c r="U1227" s="176"/>
      <c r="V1227" s="176"/>
      <c r="W1227" s="176"/>
      <c r="X1227" s="176"/>
      <c r="Y1227" s="176"/>
    </row>
    <row r="1228" spans="1:25">
      <c r="A1228" s="91"/>
      <c r="B1228" s="176"/>
      <c r="C1228" s="176"/>
      <c r="D1228" s="176"/>
      <c r="E1228" s="176"/>
      <c r="F1228" s="176"/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76"/>
      <c r="T1228" s="176"/>
      <c r="U1228" s="176"/>
      <c r="V1228" s="176"/>
      <c r="W1228" s="176"/>
      <c r="X1228" s="176"/>
      <c r="Y1228" s="176"/>
    </row>
    <row r="1229" spans="1:25">
      <c r="A1229" s="91"/>
      <c r="B1229" s="176"/>
      <c r="C1229" s="176"/>
      <c r="D1229" s="176"/>
      <c r="E1229" s="176"/>
      <c r="F1229" s="176"/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76"/>
      <c r="T1229" s="176"/>
      <c r="U1229" s="176"/>
      <c r="V1229" s="176"/>
      <c r="W1229" s="176"/>
      <c r="X1229" s="176"/>
      <c r="Y1229" s="176"/>
    </row>
    <row r="1230" spans="1:25">
      <c r="A1230" s="91"/>
      <c r="B1230" s="176"/>
      <c r="C1230" s="176"/>
      <c r="D1230" s="176"/>
      <c r="E1230" s="176"/>
      <c r="F1230" s="176"/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76"/>
      <c r="T1230" s="176"/>
      <c r="U1230" s="176"/>
      <c r="V1230" s="176"/>
      <c r="W1230" s="176"/>
      <c r="X1230" s="176"/>
      <c r="Y1230" s="176"/>
    </row>
    <row r="1231" spans="1:25">
      <c r="A1231" s="91"/>
      <c r="B1231" s="176"/>
      <c r="C1231" s="176"/>
      <c r="D1231" s="176"/>
      <c r="E1231" s="176"/>
      <c r="F1231" s="176"/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76"/>
      <c r="T1231" s="176"/>
      <c r="U1231" s="176"/>
      <c r="V1231" s="176"/>
      <c r="W1231" s="176"/>
      <c r="X1231" s="176"/>
      <c r="Y1231" s="176"/>
    </row>
    <row r="1232" spans="1:25">
      <c r="A1232" s="91"/>
      <c r="B1232" s="176"/>
      <c r="C1232" s="176"/>
      <c r="D1232" s="176"/>
      <c r="E1232" s="176"/>
      <c r="F1232" s="176"/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76"/>
      <c r="T1232" s="176"/>
      <c r="U1232" s="176"/>
      <c r="V1232" s="176"/>
      <c r="W1232" s="176"/>
      <c r="X1232" s="176"/>
      <c r="Y1232" s="176"/>
    </row>
    <row r="1233" spans="1:25">
      <c r="A1233" s="91"/>
      <c r="B1233" s="176"/>
      <c r="C1233" s="176"/>
      <c r="D1233" s="176"/>
      <c r="E1233" s="176"/>
      <c r="F1233" s="176"/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76"/>
      <c r="T1233" s="176"/>
      <c r="U1233" s="176"/>
      <c r="V1233" s="176"/>
      <c r="W1233" s="176"/>
      <c r="X1233" s="176"/>
      <c r="Y1233" s="176"/>
    </row>
    <row r="1234" spans="1:25">
      <c r="A1234" s="91"/>
      <c r="B1234" s="176"/>
      <c r="C1234" s="176"/>
      <c r="D1234" s="176"/>
      <c r="E1234" s="176"/>
      <c r="F1234" s="176"/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76"/>
      <c r="T1234" s="176"/>
      <c r="U1234" s="176"/>
      <c r="V1234" s="176"/>
      <c r="W1234" s="176"/>
      <c r="X1234" s="176"/>
      <c r="Y1234" s="176"/>
    </row>
    <row r="1235" spans="1:25">
      <c r="A1235" s="91"/>
      <c r="B1235" s="176"/>
      <c r="C1235" s="176"/>
      <c r="D1235" s="176"/>
      <c r="E1235" s="176"/>
      <c r="F1235" s="176"/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76"/>
      <c r="T1235" s="176"/>
      <c r="U1235" s="176"/>
      <c r="V1235" s="176"/>
      <c r="W1235" s="176"/>
      <c r="X1235" s="176"/>
      <c r="Y1235" s="176"/>
    </row>
    <row r="1236" spans="1:25">
      <c r="A1236" s="91"/>
      <c r="B1236" s="176"/>
      <c r="C1236" s="176"/>
      <c r="D1236" s="176"/>
      <c r="E1236" s="176"/>
      <c r="F1236" s="176"/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76"/>
      <c r="T1236" s="176"/>
      <c r="U1236" s="176"/>
      <c r="V1236" s="176"/>
      <c r="W1236" s="176"/>
      <c r="X1236" s="176"/>
      <c r="Y1236" s="176"/>
    </row>
    <row r="1237" spans="1:25">
      <c r="A1237" s="91"/>
      <c r="B1237" s="176"/>
      <c r="C1237" s="176"/>
      <c r="D1237" s="176"/>
      <c r="E1237" s="176"/>
      <c r="F1237" s="176"/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76"/>
      <c r="T1237" s="176"/>
      <c r="U1237" s="176"/>
      <c r="V1237" s="176"/>
      <c r="W1237" s="176"/>
      <c r="X1237" s="176"/>
      <c r="Y1237" s="176"/>
    </row>
    <row r="1238" spans="1:25">
      <c r="A1238" s="91"/>
      <c r="B1238" s="176"/>
      <c r="C1238" s="176"/>
      <c r="D1238" s="176"/>
      <c r="E1238" s="176"/>
      <c r="F1238" s="176"/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76"/>
      <c r="T1238" s="176"/>
      <c r="U1238" s="176"/>
      <c r="V1238" s="176"/>
      <c r="W1238" s="176"/>
      <c r="X1238" s="176"/>
      <c r="Y1238" s="176"/>
    </row>
    <row r="1239" spans="1:25">
      <c r="A1239" s="91"/>
      <c r="B1239" s="176"/>
      <c r="C1239" s="176"/>
      <c r="D1239" s="176"/>
      <c r="E1239" s="176"/>
      <c r="F1239" s="176"/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76"/>
      <c r="T1239" s="176"/>
      <c r="U1239" s="176"/>
      <c r="V1239" s="176"/>
      <c r="W1239" s="176"/>
      <c r="X1239" s="176"/>
      <c r="Y1239" s="176"/>
    </row>
    <row r="1240" spans="1:25">
      <c r="A1240" s="91"/>
      <c r="B1240" s="176"/>
      <c r="C1240" s="176"/>
      <c r="D1240" s="176"/>
      <c r="E1240" s="176"/>
      <c r="F1240" s="176"/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76"/>
      <c r="T1240" s="176"/>
      <c r="U1240" s="176"/>
      <c r="V1240" s="176"/>
      <c r="W1240" s="176"/>
      <c r="X1240" s="176"/>
      <c r="Y1240" s="176"/>
    </row>
    <row r="1241" spans="1:25">
      <c r="A1241" s="91"/>
      <c r="B1241" s="176"/>
      <c r="C1241" s="176"/>
      <c r="D1241" s="176"/>
      <c r="E1241" s="176"/>
      <c r="F1241" s="176"/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76"/>
      <c r="T1241" s="176"/>
      <c r="U1241" s="176"/>
      <c r="V1241" s="176"/>
      <c r="W1241" s="176"/>
      <c r="X1241" s="176"/>
      <c r="Y1241" s="176"/>
    </row>
    <row r="1242" spans="1:25">
      <c r="A1242" s="91"/>
      <c r="B1242" s="176"/>
      <c r="C1242" s="176"/>
      <c r="D1242" s="176"/>
      <c r="E1242" s="176"/>
      <c r="F1242" s="176"/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76"/>
      <c r="T1242" s="176"/>
      <c r="U1242" s="176"/>
      <c r="V1242" s="176"/>
      <c r="W1242" s="176"/>
      <c r="X1242" s="176"/>
      <c r="Y1242" s="176"/>
    </row>
    <row r="1243" spans="1:25">
      <c r="A1243" s="91"/>
      <c r="B1243" s="176"/>
      <c r="C1243" s="176"/>
      <c r="D1243" s="176"/>
      <c r="E1243" s="176"/>
      <c r="F1243" s="176"/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76"/>
      <c r="T1243" s="176"/>
      <c r="U1243" s="176"/>
      <c r="V1243" s="176"/>
      <c r="W1243" s="176"/>
      <c r="X1243" s="176"/>
      <c r="Y1243" s="176"/>
    </row>
    <row r="1244" spans="1:25">
      <c r="A1244" s="91"/>
      <c r="B1244" s="176"/>
      <c r="C1244" s="176"/>
      <c r="D1244" s="176"/>
      <c r="E1244" s="176"/>
      <c r="F1244" s="176"/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76"/>
      <c r="T1244" s="176"/>
      <c r="U1244" s="176"/>
      <c r="V1244" s="176"/>
      <c r="W1244" s="176"/>
      <c r="X1244" s="176"/>
      <c r="Y1244" s="176"/>
    </row>
    <row r="1245" spans="1:25">
      <c r="A1245" s="91"/>
      <c r="B1245" s="176"/>
      <c r="C1245" s="176"/>
      <c r="D1245" s="176"/>
      <c r="E1245" s="176"/>
      <c r="F1245" s="176"/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76"/>
      <c r="T1245" s="176"/>
      <c r="U1245" s="176"/>
      <c r="V1245" s="176"/>
      <c r="W1245" s="176"/>
      <c r="X1245" s="176"/>
      <c r="Y1245" s="176"/>
    </row>
    <row r="1246" spans="1:25">
      <c r="A1246" s="91"/>
      <c r="B1246" s="176"/>
      <c r="C1246" s="176"/>
      <c r="D1246" s="176"/>
      <c r="E1246" s="176"/>
      <c r="F1246" s="176"/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76"/>
      <c r="T1246" s="176"/>
      <c r="U1246" s="176"/>
      <c r="V1246" s="176"/>
      <c r="W1246" s="176"/>
      <c r="X1246" s="176"/>
      <c r="Y1246" s="176"/>
    </row>
    <row r="1247" spans="1:25">
      <c r="A1247" s="91"/>
      <c r="B1247" s="176"/>
      <c r="C1247" s="176"/>
      <c r="D1247" s="176"/>
      <c r="E1247" s="176"/>
      <c r="F1247" s="176"/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76"/>
      <c r="T1247" s="176"/>
      <c r="U1247" s="176"/>
      <c r="V1247" s="176"/>
      <c r="W1247" s="176"/>
      <c r="X1247" s="176"/>
      <c r="Y1247" s="176"/>
    </row>
    <row r="1248" spans="1:25">
      <c r="A1248" s="91"/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76"/>
      <c r="T1248" s="176"/>
      <c r="U1248" s="176"/>
      <c r="V1248" s="176"/>
      <c r="W1248" s="176"/>
      <c r="X1248" s="176"/>
      <c r="Y1248" s="176"/>
    </row>
    <row r="1249" spans="1:25">
      <c r="A1249" s="91"/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  <c r="Y1249" s="176"/>
    </row>
    <row r="1250" spans="1:25">
      <c r="A1250" s="91"/>
      <c r="B1250" s="176"/>
      <c r="C1250" s="176"/>
      <c r="D1250" s="176"/>
      <c r="E1250" s="176"/>
      <c r="F1250" s="176"/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76"/>
      <c r="T1250" s="176"/>
      <c r="U1250" s="176"/>
      <c r="V1250" s="176"/>
      <c r="W1250" s="176"/>
      <c r="X1250" s="176"/>
      <c r="Y1250" s="176"/>
    </row>
    <row r="1251" spans="1:25">
      <c r="A1251" s="91"/>
      <c r="B1251" s="176"/>
      <c r="C1251" s="176"/>
      <c r="D1251" s="176"/>
      <c r="E1251" s="176"/>
      <c r="F1251" s="176"/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76"/>
      <c r="T1251" s="176"/>
      <c r="U1251" s="176"/>
      <c r="V1251" s="176"/>
      <c r="W1251" s="176"/>
      <c r="X1251" s="176"/>
      <c r="Y1251" s="176"/>
    </row>
    <row r="1252" spans="1:25">
      <c r="A1252" s="91"/>
      <c r="B1252" s="176"/>
      <c r="C1252" s="176"/>
      <c r="D1252" s="176"/>
      <c r="E1252" s="176"/>
      <c r="F1252" s="176"/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76"/>
      <c r="T1252" s="176"/>
      <c r="U1252" s="176"/>
      <c r="V1252" s="176"/>
      <c r="W1252" s="176"/>
      <c r="X1252" s="176"/>
      <c r="Y1252" s="176"/>
    </row>
    <row r="1253" spans="1:25">
      <c r="A1253" s="91"/>
      <c r="B1253" s="176"/>
      <c r="C1253" s="176"/>
      <c r="D1253" s="176"/>
      <c r="E1253" s="176"/>
      <c r="F1253" s="176"/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76"/>
      <c r="T1253" s="176"/>
      <c r="U1253" s="176"/>
      <c r="V1253" s="176"/>
      <c r="W1253" s="176"/>
      <c r="X1253" s="176"/>
      <c r="Y1253" s="176"/>
    </row>
    <row r="1254" spans="1:25">
      <c r="A1254" s="91"/>
      <c r="B1254" s="176"/>
      <c r="C1254" s="176"/>
      <c r="D1254" s="176"/>
      <c r="E1254" s="176"/>
      <c r="F1254" s="176"/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76"/>
      <c r="T1254" s="176"/>
      <c r="U1254" s="176"/>
      <c r="V1254" s="176"/>
      <c r="W1254" s="176"/>
      <c r="X1254" s="176"/>
      <c r="Y1254" s="176"/>
    </row>
    <row r="1255" spans="1:25">
      <c r="A1255" s="91"/>
      <c r="B1255" s="176"/>
      <c r="C1255" s="176"/>
      <c r="D1255" s="176"/>
      <c r="E1255" s="176"/>
      <c r="F1255" s="176"/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76"/>
      <c r="T1255" s="176"/>
      <c r="U1255" s="176"/>
      <c r="V1255" s="176"/>
      <c r="W1255" s="176"/>
      <c r="X1255" s="176"/>
      <c r="Y1255" s="176"/>
    </row>
    <row r="1256" spans="1:25">
      <c r="A1256" s="91"/>
      <c r="B1256" s="176"/>
      <c r="C1256" s="176"/>
      <c r="D1256" s="176"/>
      <c r="E1256" s="176"/>
      <c r="F1256" s="176"/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76"/>
      <c r="T1256" s="176"/>
      <c r="U1256" s="176"/>
      <c r="V1256" s="176"/>
      <c r="W1256" s="176"/>
      <c r="X1256" s="176"/>
      <c r="Y1256" s="176"/>
    </row>
    <row r="1257" spans="1:25">
      <c r="A1257" s="91"/>
      <c r="B1257" s="176"/>
      <c r="C1257" s="176"/>
      <c r="D1257" s="176"/>
      <c r="E1257" s="176"/>
      <c r="F1257" s="176"/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76"/>
      <c r="T1257" s="176"/>
      <c r="U1257" s="176"/>
      <c r="V1257" s="176"/>
      <c r="W1257" s="176"/>
      <c r="X1257" s="176"/>
      <c r="Y1257" s="176"/>
    </row>
    <row r="1258" spans="1:25">
      <c r="A1258" s="91"/>
      <c r="B1258" s="176"/>
      <c r="C1258" s="176"/>
      <c r="D1258" s="176"/>
      <c r="E1258" s="176"/>
      <c r="F1258" s="176"/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76"/>
      <c r="T1258" s="176"/>
      <c r="U1258" s="176"/>
      <c r="V1258" s="176"/>
      <c r="W1258" s="176"/>
      <c r="X1258" s="176"/>
      <c r="Y1258" s="176"/>
    </row>
    <row r="1259" spans="1:25">
      <c r="A1259" s="91"/>
      <c r="B1259" s="176"/>
      <c r="C1259" s="176"/>
      <c r="D1259" s="176"/>
      <c r="E1259" s="176"/>
      <c r="F1259" s="176"/>
      <c r="G1259" s="176"/>
      <c r="H1259" s="176"/>
      <c r="I1259" s="176"/>
      <c r="J1259" s="176"/>
      <c r="K1259" s="176"/>
      <c r="L1259" s="176"/>
      <c r="M1259" s="176"/>
      <c r="N1259" s="176"/>
      <c r="O1259" s="176"/>
      <c r="P1259" s="176"/>
      <c r="Q1259" s="176"/>
      <c r="R1259" s="176"/>
      <c r="S1259" s="176"/>
      <c r="T1259" s="176"/>
      <c r="U1259" s="176"/>
      <c r="V1259" s="176"/>
      <c r="W1259" s="176"/>
      <c r="X1259" s="176"/>
      <c r="Y1259" s="176"/>
    </row>
    <row r="1260" spans="1:25">
      <c r="A1260" s="91"/>
      <c r="B1260" s="176"/>
      <c r="C1260" s="176"/>
      <c r="D1260" s="176"/>
      <c r="E1260" s="176"/>
      <c r="F1260" s="176"/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76"/>
      <c r="T1260" s="176"/>
      <c r="U1260" s="176"/>
      <c r="V1260" s="176"/>
      <c r="W1260" s="176"/>
      <c r="X1260" s="176"/>
      <c r="Y1260" s="176"/>
    </row>
    <row r="1261" spans="1:25">
      <c r="A1261" s="91"/>
      <c r="B1261" s="176"/>
      <c r="C1261" s="176"/>
      <c r="D1261" s="176"/>
      <c r="E1261" s="176"/>
      <c r="F1261" s="176"/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76"/>
      <c r="T1261" s="176"/>
      <c r="U1261" s="176"/>
      <c r="V1261" s="176"/>
      <c r="W1261" s="176"/>
      <c r="X1261" s="176"/>
      <c r="Y1261" s="176"/>
    </row>
    <row r="1262" spans="1:25">
      <c r="A1262" s="91"/>
      <c r="B1262" s="176"/>
      <c r="C1262" s="176"/>
      <c r="D1262" s="176"/>
      <c r="E1262" s="176"/>
      <c r="F1262" s="176"/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76"/>
      <c r="T1262" s="176"/>
      <c r="U1262" s="176"/>
      <c r="V1262" s="176"/>
      <c r="W1262" s="176"/>
      <c r="X1262" s="176"/>
      <c r="Y1262" s="176"/>
    </row>
    <row r="1263" spans="1:25">
      <c r="A1263" s="91"/>
      <c r="B1263" s="176"/>
      <c r="C1263" s="176"/>
      <c r="D1263" s="176"/>
      <c r="E1263" s="176"/>
      <c r="F1263" s="176"/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76"/>
      <c r="T1263" s="176"/>
      <c r="U1263" s="176"/>
      <c r="V1263" s="176"/>
      <c r="W1263" s="176"/>
      <c r="X1263" s="176"/>
      <c r="Y1263" s="176"/>
    </row>
    <row r="1264" spans="1:25">
      <c r="A1264" s="91"/>
      <c r="B1264" s="176"/>
      <c r="C1264" s="176"/>
      <c r="D1264" s="176"/>
      <c r="E1264" s="176"/>
      <c r="F1264" s="176"/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76"/>
      <c r="T1264" s="176"/>
      <c r="U1264" s="176"/>
      <c r="V1264" s="176"/>
      <c r="W1264" s="176"/>
      <c r="X1264" s="176"/>
      <c r="Y1264" s="176"/>
    </row>
    <row r="1265" spans="1:25">
      <c r="A1265" s="91"/>
      <c r="B1265" s="176"/>
      <c r="C1265" s="176"/>
      <c r="D1265" s="176"/>
      <c r="E1265" s="176"/>
      <c r="F1265" s="176"/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76"/>
      <c r="T1265" s="176"/>
      <c r="U1265" s="176"/>
      <c r="V1265" s="176"/>
      <c r="W1265" s="176"/>
      <c r="X1265" s="176"/>
      <c r="Y1265" s="176"/>
    </row>
    <row r="1266" spans="1:25">
      <c r="A1266" s="91"/>
      <c r="B1266" s="176"/>
      <c r="C1266" s="176"/>
      <c r="D1266" s="176"/>
      <c r="E1266" s="176"/>
      <c r="F1266" s="176"/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76"/>
      <c r="T1266" s="176"/>
      <c r="U1266" s="176"/>
      <c r="V1266" s="176"/>
      <c r="W1266" s="176"/>
      <c r="X1266" s="176"/>
      <c r="Y1266" s="176"/>
    </row>
    <row r="1267" spans="1:25">
      <c r="A1267" s="91"/>
      <c r="B1267" s="176"/>
      <c r="C1267" s="176"/>
      <c r="D1267" s="176"/>
      <c r="E1267" s="176"/>
      <c r="F1267" s="176"/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76"/>
      <c r="T1267" s="176"/>
      <c r="U1267" s="176"/>
      <c r="V1267" s="176"/>
      <c r="W1267" s="176"/>
      <c r="X1267" s="176"/>
      <c r="Y1267" s="176"/>
    </row>
    <row r="1268" spans="1:25">
      <c r="A1268" s="91"/>
      <c r="B1268" s="176"/>
      <c r="C1268" s="176"/>
      <c r="D1268" s="176"/>
      <c r="E1268" s="176"/>
      <c r="F1268" s="176"/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76"/>
      <c r="T1268" s="176"/>
      <c r="U1268" s="176"/>
      <c r="V1268" s="176"/>
      <c r="W1268" s="176"/>
      <c r="X1268" s="176"/>
      <c r="Y1268" s="176"/>
    </row>
    <row r="1269" spans="1:25">
      <c r="A1269" s="91"/>
      <c r="B1269" s="176"/>
      <c r="C1269" s="176"/>
      <c r="D1269" s="176"/>
      <c r="E1269" s="176"/>
      <c r="F1269" s="176"/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76"/>
      <c r="T1269" s="176"/>
      <c r="U1269" s="176"/>
      <c r="V1269" s="176"/>
      <c r="W1269" s="176"/>
      <c r="X1269" s="176"/>
      <c r="Y1269" s="176"/>
    </row>
    <row r="1270" spans="1:25">
      <c r="A1270" s="91"/>
      <c r="B1270" s="176"/>
      <c r="C1270" s="176"/>
      <c r="D1270" s="176"/>
      <c r="E1270" s="176"/>
      <c r="F1270" s="176"/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76"/>
      <c r="T1270" s="176"/>
      <c r="U1270" s="176"/>
      <c r="V1270" s="176"/>
      <c r="W1270" s="176"/>
      <c r="X1270" s="176"/>
      <c r="Y1270" s="176"/>
    </row>
    <row r="1271" spans="1:25">
      <c r="A1271" s="91"/>
      <c r="B1271" s="176"/>
      <c r="C1271" s="176"/>
      <c r="D1271" s="176"/>
      <c r="E1271" s="176"/>
      <c r="F1271" s="176"/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76"/>
      <c r="T1271" s="176"/>
      <c r="U1271" s="176"/>
      <c r="V1271" s="176"/>
      <c r="W1271" s="176"/>
      <c r="X1271" s="176"/>
      <c r="Y1271" s="176"/>
    </row>
    <row r="1272" spans="1:25">
      <c r="A1272" s="91"/>
      <c r="B1272" s="176"/>
      <c r="C1272" s="176"/>
      <c r="D1272" s="176"/>
      <c r="E1272" s="176"/>
      <c r="F1272" s="176"/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76"/>
      <c r="T1272" s="176"/>
      <c r="U1272" s="176"/>
      <c r="V1272" s="176"/>
      <c r="W1272" s="176"/>
      <c r="X1272" s="176"/>
      <c r="Y1272" s="176"/>
    </row>
    <row r="1273" spans="1:25">
      <c r="A1273" s="91"/>
      <c r="B1273" s="176"/>
      <c r="C1273" s="176"/>
      <c r="D1273" s="176"/>
      <c r="E1273" s="176"/>
      <c r="F1273" s="176"/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76"/>
      <c r="T1273" s="176"/>
      <c r="U1273" s="176"/>
      <c r="V1273" s="176"/>
      <c r="W1273" s="176"/>
      <c r="X1273" s="176"/>
      <c r="Y1273" s="176"/>
    </row>
    <row r="1274" spans="1:25">
      <c r="A1274" s="91"/>
      <c r="B1274" s="176"/>
      <c r="C1274" s="176"/>
      <c r="D1274" s="176"/>
      <c r="E1274" s="176"/>
      <c r="F1274" s="176"/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76"/>
      <c r="T1274" s="176"/>
      <c r="U1274" s="176"/>
      <c r="V1274" s="176"/>
      <c r="W1274" s="176"/>
      <c r="X1274" s="176"/>
      <c r="Y1274" s="176"/>
    </row>
    <row r="1275" spans="1:25">
      <c r="A1275" s="91"/>
      <c r="B1275" s="176"/>
      <c r="C1275" s="176"/>
      <c r="D1275" s="176"/>
      <c r="E1275" s="176"/>
      <c r="F1275" s="176"/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76"/>
      <c r="T1275" s="176"/>
      <c r="U1275" s="176"/>
      <c r="V1275" s="176"/>
      <c r="W1275" s="176"/>
      <c r="X1275" s="176"/>
      <c r="Y1275" s="176"/>
    </row>
    <row r="1276" spans="1:25">
      <c r="A1276" s="91"/>
      <c r="B1276" s="176"/>
      <c r="C1276" s="176"/>
      <c r="D1276" s="176"/>
      <c r="E1276" s="176"/>
      <c r="F1276" s="176"/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76"/>
      <c r="T1276" s="176"/>
      <c r="U1276" s="176"/>
      <c r="V1276" s="176"/>
      <c r="W1276" s="176"/>
      <c r="X1276" s="176"/>
      <c r="Y1276" s="176"/>
    </row>
    <row r="1277" spans="1:25">
      <c r="A1277" s="91"/>
      <c r="B1277" s="176"/>
      <c r="C1277" s="176"/>
      <c r="D1277" s="176"/>
      <c r="E1277" s="176"/>
      <c r="F1277" s="176"/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76"/>
      <c r="T1277" s="176"/>
      <c r="U1277" s="176"/>
      <c r="V1277" s="176"/>
      <c r="W1277" s="176"/>
      <c r="X1277" s="176"/>
      <c r="Y1277" s="176"/>
    </row>
    <row r="1278" spans="1:25">
      <c r="A1278" s="91"/>
      <c r="B1278" s="176"/>
      <c r="C1278" s="176"/>
      <c r="D1278" s="176"/>
      <c r="E1278" s="176"/>
      <c r="F1278" s="176"/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76"/>
      <c r="T1278" s="176"/>
      <c r="U1278" s="176"/>
      <c r="V1278" s="176"/>
      <c r="W1278" s="176"/>
      <c r="X1278" s="176"/>
      <c r="Y1278" s="176"/>
    </row>
    <row r="1279" spans="1:25">
      <c r="A1279" s="91"/>
      <c r="B1279" s="176"/>
      <c r="C1279" s="176"/>
      <c r="D1279" s="176"/>
      <c r="E1279" s="176"/>
      <c r="F1279" s="176"/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76"/>
      <c r="T1279" s="176"/>
      <c r="U1279" s="176"/>
      <c r="V1279" s="176"/>
      <c r="W1279" s="176"/>
      <c r="X1279" s="176"/>
      <c r="Y1279" s="176"/>
    </row>
    <row r="1280" spans="1:25">
      <c r="A1280" s="91"/>
      <c r="B1280" s="176"/>
      <c r="C1280" s="176"/>
      <c r="D1280" s="176"/>
      <c r="E1280" s="176"/>
      <c r="F1280" s="176"/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76"/>
      <c r="T1280" s="176"/>
      <c r="U1280" s="176"/>
      <c r="V1280" s="176"/>
      <c r="W1280" s="176"/>
      <c r="X1280" s="176"/>
      <c r="Y1280" s="176"/>
    </row>
    <row r="1281" spans="1:25">
      <c r="A1281" s="91"/>
      <c r="B1281" s="176"/>
      <c r="C1281" s="176"/>
      <c r="D1281" s="176"/>
      <c r="E1281" s="176"/>
      <c r="F1281" s="176"/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76"/>
      <c r="T1281" s="176"/>
      <c r="U1281" s="176"/>
      <c r="V1281" s="176"/>
      <c r="W1281" s="176"/>
      <c r="X1281" s="176"/>
      <c r="Y1281" s="176"/>
    </row>
    <row r="1282" spans="1:25">
      <c r="A1282" s="91"/>
      <c r="B1282" s="176"/>
      <c r="C1282" s="176"/>
      <c r="D1282" s="176"/>
      <c r="E1282" s="176"/>
      <c r="F1282" s="176"/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76"/>
      <c r="T1282" s="176"/>
      <c r="U1282" s="176"/>
      <c r="V1282" s="176"/>
      <c r="W1282" s="176"/>
      <c r="X1282" s="176"/>
      <c r="Y1282" s="176"/>
    </row>
    <row r="1283" spans="1:25">
      <c r="A1283" s="91"/>
      <c r="B1283" s="176"/>
      <c r="C1283" s="176"/>
      <c r="D1283" s="176"/>
      <c r="E1283" s="176"/>
      <c r="F1283" s="176"/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76"/>
      <c r="T1283" s="176"/>
      <c r="U1283" s="176"/>
      <c r="V1283" s="176"/>
      <c r="W1283" s="176"/>
      <c r="X1283" s="176"/>
      <c r="Y1283" s="176"/>
    </row>
    <row r="1284" spans="1:25">
      <c r="A1284" s="91"/>
      <c r="B1284" s="176"/>
      <c r="C1284" s="176"/>
      <c r="D1284" s="176"/>
      <c r="E1284" s="176"/>
      <c r="F1284" s="176"/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76"/>
      <c r="T1284" s="176"/>
      <c r="U1284" s="176"/>
      <c r="V1284" s="176"/>
      <c r="W1284" s="176"/>
      <c r="X1284" s="176"/>
      <c r="Y1284" s="176"/>
    </row>
    <row r="1285" spans="1:25">
      <c r="A1285" s="91"/>
      <c r="B1285" s="176"/>
      <c r="C1285" s="176"/>
      <c r="D1285" s="176"/>
      <c r="E1285" s="176"/>
      <c r="F1285" s="176"/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76"/>
      <c r="T1285" s="176"/>
      <c r="U1285" s="176"/>
      <c r="V1285" s="176"/>
      <c r="W1285" s="176"/>
      <c r="X1285" s="176"/>
      <c r="Y1285" s="176"/>
    </row>
    <row r="1286" spans="1:25">
      <c r="A1286" s="91"/>
      <c r="B1286" s="176"/>
      <c r="C1286" s="176"/>
      <c r="D1286" s="176"/>
      <c r="E1286" s="176"/>
      <c r="F1286" s="176"/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76"/>
      <c r="T1286" s="176"/>
      <c r="U1286" s="176"/>
      <c r="V1286" s="176"/>
      <c r="W1286" s="176"/>
      <c r="X1286" s="176"/>
      <c r="Y1286" s="176"/>
    </row>
    <row r="1287" spans="1:25">
      <c r="A1287" s="91"/>
      <c r="B1287" s="176"/>
      <c r="C1287" s="176"/>
      <c r="D1287" s="176"/>
      <c r="E1287" s="176"/>
      <c r="F1287" s="176"/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76"/>
      <c r="T1287" s="176"/>
      <c r="U1287" s="176"/>
      <c r="V1287" s="176"/>
      <c r="W1287" s="176"/>
      <c r="X1287" s="176"/>
      <c r="Y1287" s="176"/>
    </row>
    <row r="1288" spans="1:25">
      <c r="A1288" s="91"/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  <c r="Y1288" s="176"/>
    </row>
    <row r="1289" spans="1:25">
      <c r="A1289" s="91"/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  <c r="Y1289" s="176"/>
    </row>
    <row r="1290" spans="1:25">
      <c r="A1290" s="91"/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  <c r="Y1290" s="176"/>
    </row>
    <row r="1291" spans="1:25">
      <c r="A1291" s="91"/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  <c r="Y1291" s="176"/>
    </row>
    <row r="1292" spans="1:25">
      <c r="A1292" s="91"/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  <c r="Y1292" s="176"/>
    </row>
    <row r="1293" spans="1:25">
      <c r="A1293" s="91"/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  <c r="Y1293" s="176"/>
    </row>
    <row r="1294" spans="1:25">
      <c r="A1294" s="91"/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  <c r="Y1294" s="176"/>
    </row>
    <row r="1295" spans="1:25">
      <c r="A1295" s="91"/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  <c r="Y1295" s="176"/>
    </row>
    <row r="1296" spans="1:25">
      <c r="A1296" s="91"/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  <c r="Y1296" s="176"/>
    </row>
    <row r="1297" spans="1:25">
      <c r="A1297" s="91"/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  <c r="Y1297" s="176"/>
    </row>
    <row r="1298" spans="1:25">
      <c r="A1298" s="91"/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  <c r="Y1298" s="176"/>
    </row>
    <row r="1299" spans="1:25">
      <c r="A1299" s="91"/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  <c r="Y1299" s="176"/>
    </row>
    <row r="1300" spans="1:25">
      <c r="A1300" s="91"/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  <c r="Y1300" s="176"/>
    </row>
    <row r="1301" spans="1:25">
      <c r="A1301" s="91"/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  <c r="Y1301" s="176"/>
    </row>
    <row r="1302" spans="1:25">
      <c r="A1302" s="91"/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  <c r="Y1302" s="176"/>
    </row>
    <row r="1303" spans="1:25">
      <c r="A1303" s="91"/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  <c r="Y1303" s="176"/>
    </row>
    <row r="1304" spans="1:25">
      <c r="A1304" s="91"/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  <c r="Y1304" s="176"/>
    </row>
    <row r="1305" spans="1:25">
      <c r="A1305" s="91"/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  <c r="Y1305" s="176"/>
    </row>
    <row r="1306" spans="1:25">
      <c r="A1306" s="91"/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  <c r="Y1306" s="176"/>
    </row>
    <row r="1307" spans="1:25">
      <c r="A1307" s="91"/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  <c r="Y1307" s="176"/>
    </row>
    <row r="1308" spans="1:25">
      <c r="A1308" s="91"/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  <c r="Y1308" s="176"/>
    </row>
    <row r="1309" spans="1:25">
      <c r="A1309" s="91"/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  <c r="Y1309" s="176"/>
    </row>
    <row r="1310" spans="1:25">
      <c r="A1310" s="91"/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  <c r="Y1310" s="176"/>
    </row>
    <row r="1311" spans="1:25">
      <c r="A1311" s="91"/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  <c r="Y1311" s="176"/>
    </row>
    <row r="1312" spans="1:25">
      <c r="A1312" s="91"/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  <c r="Y1312" s="176"/>
    </row>
    <row r="1313" spans="1:25">
      <c r="A1313" s="91"/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  <c r="Y1313" s="176"/>
    </row>
    <row r="1314" spans="1:25">
      <c r="A1314" s="91"/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  <c r="Y1314" s="176"/>
    </row>
    <row r="1315" spans="1:25">
      <c r="A1315" s="91"/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  <c r="Y1315" s="176"/>
    </row>
    <row r="1316" spans="1:25">
      <c r="A1316" s="91"/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  <c r="Y1316" s="176"/>
    </row>
    <row r="1317" spans="1:25">
      <c r="A1317" s="91"/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  <c r="Y1317" s="176"/>
    </row>
    <row r="1318" spans="1:25">
      <c r="A1318" s="91"/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  <c r="Y1318" s="176"/>
    </row>
    <row r="1319" spans="1:25">
      <c r="A1319" s="91"/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  <c r="Y1319" s="176"/>
    </row>
    <row r="1320" spans="1:25">
      <c r="A1320" s="91"/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  <c r="Y1320" s="176"/>
    </row>
    <row r="1321" spans="1:25">
      <c r="A1321" s="91"/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  <c r="Y1321" s="176"/>
    </row>
    <row r="1322" spans="1:25">
      <c r="A1322" s="91"/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  <c r="Y1322" s="176"/>
    </row>
    <row r="1323" spans="1:25">
      <c r="A1323" s="91"/>
      <c r="B1323" s="176"/>
      <c r="C1323" s="176"/>
      <c r="D1323" s="176"/>
      <c r="E1323" s="176"/>
      <c r="F1323" s="176"/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76"/>
      <c r="T1323" s="176"/>
      <c r="U1323" s="176"/>
      <c r="V1323" s="176"/>
      <c r="W1323" s="176"/>
      <c r="X1323" s="176"/>
      <c r="Y1323" s="176"/>
    </row>
    <row r="1324" spans="1:25">
      <c r="A1324" s="91"/>
      <c r="B1324" s="176"/>
      <c r="C1324" s="176"/>
      <c r="D1324" s="176"/>
      <c r="E1324" s="176"/>
      <c r="F1324" s="176"/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76"/>
      <c r="T1324" s="176"/>
      <c r="U1324" s="176"/>
      <c r="V1324" s="176"/>
      <c r="W1324" s="176"/>
      <c r="X1324" s="176"/>
      <c r="Y1324" s="176"/>
    </row>
    <row r="1325" spans="1:25">
      <c r="A1325" s="91"/>
      <c r="B1325" s="176"/>
      <c r="C1325" s="176"/>
      <c r="D1325" s="176"/>
      <c r="E1325" s="176"/>
      <c r="F1325" s="176"/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76"/>
      <c r="T1325" s="176"/>
      <c r="U1325" s="176"/>
      <c r="V1325" s="176"/>
      <c r="W1325" s="176"/>
      <c r="X1325" s="176"/>
      <c r="Y1325" s="176"/>
    </row>
    <row r="1326" spans="1:25">
      <c r="A1326" s="91"/>
      <c r="B1326" s="176"/>
      <c r="C1326" s="176"/>
      <c r="D1326" s="176"/>
      <c r="E1326" s="176"/>
      <c r="F1326" s="176"/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76"/>
      <c r="T1326" s="176"/>
      <c r="U1326" s="176"/>
      <c r="V1326" s="176"/>
      <c r="W1326" s="176"/>
      <c r="X1326" s="176"/>
      <c r="Y1326" s="176"/>
    </row>
    <row r="1327" spans="1:25">
      <c r="A1327" s="91"/>
      <c r="B1327" s="176"/>
      <c r="C1327" s="176"/>
      <c r="D1327" s="176"/>
      <c r="E1327" s="176"/>
      <c r="F1327" s="176"/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76"/>
      <c r="T1327" s="176"/>
      <c r="U1327" s="176"/>
      <c r="V1327" s="176"/>
      <c r="W1327" s="176"/>
      <c r="X1327" s="176"/>
      <c r="Y1327" s="176"/>
    </row>
    <row r="1328" spans="1:25">
      <c r="A1328" s="91"/>
      <c r="B1328" s="176"/>
      <c r="C1328" s="176"/>
      <c r="D1328" s="176"/>
      <c r="E1328" s="176"/>
      <c r="F1328" s="176"/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76"/>
      <c r="T1328" s="176"/>
      <c r="U1328" s="176"/>
      <c r="V1328" s="176"/>
      <c r="W1328" s="176"/>
      <c r="X1328" s="176"/>
      <c r="Y1328" s="176"/>
    </row>
    <row r="1329" spans="1:25">
      <c r="A1329" s="91"/>
      <c r="B1329" s="176"/>
      <c r="C1329" s="176"/>
      <c r="D1329" s="176"/>
      <c r="E1329" s="176"/>
      <c r="F1329" s="176"/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76"/>
      <c r="T1329" s="176"/>
      <c r="U1329" s="176"/>
      <c r="V1329" s="176"/>
      <c r="W1329" s="176"/>
      <c r="X1329" s="176"/>
      <c r="Y1329" s="176"/>
    </row>
    <row r="1330" spans="1:25">
      <c r="A1330" s="91"/>
      <c r="B1330" s="176"/>
      <c r="C1330" s="176"/>
      <c r="D1330" s="176"/>
      <c r="E1330" s="176"/>
      <c r="F1330" s="176"/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76"/>
      <c r="T1330" s="176"/>
      <c r="U1330" s="176"/>
      <c r="V1330" s="176"/>
      <c r="W1330" s="176"/>
      <c r="X1330" s="176"/>
      <c r="Y1330" s="176"/>
    </row>
    <row r="1331" spans="1:25">
      <c r="A1331" s="91"/>
      <c r="B1331" s="176"/>
      <c r="C1331" s="176"/>
      <c r="D1331" s="176"/>
      <c r="E1331" s="176"/>
      <c r="F1331" s="176"/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76"/>
      <c r="T1331" s="176"/>
      <c r="U1331" s="176"/>
      <c r="V1331" s="176"/>
      <c r="W1331" s="176"/>
      <c r="X1331" s="176"/>
      <c r="Y1331" s="176"/>
    </row>
    <row r="1332" spans="1:25">
      <c r="A1332" s="91"/>
      <c r="B1332" s="176"/>
      <c r="C1332" s="176"/>
      <c r="D1332" s="176"/>
      <c r="E1332" s="176"/>
      <c r="F1332" s="176"/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76"/>
      <c r="T1332" s="176"/>
      <c r="U1332" s="176"/>
      <c r="V1332" s="176"/>
      <c r="W1332" s="176"/>
      <c r="X1332" s="176"/>
      <c r="Y1332" s="176"/>
    </row>
    <row r="1333" spans="1:25">
      <c r="A1333" s="91"/>
      <c r="B1333" s="176"/>
      <c r="C1333" s="176"/>
      <c r="D1333" s="176"/>
      <c r="E1333" s="176"/>
      <c r="F1333" s="176"/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76"/>
      <c r="T1333" s="176"/>
      <c r="U1333" s="176"/>
      <c r="V1333" s="176"/>
      <c r="W1333" s="176"/>
      <c r="X1333" s="176"/>
      <c r="Y1333" s="176"/>
    </row>
    <row r="1334" spans="1:25">
      <c r="A1334" s="91"/>
      <c r="B1334" s="176"/>
      <c r="C1334" s="176"/>
      <c r="D1334" s="176"/>
      <c r="E1334" s="176"/>
      <c r="F1334" s="176"/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76"/>
      <c r="T1334" s="176"/>
      <c r="U1334" s="176"/>
      <c r="V1334" s="176"/>
      <c r="W1334" s="176"/>
      <c r="X1334" s="176"/>
      <c r="Y1334" s="176"/>
    </row>
    <row r="1335" spans="1:25">
      <c r="A1335" s="91"/>
      <c r="B1335" s="176"/>
      <c r="C1335" s="176"/>
      <c r="D1335" s="176"/>
      <c r="E1335" s="176"/>
      <c r="F1335" s="176"/>
      <c r="G1335" s="176"/>
      <c r="H1335" s="176"/>
      <c r="I1335" s="176"/>
      <c r="J1335" s="176"/>
      <c r="K1335" s="176"/>
      <c r="L1335" s="176"/>
      <c r="M1335" s="176"/>
      <c r="N1335" s="176"/>
      <c r="O1335" s="176"/>
      <c r="P1335" s="176"/>
      <c r="Q1335" s="176"/>
      <c r="R1335" s="176"/>
      <c r="S1335" s="176"/>
      <c r="T1335" s="176"/>
      <c r="U1335" s="176"/>
      <c r="V1335" s="176"/>
      <c r="W1335" s="176"/>
      <c r="X1335" s="176"/>
      <c r="Y1335" s="176"/>
    </row>
    <row r="1336" spans="1:25">
      <c r="A1336" s="91"/>
      <c r="B1336" s="176"/>
      <c r="C1336" s="176"/>
      <c r="D1336" s="176"/>
      <c r="E1336" s="176"/>
      <c r="F1336" s="176"/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76"/>
      <c r="T1336" s="176"/>
      <c r="U1336" s="176"/>
      <c r="V1336" s="176"/>
      <c r="W1336" s="176"/>
      <c r="X1336" s="176"/>
      <c r="Y1336" s="176"/>
    </row>
    <row r="1337" spans="1:25">
      <c r="A1337" s="91"/>
      <c r="B1337" s="176"/>
      <c r="C1337" s="176"/>
      <c r="D1337" s="176"/>
      <c r="E1337" s="176"/>
      <c r="F1337" s="176"/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76"/>
      <c r="T1337" s="176"/>
      <c r="U1337" s="176"/>
      <c r="V1337" s="176"/>
      <c r="W1337" s="176"/>
      <c r="X1337" s="176"/>
      <c r="Y1337" s="176"/>
    </row>
    <row r="1338" spans="1:25">
      <c r="A1338" s="91"/>
      <c r="B1338" s="176"/>
      <c r="C1338" s="176"/>
      <c r="D1338" s="176"/>
      <c r="E1338" s="176"/>
      <c r="F1338" s="176"/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76"/>
      <c r="T1338" s="176"/>
      <c r="U1338" s="176"/>
      <c r="V1338" s="176"/>
      <c r="W1338" s="176"/>
      <c r="X1338" s="176"/>
      <c r="Y1338" s="176"/>
    </row>
    <row r="1339" spans="1:25">
      <c r="A1339" s="91"/>
      <c r="B1339" s="176"/>
      <c r="C1339" s="176"/>
      <c r="D1339" s="176"/>
      <c r="E1339" s="176"/>
      <c r="F1339" s="176"/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76"/>
      <c r="T1339" s="176"/>
      <c r="U1339" s="176"/>
      <c r="V1339" s="176"/>
      <c r="W1339" s="176"/>
      <c r="X1339" s="176"/>
      <c r="Y1339" s="176"/>
    </row>
    <row r="1340" spans="1:25">
      <c r="A1340" s="91"/>
      <c r="B1340" s="176"/>
      <c r="C1340" s="176"/>
      <c r="D1340" s="176"/>
      <c r="E1340" s="176"/>
      <c r="F1340" s="176"/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76"/>
      <c r="T1340" s="176"/>
      <c r="U1340" s="176"/>
      <c r="V1340" s="176"/>
      <c r="W1340" s="176"/>
      <c r="X1340" s="176"/>
      <c r="Y1340" s="176"/>
    </row>
    <row r="1341" spans="1:25">
      <c r="A1341" s="91"/>
      <c r="B1341" s="176"/>
      <c r="C1341" s="176"/>
      <c r="D1341" s="176"/>
      <c r="E1341" s="176"/>
      <c r="F1341" s="176"/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76"/>
      <c r="T1341" s="176"/>
      <c r="U1341" s="176"/>
      <c r="V1341" s="176"/>
      <c r="W1341" s="176"/>
      <c r="X1341" s="176"/>
      <c r="Y1341" s="176"/>
    </row>
    <row r="1342" spans="1:25">
      <c r="A1342" s="91"/>
      <c r="B1342" s="176"/>
      <c r="C1342" s="176"/>
      <c r="D1342" s="176"/>
      <c r="E1342" s="176"/>
      <c r="F1342" s="176"/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76"/>
      <c r="T1342" s="176"/>
      <c r="U1342" s="176"/>
      <c r="V1342" s="176"/>
      <c r="W1342" s="176"/>
      <c r="X1342" s="176"/>
      <c r="Y1342" s="176"/>
    </row>
    <row r="1343" spans="1:25">
      <c r="A1343" s="91"/>
      <c r="B1343" s="176"/>
      <c r="C1343" s="176"/>
      <c r="D1343" s="176"/>
      <c r="E1343" s="176"/>
      <c r="F1343" s="176"/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76"/>
      <c r="T1343" s="176"/>
      <c r="U1343" s="176"/>
      <c r="V1343" s="176"/>
      <c r="W1343" s="176"/>
      <c r="X1343" s="176"/>
      <c r="Y1343" s="176"/>
    </row>
    <row r="1344" spans="1:25">
      <c r="A1344" s="91"/>
      <c r="B1344" s="176"/>
      <c r="C1344" s="176"/>
      <c r="D1344" s="176"/>
      <c r="E1344" s="176"/>
      <c r="F1344" s="176"/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76"/>
      <c r="T1344" s="176"/>
      <c r="U1344" s="176"/>
      <c r="V1344" s="176"/>
      <c r="W1344" s="176"/>
      <c r="X1344" s="176"/>
      <c r="Y1344" s="176"/>
    </row>
    <row r="1345" spans="1:25">
      <c r="A1345" s="91"/>
      <c r="B1345" s="176"/>
      <c r="C1345" s="176"/>
      <c r="D1345" s="176"/>
      <c r="E1345" s="176"/>
      <c r="F1345" s="176"/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76"/>
      <c r="T1345" s="176"/>
      <c r="U1345" s="176"/>
      <c r="V1345" s="176"/>
      <c r="W1345" s="176"/>
      <c r="X1345" s="176"/>
      <c r="Y1345" s="176"/>
    </row>
    <row r="1346" spans="1:25">
      <c r="A1346" s="91"/>
      <c r="B1346" s="176"/>
      <c r="C1346" s="176"/>
      <c r="D1346" s="176"/>
      <c r="E1346" s="176"/>
      <c r="F1346" s="176"/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76"/>
      <c r="T1346" s="176"/>
      <c r="U1346" s="176"/>
      <c r="V1346" s="176"/>
      <c r="W1346" s="176"/>
      <c r="X1346" s="176"/>
      <c r="Y1346" s="176"/>
    </row>
    <row r="1347" spans="1:25">
      <c r="A1347" s="91"/>
      <c r="B1347" s="176"/>
      <c r="C1347" s="176"/>
      <c r="D1347" s="176"/>
      <c r="E1347" s="176"/>
      <c r="F1347" s="176"/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76"/>
      <c r="T1347" s="176"/>
      <c r="U1347" s="176"/>
      <c r="V1347" s="176"/>
      <c r="W1347" s="176"/>
      <c r="X1347" s="176"/>
      <c r="Y1347" s="176"/>
    </row>
    <row r="1348" spans="1:25">
      <c r="A1348" s="91"/>
      <c r="B1348" s="176"/>
      <c r="C1348" s="176"/>
      <c r="D1348" s="176"/>
      <c r="E1348" s="176"/>
      <c r="F1348" s="176"/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76"/>
      <c r="T1348" s="176"/>
      <c r="U1348" s="176"/>
      <c r="V1348" s="176"/>
      <c r="W1348" s="176"/>
      <c r="X1348" s="176"/>
      <c r="Y1348" s="176"/>
    </row>
    <row r="1349" spans="1:25">
      <c r="A1349" s="91"/>
      <c r="B1349" s="176"/>
      <c r="C1349" s="176"/>
      <c r="D1349" s="176"/>
      <c r="E1349" s="176"/>
      <c r="F1349" s="176"/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76"/>
      <c r="T1349" s="176"/>
      <c r="U1349" s="176"/>
      <c r="V1349" s="176"/>
      <c r="W1349" s="176"/>
      <c r="X1349" s="176"/>
      <c r="Y1349" s="176"/>
    </row>
    <row r="1350" spans="1:25">
      <c r="A1350" s="91"/>
      <c r="B1350" s="176"/>
      <c r="C1350" s="176"/>
      <c r="D1350" s="176"/>
      <c r="E1350" s="176"/>
      <c r="F1350" s="176"/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76"/>
      <c r="T1350" s="176"/>
      <c r="U1350" s="176"/>
      <c r="V1350" s="176"/>
      <c r="W1350" s="176"/>
      <c r="X1350" s="176"/>
      <c r="Y1350" s="176"/>
    </row>
    <row r="1351" spans="1:25">
      <c r="A1351" s="91"/>
      <c r="B1351" s="176"/>
      <c r="C1351" s="176"/>
      <c r="D1351" s="176"/>
      <c r="E1351" s="176"/>
      <c r="F1351" s="176"/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76"/>
      <c r="T1351" s="176"/>
      <c r="U1351" s="176"/>
      <c r="V1351" s="176"/>
      <c r="W1351" s="176"/>
      <c r="X1351" s="176"/>
      <c r="Y1351" s="176"/>
    </row>
    <row r="1352" spans="1:25">
      <c r="A1352" s="91"/>
      <c r="B1352" s="176"/>
      <c r="C1352" s="176"/>
      <c r="D1352" s="176"/>
      <c r="E1352" s="176"/>
      <c r="F1352" s="176"/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76"/>
      <c r="T1352" s="176"/>
      <c r="U1352" s="176"/>
      <c r="V1352" s="176"/>
      <c r="W1352" s="176"/>
      <c r="X1352" s="176"/>
      <c r="Y1352" s="176"/>
    </row>
    <row r="1353" spans="1:25">
      <c r="A1353" s="91"/>
      <c r="B1353" s="176"/>
      <c r="C1353" s="176"/>
      <c r="D1353" s="176"/>
      <c r="E1353" s="176"/>
      <c r="F1353" s="176"/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76"/>
      <c r="T1353" s="176"/>
      <c r="U1353" s="176"/>
      <c r="V1353" s="176"/>
      <c r="W1353" s="176"/>
      <c r="X1353" s="176"/>
      <c r="Y1353" s="176"/>
    </row>
    <row r="1354" spans="1:25">
      <c r="A1354" s="91"/>
      <c r="B1354" s="176"/>
      <c r="C1354" s="176"/>
      <c r="D1354" s="176"/>
      <c r="E1354" s="176"/>
      <c r="F1354" s="176"/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76"/>
      <c r="T1354" s="176"/>
      <c r="U1354" s="176"/>
      <c r="V1354" s="176"/>
      <c r="W1354" s="176"/>
      <c r="X1354" s="176"/>
      <c r="Y1354" s="176"/>
    </row>
    <row r="1355" spans="1:25">
      <c r="A1355" s="91"/>
      <c r="B1355" s="176"/>
      <c r="C1355" s="176"/>
      <c r="D1355" s="176"/>
      <c r="E1355" s="176"/>
      <c r="F1355" s="176"/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76"/>
      <c r="T1355" s="176"/>
      <c r="U1355" s="176"/>
      <c r="V1355" s="176"/>
      <c r="W1355" s="176"/>
      <c r="X1355" s="176"/>
      <c r="Y1355" s="176"/>
    </row>
    <row r="1356" spans="1:25">
      <c r="A1356" s="91"/>
      <c r="B1356" s="176"/>
      <c r="C1356" s="176"/>
      <c r="D1356" s="176"/>
      <c r="E1356" s="176"/>
      <c r="F1356" s="176"/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76"/>
      <c r="T1356" s="176"/>
      <c r="U1356" s="176"/>
      <c r="V1356" s="176"/>
      <c r="W1356" s="176"/>
      <c r="X1356" s="176"/>
      <c r="Y1356" s="176"/>
    </row>
    <row r="1357" spans="1:25">
      <c r="A1357" s="91"/>
      <c r="B1357" s="176"/>
      <c r="C1357" s="176"/>
      <c r="D1357" s="176"/>
      <c r="E1357" s="176"/>
      <c r="F1357" s="176"/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76"/>
      <c r="T1357" s="176"/>
      <c r="U1357" s="176"/>
      <c r="V1357" s="176"/>
      <c r="W1357" s="176"/>
      <c r="X1357" s="176"/>
      <c r="Y1357" s="176"/>
    </row>
    <row r="1358" spans="1:25">
      <c r="A1358" s="91"/>
      <c r="B1358" s="176"/>
      <c r="C1358" s="176"/>
      <c r="D1358" s="176"/>
      <c r="E1358" s="176"/>
      <c r="F1358" s="176"/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76"/>
      <c r="T1358" s="176"/>
      <c r="U1358" s="176"/>
      <c r="V1358" s="176"/>
      <c r="W1358" s="176"/>
      <c r="X1358" s="176"/>
      <c r="Y1358" s="176"/>
    </row>
    <row r="1359" spans="1:25">
      <c r="A1359" s="91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76"/>
      <c r="T1359" s="176"/>
      <c r="U1359" s="176"/>
      <c r="V1359" s="176"/>
      <c r="W1359" s="176"/>
      <c r="X1359" s="176"/>
      <c r="Y1359" s="176"/>
    </row>
    <row r="1360" spans="1:25">
      <c r="A1360" s="91"/>
      <c r="B1360" s="176"/>
      <c r="C1360" s="176"/>
      <c r="D1360" s="176"/>
      <c r="E1360" s="176"/>
      <c r="F1360" s="176"/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76"/>
      <c r="T1360" s="176"/>
      <c r="U1360" s="176"/>
      <c r="V1360" s="176"/>
      <c r="W1360" s="176"/>
      <c r="X1360" s="176"/>
      <c r="Y1360" s="176"/>
    </row>
    <row r="1361" spans="1:25">
      <c r="A1361" s="91"/>
      <c r="B1361" s="176"/>
      <c r="C1361" s="176"/>
      <c r="D1361" s="176"/>
      <c r="E1361" s="176"/>
      <c r="F1361" s="176"/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76"/>
      <c r="T1361" s="176"/>
      <c r="U1361" s="176"/>
      <c r="V1361" s="176"/>
      <c r="W1361" s="176"/>
      <c r="X1361" s="176"/>
      <c r="Y1361" s="176"/>
    </row>
    <row r="1362" spans="1:25">
      <c r="A1362" s="91"/>
      <c r="B1362" s="176"/>
      <c r="C1362" s="176"/>
      <c r="D1362" s="176"/>
      <c r="E1362" s="176"/>
      <c r="F1362" s="176"/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76"/>
      <c r="T1362" s="176"/>
      <c r="U1362" s="176"/>
      <c r="V1362" s="176"/>
      <c r="W1362" s="176"/>
      <c r="X1362" s="176"/>
      <c r="Y1362" s="176"/>
    </row>
    <row r="1363" spans="1:25">
      <c r="A1363" s="91"/>
      <c r="B1363" s="176"/>
      <c r="C1363" s="176"/>
      <c r="D1363" s="176"/>
      <c r="E1363" s="176"/>
      <c r="F1363" s="176"/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76"/>
      <c r="T1363" s="176"/>
      <c r="U1363" s="176"/>
      <c r="V1363" s="176"/>
      <c r="W1363" s="176"/>
      <c r="X1363" s="176"/>
      <c r="Y1363" s="176"/>
    </row>
    <row r="1364" spans="1:25">
      <c r="A1364" s="91"/>
      <c r="B1364" s="176"/>
      <c r="C1364" s="176"/>
      <c r="D1364" s="176"/>
      <c r="E1364" s="176"/>
      <c r="F1364" s="176"/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76"/>
      <c r="T1364" s="176"/>
      <c r="U1364" s="176"/>
      <c r="V1364" s="176"/>
      <c r="W1364" s="176"/>
      <c r="X1364" s="176"/>
      <c r="Y1364" s="176"/>
    </row>
    <row r="1365" spans="1:25">
      <c r="A1365" s="91"/>
      <c r="B1365" s="176"/>
      <c r="C1365" s="176"/>
      <c r="D1365" s="176"/>
      <c r="E1365" s="176"/>
      <c r="F1365" s="176"/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76"/>
      <c r="T1365" s="176"/>
      <c r="U1365" s="176"/>
      <c r="V1365" s="176"/>
      <c r="W1365" s="176"/>
      <c r="X1365" s="176"/>
      <c r="Y1365" s="176"/>
    </row>
    <row r="1366" spans="1:25">
      <c r="A1366" s="91"/>
      <c r="B1366" s="176"/>
      <c r="C1366" s="176"/>
      <c r="D1366" s="176"/>
      <c r="E1366" s="176"/>
      <c r="F1366" s="176"/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76"/>
      <c r="T1366" s="176"/>
      <c r="U1366" s="176"/>
      <c r="V1366" s="176"/>
      <c r="W1366" s="176"/>
      <c r="X1366" s="176"/>
      <c r="Y1366" s="176"/>
    </row>
    <row r="1367" spans="1:25">
      <c r="A1367" s="91"/>
      <c r="B1367" s="176"/>
      <c r="C1367" s="176"/>
      <c r="D1367" s="176"/>
      <c r="E1367" s="176"/>
      <c r="F1367" s="176"/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76"/>
      <c r="T1367" s="176"/>
      <c r="U1367" s="176"/>
      <c r="V1367" s="176"/>
      <c r="W1367" s="176"/>
      <c r="X1367" s="176"/>
      <c r="Y1367" s="176"/>
    </row>
    <row r="1368" spans="1:25">
      <c r="A1368" s="91"/>
      <c r="B1368" s="176"/>
      <c r="C1368" s="176"/>
      <c r="D1368" s="176"/>
      <c r="E1368" s="176"/>
      <c r="F1368" s="176"/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76"/>
      <c r="T1368" s="176"/>
      <c r="U1368" s="176"/>
      <c r="V1368" s="176"/>
      <c r="W1368" s="176"/>
      <c r="X1368" s="176"/>
      <c r="Y1368" s="176"/>
    </row>
    <row r="1369" spans="1:25">
      <c r="A1369" s="91"/>
      <c r="B1369" s="176"/>
      <c r="C1369" s="176"/>
      <c r="D1369" s="176"/>
      <c r="E1369" s="176"/>
      <c r="F1369" s="176"/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76"/>
      <c r="T1369" s="176"/>
      <c r="U1369" s="176"/>
      <c r="V1369" s="176"/>
      <c r="W1369" s="176"/>
      <c r="X1369" s="176"/>
      <c r="Y1369" s="176"/>
    </row>
    <row r="1370" spans="1:25">
      <c r="A1370" s="91"/>
      <c r="B1370" s="176"/>
      <c r="C1370" s="176"/>
      <c r="D1370" s="176"/>
      <c r="E1370" s="176"/>
      <c r="F1370" s="176"/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76"/>
      <c r="T1370" s="176"/>
      <c r="U1370" s="176"/>
      <c r="V1370" s="176"/>
      <c r="W1370" s="176"/>
      <c r="X1370" s="176"/>
      <c r="Y1370" s="176"/>
    </row>
    <row r="1371" spans="1:25">
      <c r="A1371" s="91"/>
      <c r="B1371" s="176"/>
      <c r="C1371" s="176"/>
      <c r="D1371" s="176"/>
      <c r="E1371" s="176"/>
      <c r="F1371" s="176"/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76"/>
      <c r="T1371" s="176"/>
      <c r="U1371" s="176"/>
      <c r="V1371" s="176"/>
      <c r="W1371" s="176"/>
      <c r="X1371" s="176"/>
      <c r="Y1371" s="176"/>
    </row>
    <row r="1372" spans="1:25">
      <c r="A1372" s="91"/>
      <c r="B1372" s="176"/>
      <c r="C1372" s="176"/>
      <c r="D1372" s="176"/>
      <c r="E1372" s="176"/>
      <c r="F1372" s="176"/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76"/>
      <c r="T1372" s="176"/>
      <c r="U1372" s="176"/>
      <c r="V1372" s="176"/>
      <c r="W1372" s="176"/>
      <c r="X1372" s="176"/>
      <c r="Y1372" s="176"/>
    </row>
    <row r="1373" spans="1:25">
      <c r="A1373" s="91"/>
      <c r="B1373" s="176"/>
      <c r="C1373" s="176"/>
      <c r="D1373" s="176"/>
      <c r="E1373" s="176"/>
      <c r="F1373" s="176"/>
      <c r="G1373" s="176"/>
      <c r="H1373" s="176"/>
      <c r="I1373" s="176"/>
      <c r="J1373" s="176"/>
      <c r="K1373" s="176"/>
      <c r="L1373" s="176"/>
      <c r="M1373" s="176"/>
      <c r="N1373" s="176"/>
      <c r="O1373" s="176"/>
      <c r="P1373" s="176"/>
      <c r="Q1373" s="176"/>
      <c r="R1373" s="176"/>
      <c r="S1373" s="176"/>
      <c r="T1373" s="176"/>
      <c r="U1373" s="176"/>
      <c r="V1373" s="176"/>
      <c r="W1373" s="176"/>
      <c r="X1373" s="176"/>
      <c r="Y1373" s="176"/>
    </row>
    <row r="1374" spans="1:25">
      <c r="A1374" s="91"/>
      <c r="B1374" s="176"/>
      <c r="C1374" s="176"/>
      <c r="D1374" s="176"/>
      <c r="E1374" s="176"/>
      <c r="F1374" s="176"/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76"/>
      <c r="T1374" s="176"/>
      <c r="U1374" s="176"/>
      <c r="V1374" s="176"/>
      <c r="W1374" s="176"/>
      <c r="X1374" s="176"/>
      <c r="Y1374" s="176"/>
    </row>
    <row r="1375" spans="1:25">
      <c r="A1375" s="91"/>
      <c r="B1375" s="176"/>
      <c r="C1375" s="176"/>
      <c r="D1375" s="176"/>
      <c r="E1375" s="176"/>
      <c r="F1375" s="176"/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76"/>
      <c r="T1375" s="176"/>
      <c r="U1375" s="176"/>
      <c r="V1375" s="176"/>
      <c r="W1375" s="176"/>
      <c r="X1375" s="176"/>
      <c r="Y1375" s="176"/>
    </row>
    <row r="1376" spans="1:25">
      <c r="A1376" s="91"/>
      <c r="B1376" s="176"/>
      <c r="C1376" s="176"/>
      <c r="D1376" s="176"/>
      <c r="E1376" s="176"/>
      <c r="F1376" s="176"/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76"/>
      <c r="T1376" s="176"/>
      <c r="U1376" s="176"/>
      <c r="V1376" s="176"/>
      <c r="W1376" s="176"/>
      <c r="X1376" s="176"/>
      <c r="Y1376" s="176"/>
    </row>
    <row r="1377" spans="1:25">
      <c r="A1377" s="91"/>
      <c r="B1377" s="176"/>
      <c r="C1377" s="176"/>
      <c r="D1377" s="176"/>
      <c r="E1377" s="176"/>
      <c r="F1377" s="176"/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76"/>
      <c r="T1377" s="176"/>
      <c r="U1377" s="176"/>
      <c r="V1377" s="176"/>
      <c r="W1377" s="176"/>
      <c r="X1377" s="176"/>
      <c r="Y1377" s="176"/>
    </row>
    <row r="1378" spans="1:25">
      <c r="A1378" s="91"/>
      <c r="B1378" s="176"/>
      <c r="C1378" s="176"/>
      <c r="D1378" s="176"/>
      <c r="E1378" s="176"/>
      <c r="F1378" s="176"/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76"/>
      <c r="T1378" s="176"/>
      <c r="U1378" s="176"/>
      <c r="V1378" s="176"/>
      <c r="W1378" s="176"/>
      <c r="X1378" s="176"/>
      <c r="Y1378" s="176"/>
    </row>
    <row r="1379" spans="1:25">
      <c r="A1379" s="91"/>
      <c r="B1379" s="176"/>
      <c r="C1379" s="176"/>
      <c r="D1379" s="176"/>
      <c r="E1379" s="176"/>
      <c r="F1379" s="176"/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76"/>
      <c r="T1379" s="176"/>
      <c r="U1379" s="176"/>
      <c r="V1379" s="176"/>
      <c r="W1379" s="176"/>
      <c r="X1379" s="176"/>
      <c r="Y1379" s="176"/>
    </row>
    <row r="1380" spans="1:25">
      <c r="A1380" s="91"/>
      <c r="B1380" s="176"/>
      <c r="C1380" s="176"/>
      <c r="D1380" s="176"/>
      <c r="E1380" s="176"/>
      <c r="F1380" s="176"/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76"/>
      <c r="T1380" s="176"/>
      <c r="U1380" s="176"/>
      <c r="V1380" s="176"/>
      <c r="W1380" s="176"/>
      <c r="X1380" s="176"/>
      <c r="Y1380" s="176"/>
    </row>
    <row r="1381" spans="1:25">
      <c r="A1381" s="91"/>
      <c r="B1381" s="176"/>
      <c r="C1381" s="176"/>
      <c r="D1381" s="176"/>
      <c r="E1381" s="176"/>
      <c r="F1381" s="176"/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76"/>
      <c r="T1381" s="176"/>
      <c r="U1381" s="176"/>
      <c r="V1381" s="176"/>
      <c r="W1381" s="176"/>
      <c r="X1381" s="176"/>
      <c r="Y1381" s="176"/>
    </row>
    <row r="1382" spans="1:25">
      <c r="A1382" s="91"/>
      <c r="B1382" s="176"/>
      <c r="C1382" s="176"/>
      <c r="D1382" s="176"/>
      <c r="E1382" s="176"/>
      <c r="F1382" s="176"/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76"/>
      <c r="T1382" s="176"/>
      <c r="U1382" s="176"/>
      <c r="V1382" s="176"/>
      <c r="W1382" s="176"/>
      <c r="X1382" s="176"/>
      <c r="Y1382" s="176"/>
    </row>
    <row r="1383" spans="1:25">
      <c r="A1383" s="91"/>
      <c r="B1383" s="176"/>
      <c r="C1383" s="176"/>
      <c r="D1383" s="176"/>
      <c r="E1383" s="176"/>
      <c r="F1383" s="176"/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76"/>
      <c r="T1383" s="176"/>
      <c r="U1383" s="176"/>
      <c r="V1383" s="176"/>
      <c r="W1383" s="176"/>
      <c r="X1383" s="176"/>
      <c r="Y1383" s="176"/>
    </row>
    <row r="1384" spans="1:25">
      <c r="A1384" s="91"/>
      <c r="B1384" s="176"/>
      <c r="C1384" s="176"/>
      <c r="D1384" s="176"/>
      <c r="E1384" s="176"/>
      <c r="F1384" s="176"/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76"/>
      <c r="T1384" s="176"/>
      <c r="U1384" s="176"/>
      <c r="V1384" s="176"/>
      <c r="W1384" s="176"/>
      <c r="X1384" s="176"/>
      <c r="Y1384" s="176"/>
    </row>
    <row r="1385" spans="1:25">
      <c r="A1385" s="91"/>
      <c r="B1385" s="176"/>
      <c r="C1385" s="176"/>
      <c r="D1385" s="176"/>
      <c r="E1385" s="176"/>
      <c r="F1385" s="176"/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76"/>
      <c r="T1385" s="176"/>
      <c r="U1385" s="176"/>
      <c r="V1385" s="176"/>
      <c r="W1385" s="176"/>
      <c r="X1385" s="176"/>
      <c r="Y1385" s="176"/>
    </row>
    <row r="1386" spans="1:25">
      <c r="A1386" s="91"/>
      <c r="B1386" s="176"/>
      <c r="C1386" s="176"/>
      <c r="D1386" s="176"/>
      <c r="E1386" s="176"/>
      <c r="F1386" s="176"/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76"/>
      <c r="T1386" s="176"/>
      <c r="U1386" s="176"/>
      <c r="V1386" s="176"/>
      <c r="W1386" s="176"/>
      <c r="X1386" s="176"/>
      <c r="Y1386" s="176"/>
    </row>
    <row r="1387" spans="1:25">
      <c r="A1387" s="91"/>
      <c r="B1387" s="176"/>
      <c r="C1387" s="176"/>
      <c r="D1387" s="176"/>
      <c r="E1387" s="176"/>
      <c r="F1387" s="176"/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76"/>
      <c r="T1387" s="176"/>
      <c r="U1387" s="176"/>
      <c r="V1387" s="176"/>
      <c r="W1387" s="176"/>
      <c r="X1387" s="176"/>
      <c r="Y1387" s="176"/>
    </row>
    <row r="1388" spans="1:25">
      <c r="A1388" s="91"/>
      <c r="B1388" s="176"/>
      <c r="C1388" s="176"/>
      <c r="D1388" s="176"/>
      <c r="E1388" s="176"/>
      <c r="F1388" s="176"/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76"/>
      <c r="T1388" s="176"/>
      <c r="U1388" s="176"/>
      <c r="V1388" s="176"/>
      <c r="W1388" s="176"/>
      <c r="X1388" s="176"/>
      <c r="Y1388" s="176"/>
    </row>
    <row r="1389" spans="1:25">
      <c r="A1389" s="91"/>
      <c r="B1389" s="176"/>
      <c r="C1389" s="176"/>
      <c r="D1389" s="176"/>
      <c r="E1389" s="176"/>
      <c r="F1389" s="176"/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76"/>
      <c r="T1389" s="176"/>
      <c r="U1389" s="176"/>
      <c r="V1389" s="176"/>
      <c r="W1389" s="176"/>
      <c r="X1389" s="176"/>
      <c r="Y1389" s="176"/>
    </row>
    <row r="1390" spans="1:25">
      <c r="A1390" s="91"/>
      <c r="B1390" s="176"/>
      <c r="C1390" s="176"/>
      <c r="D1390" s="176"/>
      <c r="E1390" s="176"/>
      <c r="F1390" s="176"/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76"/>
      <c r="T1390" s="176"/>
      <c r="U1390" s="176"/>
      <c r="V1390" s="176"/>
      <c r="W1390" s="176"/>
      <c r="X1390" s="176"/>
      <c r="Y1390" s="176"/>
    </row>
    <row r="1391" spans="1:25">
      <c r="A1391" s="91"/>
      <c r="B1391" s="176"/>
      <c r="C1391" s="176"/>
      <c r="D1391" s="176"/>
      <c r="E1391" s="176"/>
      <c r="F1391" s="176"/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76"/>
      <c r="T1391" s="176"/>
      <c r="U1391" s="176"/>
      <c r="V1391" s="176"/>
      <c r="W1391" s="176"/>
      <c r="X1391" s="176"/>
      <c r="Y1391" s="176"/>
    </row>
    <row r="1392" spans="1:25">
      <c r="A1392" s="91"/>
      <c r="B1392" s="176"/>
      <c r="C1392" s="176"/>
      <c r="D1392" s="176"/>
      <c r="E1392" s="176"/>
      <c r="F1392" s="176"/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76"/>
      <c r="T1392" s="176"/>
      <c r="U1392" s="176"/>
      <c r="V1392" s="176"/>
      <c r="W1392" s="176"/>
      <c r="X1392" s="176"/>
      <c r="Y1392" s="176"/>
    </row>
    <row r="1393" spans="1:25">
      <c r="A1393" s="91"/>
      <c r="B1393" s="176"/>
      <c r="C1393" s="176"/>
      <c r="D1393" s="176"/>
      <c r="E1393" s="176"/>
      <c r="F1393" s="176"/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76"/>
      <c r="T1393" s="176"/>
      <c r="U1393" s="176"/>
      <c r="V1393" s="176"/>
      <c r="W1393" s="176"/>
      <c r="X1393" s="176"/>
      <c r="Y1393" s="176"/>
    </row>
    <row r="1394" spans="1:25">
      <c r="A1394" s="91"/>
      <c r="B1394" s="176"/>
      <c r="C1394" s="176"/>
      <c r="D1394" s="176"/>
      <c r="E1394" s="176"/>
      <c r="F1394" s="176"/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76"/>
      <c r="T1394" s="176"/>
      <c r="U1394" s="176"/>
      <c r="V1394" s="176"/>
      <c r="W1394" s="176"/>
      <c r="X1394" s="176"/>
      <c r="Y1394" s="176"/>
    </row>
    <row r="1395" spans="1:25">
      <c r="A1395" s="91"/>
      <c r="B1395" s="176"/>
      <c r="C1395" s="176"/>
      <c r="D1395" s="176"/>
      <c r="E1395" s="176"/>
      <c r="F1395" s="176"/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76"/>
      <c r="T1395" s="176"/>
      <c r="U1395" s="176"/>
      <c r="V1395" s="176"/>
      <c r="W1395" s="176"/>
      <c r="X1395" s="176"/>
      <c r="Y1395" s="176"/>
    </row>
    <row r="1396" spans="1:25">
      <c r="A1396" s="91"/>
      <c r="B1396" s="176"/>
      <c r="C1396" s="176"/>
      <c r="D1396" s="176"/>
      <c r="E1396" s="176"/>
      <c r="F1396" s="176"/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76"/>
      <c r="T1396" s="176"/>
      <c r="U1396" s="176"/>
      <c r="V1396" s="176"/>
      <c r="W1396" s="176"/>
      <c r="X1396" s="176"/>
      <c r="Y1396" s="176"/>
    </row>
    <row r="1397" spans="1:25">
      <c r="A1397" s="91"/>
      <c r="B1397" s="176"/>
      <c r="C1397" s="176"/>
      <c r="D1397" s="176"/>
      <c r="E1397" s="176"/>
      <c r="F1397" s="176"/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76"/>
      <c r="T1397" s="176"/>
      <c r="U1397" s="176"/>
      <c r="V1397" s="176"/>
      <c r="W1397" s="176"/>
      <c r="X1397" s="176"/>
      <c r="Y1397" s="176"/>
    </row>
    <row r="1398" spans="1:25">
      <c r="A1398" s="91"/>
      <c r="B1398" s="176"/>
      <c r="C1398" s="176"/>
      <c r="D1398" s="176"/>
      <c r="E1398" s="176"/>
      <c r="F1398" s="176"/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76"/>
      <c r="T1398" s="176"/>
      <c r="U1398" s="176"/>
      <c r="V1398" s="176"/>
      <c r="W1398" s="176"/>
      <c r="X1398" s="176"/>
      <c r="Y1398" s="176"/>
    </row>
    <row r="1399" spans="1:25">
      <c r="A1399" s="91"/>
      <c r="B1399" s="176"/>
      <c r="C1399" s="176"/>
      <c r="D1399" s="176"/>
      <c r="E1399" s="176"/>
      <c r="F1399" s="176"/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76"/>
      <c r="T1399" s="176"/>
      <c r="U1399" s="176"/>
      <c r="V1399" s="176"/>
      <c r="W1399" s="176"/>
      <c r="X1399" s="176"/>
      <c r="Y1399" s="176"/>
    </row>
    <row r="1400" spans="1:25">
      <c r="A1400" s="91"/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176"/>
    </row>
    <row r="1401" spans="1:25">
      <c r="A1401" s="91"/>
      <c r="B1401" s="176"/>
      <c r="C1401" s="176"/>
      <c r="D1401" s="176"/>
      <c r="E1401" s="176"/>
      <c r="F1401" s="176"/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76"/>
      <c r="T1401" s="176"/>
      <c r="U1401" s="176"/>
      <c r="V1401" s="176"/>
      <c r="W1401" s="176"/>
      <c r="X1401" s="176"/>
      <c r="Y1401" s="176"/>
    </row>
    <row r="1402" spans="1:25">
      <c r="A1402" s="91"/>
      <c r="B1402" s="176"/>
      <c r="C1402" s="176"/>
      <c r="D1402" s="176"/>
      <c r="E1402" s="176"/>
      <c r="F1402" s="176"/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76"/>
      <c r="T1402" s="176"/>
      <c r="U1402" s="176"/>
      <c r="V1402" s="176"/>
      <c r="W1402" s="176"/>
      <c r="X1402" s="176"/>
      <c r="Y1402" s="176"/>
    </row>
    <row r="1403" spans="1:25">
      <c r="A1403" s="91"/>
      <c r="B1403" s="176"/>
      <c r="C1403" s="176"/>
      <c r="D1403" s="176"/>
      <c r="E1403" s="176"/>
      <c r="F1403" s="176"/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76"/>
      <c r="T1403" s="176"/>
      <c r="U1403" s="176"/>
      <c r="V1403" s="176"/>
      <c r="W1403" s="176"/>
      <c r="X1403" s="176"/>
      <c r="Y1403" s="176"/>
    </row>
    <row r="1404" spans="1:25">
      <c r="A1404" s="91"/>
      <c r="B1404" s="176"/>
      <c r="C1404" s="176"/>
      <c r="D1404" s="176"/>
      <c r="E1404" s="176"/>
      <c r="F1404" s="176"/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76"/>
      <c r="T1404" s="176"/>
      <c r="U1404" s="176"/>
      <c r="V1404" s="176"/>
      <c r="W1404" s="176"/>
      <c r="X1404" s="176"/>
      <c r="Y1404" s="176"/>
    </row>
    <row r="1405" spans="1:25">
      <c r="A1405" s="91"/>
      <c r="B1405" s="176"/>
      <c r="C1405" s="176"/>
      <c r="D1405" s="176"/>
      <c r="E1405" s="176"/>
      <c r="F1405" s="176"/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76"/>
      <c r="T1405" s="176"/>
      <c r="U1405" s="176"/>
      <c r="V1405" s="176"/>
      <c r="W1405" s="176"/>
      <c r="X1405" s="176"/>
      <c r="Y1405" s="176"/>
    </row>
    <row r="1406" spans="1:25">
      <c r="A1406" s="91"/>
      <c r="B1406" s="176"/>
      <c r="C1406" s="176"/>
      <c r="D1406" s="176"/>
      <c r="E1406" s="176"/>
      <c r="F1406" s="176"/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76"/>
      <c r="T1406" s="176"/>
      <c r="U1406" s="176"/>
      <c r="V1406" s="176"/>
      <c r="W1406" s="176"/>
      <c r="X1406" s="176"/>
      <c r="Y1406" s="176"/>
    </row>
    <row r="1407" spans="1:25">
      <c r="A1407" s="91"/>
      <c r="B1407" s="176"/>
      <c r="C1407" s="176"/>
      <c r="D1407" s="176"/>
      <c r="E1407" s="176"/>
      <c r="F1407" s="176"/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76"/>
      <c r="T1407" s="176"/>
      <c r="U1407" s="176"/>
      <c r="V1407" s="176"/>
      <c r="W1407" s="176"/>
      <c r="X1407" s="176"/>
      <c r="Y1407" s="176"/>
    </row>
    <row r="1408" spans="1:25">
      <c r="A1408" s="91"/>
      <c r="B1408" s="176"/>
      <c r="C1408" s="176"/>
      <c r="D1408" s="176"/>
      <c r="E1408" s="176"/>
      <c r="F1408" s="176"/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76"/>
      <c r="T1408" s="176"/>
      <c r="U1408" s="176"/>
      <c r="V1408" s="176"/>
      <c r="W1408" s="176"/>
      <c r="X1408" s="176"/>
      <c r="Y1408" s="176"/>
    </row>
    <row r="1409" spans="1:25">
      <c r="A1409" s="91"/>
      <c r="B1409" s="176"/>
      <c r="C1409" s="176"/>
      <c r="D1409" s="176"/>
      <c r="E1409" s="176"/>
      <c r="F1409" s="176"/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76"/>
      <c r="T1409" s="176"/>
      <c r="U1409" s="176"/>
      <c r="V1409" s="176"/>
      <c r="W1409" s="176"/>
      <c r="X1409" s="176"/>
      <c r="Y1409" s="176"/>
    </row>
    <row r="1410" spans="1:25">
      <c r="A1410" s="91"/>
      <c r="B1410" s="176"/>
      <c r="C1410" s="176"/>
      <c r="D1410" s="176"/>
      <c r="E1410" s="176"/>
      <c r="F1410" s="176"/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76"/>
      <c r="T1410" s="176"/>
      <c r="U1410" s="176"/>
      <c r="V1410" s="176"/>
      <c r="W1410" s="176"/>
      <c r="X1410" s="176"/>
      <c r="Y1410" s="176"/>
    </row>
    <row r="1411" spans="1:25">
      <c r="A1411" s="91"/>
      <c r="B1411" s="176"/>
      <c r="C1411" s="176"/>
      <c r="D1411" s="176"/>
      <c r="E1411" s="176"/>
      <c r="F1411" s="176"/>
      <c r="G1411" s="176"/>
      <c r="H1411" s="176"/>
      <c r="I1411" s="176"/>
      <c r="J1411" s="176"/>
      <c r="K1411" s="176"/>
      <c r="L1411" s="176"/>
      <c r="M1411" s="176"/>
      <c r="N1411" s="176"/>
      <c r="O1411" s="176"/>
      <c r="P1411" s="176"/>
      <c r="Q1411" s="176"/>
      <c r="R1411" s="176"/>
      <c r="S1411" s="176"/>
      <c r="T1411" s="176"/>
      <c r="U1411" s="176"/>
      <c r="V1411" s="176"/>
      <c r="W1411" s="176"/>
      <c r="X1411" s="176"/>
      <c r="Y1411" s="176"/>
    </row>
    <row r="1412" spans="1:25">
      <c r="A1412" s="91"/>
      <c r="B1412" s="176"/>
      <c r="C1412" s="176"/>
      <c r="D1412" s="176"/>
      <c r="E1412" s="176"/>
      <c r="F1412" s="176"/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76"/>
      <c r="T1412" s="176"/>
      <c r="U1412" s="176"/>
      <c r="V1412" s="176"/>
      <c r="W1412" s="176"/>
      <c r="X1412" s="176"/>
      <c r="Y1412" s="176"/>
    </row>
    <row r="1413" spans="1:25">
      <c r="A1413" s="91"/>
      <c r="B1413" s="176"/>
      <c r="C1413" s="176"/>
      <c r="D1413" s="176"/>
      <c r="E1413" s="176"/>
      <c r="F1413" s="176"/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76"/>
      <c r="T1413" s="176"/>
      <c r="U1413" s="176"/>
      <c r="V1413" s="176"/>
      <c r="W1413" s="176"/>
      <c r="X1413" s="176"/>
      <c r="Y1413" s="176"/>
    </row>
    <row r="1414" spans="1:25">
      <c r="A1414" s="91"/>
      <c r="B1414" s="176"/>
      <c r="C1414" s="176"/>
      <c r="D1414" s="176"/>
      <c r="E1414" s="176"/>
      <c r="F1414" s="176"/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76"/>
      <c r="T1414" s="176"/>
      <c r="U1414" s="176"/>
      <c r="V1414" s="176"/>
      <c r="W1414" s="176"/>
      <c r="X1414" s="176"/>
      <c r="Y1414" s="176"/>
    </row>
    <row r="1415" spans="1:25">
      <c r="A1415" s="91"/>
      <c r="B1415" s="176"/>
      <c r="C1415" s="176"/>
      <c r="D1415" s="176"/>
      <c r="E1415" s="176"/>
      <c r="F1415" s="176"/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76"/>
      <c r="T1415" s="176"/>
      <c r="U1415" s="176"/>
      <c r="V1415" s="176"/>
      <c r="W1415" s="176"/>
      <c r="X1415" s="176"/>
      <c r="Y1415" s="176"/>
    </row>
    <row r="1416" spans="1:25">
      <c r="A1416" s="91"/>
      <c r="B1416" s="176"/>
      <c r="C1416" s="176"/>
      <c r="D1416" s="176"/>
      <c r="E1416" s="176"/>
      <c r="F1416" s="176"/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76"/>
      <c r="T1416" s="176"/>
      <c r="U1416" s="176"/>
      <c r="V1416" s="176"/>
      <c r="W1416" s="176"/>
      <c r="X1416" s="176"/>
      <c r="Y1416" s="176"/>
    </row>
    <row r="1417" spans="1:25">
      <c r="A1417" s="91"/>
      <c r="B1417" s="176"/>
      <c r="C1417" s="176"/>
      <c r="D1417" s="176"/>
      <c r="E1417" s="176"/>
      <c r="F1417" s="176"/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76"/>
      <c r="T1417" s="176"/>
      <c r="U1417" s="176"/>
      <c r="V1417" s="176"/>
      <c r="W1417" s="176"/>
      <c r="X1417" s="176"/>
      <c r="Y1417" s="176"/>
    </row>
    <row r="1418" spans="1:25">
      <c r="A1418" s="91"/>
      <c r="B1418" s="176"/>
      <c r="C1418" s="176"/>
      <c r="D1418" s="176"/>
      <c r="E1418" s="176"/>
      <c r="F1418" s="176"/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76"/>
      <c r="T1418" s="176"/>
      <c r="U1418" s="176"/>
      <c r="V1418" s="176"/>
      <c r="W1418" s="176"/>
      <c r="X1418" s="176"/>
      <c r="Y1418" s="176"/>
    </row>
    <row r="1419" spans="1:25">
      <c r="A1419" s="91"/>
      <c r="B1419" s="176"/>
      <c r="C1419" s="176"/>
      <c r="D1419" s="176"/>
      <c r="E1419" s="176"/>
      <c r="F1419" s="176"/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  <c r="U1419" s="176"/>
      <c r="V1419" s="176"/>
      <c r="W1419" s="176"/>
      <c r="X1419" s="176"/>
      <c r="Y1419" s="176"/>
    </row>
    <row r="1420" spans="1:25">
      <c r="A1420" s="91"/>
      <c r="B1420" s="176"/>
      <c r="C1420" s="176"/>
      <c r="D1420" s="176"/>
      <c r="E1420" s="176"/>
      <c r="F1420" s="176"/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  <c r="U1420" s="176"/>
      <c r="V1420" s="176"/>
      <c r="W1420" s="176"/>
      <c r="X1420" s="176"/>
      <c r="Y1420" s="176"/>
    </row>
    <row r="1421" spans="1:25">
      <c r="A1421" s="91"/>
      <c r="B1421" s="176"/>
      <c r="C1421" s="176"/>
      <c r="D1421" s="176"/>
      <c r="E1421" s="176"/>
      <c r="F1421" s="176"/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  <c r="U1421" s="176"/>
      <c r="V1421" s="176"/>
      <c r="W1421" s="176"/>
      <c r="X1421" s="176"/>
      <c r="Y1421" s="176"/>
    </row>
    <row r="1422" spans="1:25">
      <c r="A1422" s="91"/>
      <c r="B1422" s="176"/>
      <c r="C1422" s="176"/>
      <c r="D1422" s="176"/>
      <c r="E1422" s="176"/>
      <c r="F1422" s="176"/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  <c r="U1422" s="176"/>
      <c r="V1422" s="176"/>
      <c r="W1422" s="176"/>
      <c r="X1422" s="176"/>
      <c r="Y1422" s="176"/>
    </row>
    <row r="1423" spans="1:25">
      <c r="A1423" s="91"/>
      <c r="B1423" s="176"/>
      <c r="C1423" s="176"/>
      <c r="D1423" s="176"/>
      <c r="E1423" s="176"/>
      <c r="F1423" s="176"/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  <c r="U1423" s="176"/>
      <c r="V1423" s="176"/>
      <c r="W1423" s="176"/>
      <c r="X1423" s="176"/>
      <c r="Y1423" s="176"/>
    </row>
    <row r="1424" spans="1:25">
      <c r="A1424" s="91"/>
      <c r="B1424" s="176"/>
      <c r="C1424" s="176"/>
      <c r="D1424" s="176"/>
      <c r="E1424" s="176"/>
      <c r="F1424" s="176"/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  <c r="U1424" s="176"/>
      <c r="V1424" s="176"/>
      <c r="W1424" s="176"/>
      <c r="X1424" s="176"/>
      <c r="Y1424" s="176"/>
    </row>
    <row r="1425" spans="1:25">
      <c r="A1425" s="91"/>
      <c r="B1425" s="176"/>
      <c r="C1425" s="176"/>
      <c r="D1425" s="176"/>
      <c r="E1425" s="176"/>
      <c r="F1425" s="176"/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  <c r="U1425" s="176"/>
      <c r="V1425" s="176"/>
      <c r="W1425" s="176"/>
      <c r="X1425" s="176"/>
      <c r="Y1425" s="176"/>
    </row>
    <row r="1426" spans="1:25">
      <c r="A1426" s="91"/>
      <c r="B1426" s="176"/>
      <c r="C1426" s="176"/>
      <c r="D1426" s="176"/>
      <c r="E1426" s="176"/>
      <c r="F1426" s="176"/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  <c r="U1426" s="176"/>
      <c r="V1426" s="176"/>
      <c r="W1426" s="176"/>
      <c r="X1426" s="176"/>
      <c r="Y1426" s="176"/>
    </row>
    <row r="1427" spans="1:25">
      <c r="A1427" s="91"/>
      <c r="B1427" s="176"/>
      <c r="C1427" s="176"/>
      <c r="D1427" s="176"/>
      <c r="E1427" s="176"/>
      <c r="F1427" s="176"/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  <c r="U1427" s="176"/>
      <c r="V1427" s="176"/>
      <c r="W1427" s="176"/>
      <c r="X1427" s="176"/>
      <c r="Y1427" s="176"/>
    </row>
    <row r="1428" spans="1:25">
      <c r="A1428" s="91"/>
      <c r="B1428" s="176"/>
      <c r="C1428" s="176"/>
      <c r="D1428" s="176"/>
      <c r="E1428" s="176"/>
      <c r="F1428" s="176"/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  <c r="U1428" s="176"/>
      <c r="V1428" s="176"/>
      <c r="W1428" s="176"/>
      <c r="X1428" s="176"/>
      <c r="Y1428" s="176"/>
    </row>
    <row r="1429" spans="1:25">
      <c r="A1429" s="91"/>
      <c r="B1429" s="176"/>
      <c r="C1429" s="176"/>
      <c r="D1429" s="176"/>
      <c r="E1429" s="176"/>
      <c r="F1429" s="176"/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  <c r="U1429" s="176"/>
      <c r="V1429" s="176"/>
      <c r="W1429" s="176"/>
      <c r="X1429" s="176"/>
      <c r="Y1429" s="176"/>
    </row>
    <row r="1430" spans="1:25">
      <c r="A1430" s="91"/>
      <c r="B1430" s="176"/>
      <c r="C1430" s="176"/>
      <c r="D1430" s="176"/>
      <c r="E1430" s="176"/>
      <c r="F1430" s="176"/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  <c r="U1430" s="176"/>
      <c r="V1430" s="176"/>
      <c r="W1430" s="176"/>
      <c r="X1430" s="176"/>
      <c r="Y1430" s="176"/>
    </row>
    <row r="1431" spans="1:25">
      <c r="A1431" s="91"/>
      <c r="B1431" s="176"/>
      <c r="C1431" s="176"/>
      <c r="D1431" s="176"/>
      <c r="E1431" s="176"/>
      <c r="F1431" s="176"/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76"/>
      <c r="T1431" s="176"/>
      <c r="U1431" s="176"/>
      <c r="V1431" s="176"/>
      <c r="W1431" s="176"/>
      <c r="X1431" s="176"/>
      <c r="Y1431" s="176"/>
    </row>
    <row r="1432" spans="1:25">
      <c r="A1432" s="91"/>
      <c r="B1432" s="176"/>
      <c r="C1432" s="176"/>
      <c r="D1432" s="176"/>
      <c r="E1432" s="176"/>
      <c r="F1432" s="176"/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76"/>
      <c r="T1432" s="176"/>
      <c r="U1432" s="176"/>
      <c r="V1432" s="176"/>
      <c r="W1432" s="176"/>
      <c r="X1432" s="176"/>
      <c r="Y1432" s="176"/>
    </row>
    <row r="1433" spans="1:25">
      <c r="A1433" s="91"/>
      <c r="B1433" s="176"/>
      <c r="C1433" s="176"/>
      <c r="D1433" s="176"/>
      <c r="E1433" s="176"/>
      <c r="F1433" s="176"/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76"/>
      <c r="T1433" s="176"/>
      <c r="U1433" s="176"/>
      <c r="V1433" s="176"/>
      <c r="W1433" s="176"/>
      <c r="X1433" s="176"/>
      <c r="Y1433" s="176"/>
    </row>
    <row r="1434" spans="1:25">
      <c r="A1434" s="91"/>
      <c r="B1434" s="176"/>
      <c r="C1434" s="176"/>
      <c r="D1434" s="176"/>
      <c r="E1434" s="176"/>
      <c r="F1434" s="176"/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76"/>
      <c r="T1434" s="176"/>
      <c r="U1434" s="176"/>
      <c r="V1434" s="176"/>
      <c r="W1434" s="176"/>
      <c r="X1434" s="176"/>
      <c r="Y1434" s="176"/>
    </row>
    <row r="1435" spans="1:25">
      <c r="A1435" s="91"/>
      <c r="B1435" s="176"/>
      <c r="C1435" s="176"/>
      <c r="D1435" s="176"/>
      <c r="E1435" s="176"/>
      <c r="F1435" s="176"/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76"/>
      <c r="T1435" s="176"/>
      <c r="U1435" s="176"/>
      <c r="V1435" s="176"/>
      <c r="W1435" s="176"/>
      <c r="X1435" s="176"/>
      <c r="Y1435" s="176"/>
    </row>
    <row r="1436" spans="1:25">
      <c r="A1436" s="91"/>
      <c r="B1436" s="176"/>
      <c r="C1436" s="176"/>
      <c r="D1436" s="176"/>
      <c r="E1436" s="176"/>
      <c r="F1436" s="176"/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76"/>
      <c r="T1436" s="176"/>
      <c r="U1436" s="176"/>
      <c r="V1436" s="176"/>
      <c r="W1436" s="176"/>
      <c r="X1436" s="176"/>
      <c r="Y1436" s="176"/>
    </row>
    <row r="1437" spans="1:25">
      <c r="A1437" s="91"/>
      <c r="B1437" s="176"/>
      <c r="C1437" s="176"/>
      <c r="D1437" s="176"/>
      <c r="E1437" s="176"/>
      <c r="F1437" s="176"/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76"/>
      <c r="T1437" s="176"/>
      <c r="U1437" s="176"/>
      <c r="V1437" s="176"/>
      <c r="W1437" s="176"/>
      <c r="X1437" s="176"/>
      <c r="Y1437" s="176"/>
    </row>
    <row r="1438" spans="1:25">
      <c r="A1438" s="91"/>
      <c r="B1438" s="176"/>
      <c r="C1438" s="176"/>
      <c r="D1438" s="176"/>
      <c r="E1438" s="176"/>
      <c r="F1438" s="176"/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76"/>
      <c r="T1438" s="176"/>
      <c r="U1438" s="176"/>
      <c r="V1438" s="176"/>
      <c r="W1438" s="176"/>
      <c r="X1438" s="176"/>
      <c r="Y1438" s="176"/>
    </row>
    <row r="1439" spans="1:25">
      <c r="A1439" s="91"/>
      <c r="B1439" s="176"/>
      <c r="C1439" s="176"/>
      <c r="D1439" s="176"/>
      <c r="E1439" s="176"/>
      <c r="F1439" s="176"/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76"/>
      <c r="T1439" s="176"/>
      <c r="U1439" s="176"/>
      <c r="V1439" s="176"/>
      <c r="W1439" s="176"/>
      <c r="X1439" s="176"/>
      <c r="Y1439" s="176"/>
    </row>
    <row r="1440" spans="1:25">
      <c r="A1440" s="91"/>
      <c r="B1440" s="176"/>
      <c r="C1440" s="176"/>
      <c r="D1440" s="176"/>
      <c r="E1440" s="176"/>
      <c r="F1440" s="176"/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76"/>
      <c r="T1440" s="176"/>
      <c r="U1440" s="176"/>
      <c r="V1440" s="176"/>
      <c r="W1440" s="176"/>
      <c r="X1440" s="176"/>
      <c r="Y1440" s="176"/>
    </row>
    <row r="1441" spans="1:25">
      <c r="A1441" s="91"/>
      <c r="B1441" s="176"/>
      <c r="C1441" s="176"/>
      <c r="D1441" s="176"/>
      <c r="E1441" s="176"/>
      <c r="F1441" s="176"/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76"/>
      <c r="T1441" s="176"/>
      <c r="U1441" s="176"/>
      <c r="V1441" s="176"/>
      <c r="W1441" s="176"/>
      <c r="X1441" s="176"/>
      <c r="Y1441" s="176"/>
    </row>
    <row r="1442" spans="1:25">
      <c r="A1442" s="91"/>
      <c r="B1442" s="176"/>
      <c r="C1442" s="176"/>
      <c r="D1442" s="176"/>
      <c r="E1442" s="176"/>
      <c r="F1442" s="176"/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76"/>
      <c r="T1442" s="176"/>
      <c r="U1442" s="176"/>
      <c r="V1442" s="176"/>
      <c r="W1442" s="176"/>
      <c r="X1442" s="176"/>
      <c r="Y1442" s="176"/>
    </row>
    <row r="1443" spans="1:25">
      <c r="A1443" s="91"/>
      <c r="B1443" s="176"/>
      <c r="C1443" s="176"/>
      <c r="D1443" s="176"/>
      <c r="E1443" s="176"/>
      <c r="F1443" s="176"/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76"/>
      <c r="T1443" s="176"/>
      <c r="U1443" s="176"/>
      <c r="V1443" s="176"/>
      <c r="W1443" s="176"/>
      <c r="X1443" s="176"/>
      <c r="Y1443" s="176"/>
    </row>
    <row r="1444" spans="1:25">
      <c r="A1444" s="91"/>
      <c r="B1444" s="176"/>
      <c r="C1444" s="176"/>
      <c r="D1444" s="176"/>
      <c r="E1444" s="176"/>
      <c r="F1444" s="176"/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76"/>
      <c r="T1444" s="176"/>
      <c r="U1444" s="176"/>
      <c r="V1444" s="176"/>
      <c r="W1444" s="176"/>
      <c r="X1444" s="176"/>
      <c r="Y1444" s="176"/>
    </row>
    <row r="1445" spans="1:25">
      <c r="A1445" s="91"/>
      <c r="B1445" s="176"/>
      <c r="C1445" s="176"/>
      <c r="D1445" s="176"/>
      <c r="E1445" s="176"/>
      <c r="F1445" s="176"/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76"/>
      <c r="T1445" s="176"/>
      <c r="U1445" s="176"/>
      <c r="V1445" s="176"/>
      <c r="W1445" s="176"/>
      <c r="X1445" s="176"/>
      <c r="Y1445" s="176"/>
    </row>
    <row r="1446" spans="1:25">
      <c r="A1446" s="91"/>
      <c r="B1446" s="176"/>
      <c r="C1446" s="176"/>
      <c r="D1446" s="176"/>
      <c r="E1446" s="176"/>
      <c r="F1446" s="176"/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76"/>
      <c r="T1446" s="176"/>
      <c r="U1446" s="176"/>
      <c r="V1446" s="176"/>
      <c r="W1446" s="176"/>
      <c r="X1446" s="176"/>
      <c r="Y1446" s="176"/>
    </row>
    <row r="1447" spans="1:25">
      <c r="A1447" s="91"/>
      <c r="B1447" s="176"/>
      <c r="C1447" s="176"/>
      <c r="D1447" s="176"/>
      <c r="E1447" s="176"/>
      <c r="F1447" s="176"/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76"/>
      <c r="T1447" s="176"/>
      <c r="U1447" s="176"/>
      <c r="V1447" s="176"/>
      <c r="W1447" s="176"/>
      <c r="X1447" s="176"/>
      <c r="Y1447" s="176"/>
    </row>
    <row r="1448" spans="1:25">
      <c r="A1448" s="91"/>
      <c r="B1448" s="176"/>
      <c r="C1448" s="176"/>
      <c r="D1448" s="176"/>
      <c r="E1448" s="176"/>
      <c r="F1448" s="176"/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76"/>
      <c r="T1448" s="176"/>
      <c r="U1448" s="176"/>
      <c r="V1448" s="176"/>
      <c r="W1448" s="176"/>
      <c r="X1448" s="176"/>
      <c r="Y1448" s="176"/>
    </row>
    <row r="1449" spans="1:25">
      <c r="A1449" s="91"/>
      <c r="B1449" s="176"/>
      <c r="C1449" s="176"/>
      <c r="D1449" s="176"/>
      <c r="E1449" s="176"/>
      <c r="F1449" s="176"/>
      <c r="G1449" s="176"/>
      <c r="H1449" s="176"/>
      <c r="I1449" s="176"/>
      <c r="J1449" s="176"/>
      <c r="K1449" s="176"/>
      <c r="L1449" s="176"/>
      <c r="M1449" s="176"/>
      <c r="N1449" s="176"/>
      <c r="O1449" s="176"/>
      <c r="P1449" s="176"/>
      <c r="Q1449" s="176"/>
      <c r="R1449" s="176"/>
      <c r="S1449" s="176"/>
      <c r="T1449" s="176"/>
      <c r="U1449" s="176"/>
      <c r="V1449" s="176"/>
      <c r="W1449" s="176"/>
      <c r="X1449" s="176"/>
      <c r="Y1449" s="176"/>
    </row>
    <row r="1450" spans="1:25">
      <c r="A1450" s="91"/>
      <c r="B1450" s="176"/>
      <c r="C1450" s="176"/>
      <c r="D1450" s="176"/>
      <c r="E1450" s="176"/>
      <c r="F1450" s="176"/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76"/>
      <c r="T1450" s="176"/>
      <c r="U1450" s="176"/>
      <c r="V1450" s="176"/>
      <c r="W1450" s="176"/>
      <c r="X1450" s="176"/>
      <c r="Y1450" s="176"/>
    </row>
    <row r="1451" spans="1:25">
      <c r="A1451" s="91"/>
      <c r="B1451" s="176"/>
      <c r="C1451" s="176"/>
      <c r="D1451" s="176"/>
      <c r="E1451" s="176"/>
      <c r="F1451" s="176"/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76"/>
      <c r="T1451" s="176"/>
      <c r="U1451" s="176"/>
      <c r="V1451" s="176"/>
      <c r="W1451" s="176"/>
      <c r="X1451" s="176"/>
      <c r="Y1451" s="176"/>
    </row>
    <row r="1452" spans="1:25">
      <c r="A1452" s="91"/>
      <c r="B1452" s="176"/>
      <c r="C1452" s="176"/>
      <c r="D1452" s="176"/>
      <c r="E1452" s="176"/>
      <c r="F1452" s="176"/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76"/>
      <c r="T1452" s="176"/>
      <c r="U1452" s="176"/>
      <c r="V1452" s="176"/>
      <c r="W1452" s="176"/>
      <c r="X1452" s="176"/>
      <c r="Y1452" s="176"/>
    </row>
    <row r="1453" spans="1:25">
      <c r="A1453" s="91"/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</row>
    <row r="1454" spans="1:25">
      <c r="A1454" s="91"/>
      <c r="B1454" s="176"/>
      <c r="C1454" s="176"/>
      <c r="D1454" s="176"/>
      <c r="E1454" s="176"/>
      <c r="F1454" s="176"/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76"/>
      <c r="T1454" s="176"/>
      <c r="U1454" s="176"/>
      <c r="V1454" s="176"/>
      <c r="W1454" s="176"/>
      <c r="X1454" s="176"/>
      <c r="Y1454" s="176"/>
    </row>
    <row r="1455" spans="1:25">
      <c r="A1455" s="91"/>
      <c r="B1455" s="176"/>
      <c r="C1455" s="176"/>
      <c r="D1455" s="176"/>
      <c r="E1455" s="176"/>
      <c r="F1455" s="176"/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76"/>
      <c r="T1455" s="176"/>
      <c r="U1455" s="176"/>
      <c r="V1455" s="176"/>
      <c r="W1455" s="176"/>
      <c r="X1455" s="176"/>
      <c r="Y1455" s="176"/>
    </row>
    <row r="1456" spans="1:25">
      <c r="A1456" s="91"/>
      <c r="B1456" s="176"/>
      <c r="C1456" s="176"/>
      <c r="D1456" s="176"/>
      <c r="E1456" s="176"/>
      <c r="F1456" s="176"/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76"/>
      <c r="T1456" s="176"/>
      <c r="U1456" s="176"/>
      <c r="V1456" s="176"/>
      <c r="W1456" s="176"/>
      <c r="X1456" s="176"/>
      <c r="Y1456" s="176"/>
    </row>
    <row r="1457" spans="1:25">
      <c r="A1457" s="91"/>
      <c r="B1457" s="176"/>
      <c r="C1457" s="176"/>
      <c r="D1457" s="176"/>
      <c r="E1457" s="176"/>
      <c r="F1457" s="176"/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76"/>
      <c r="T1457" s="176"/>
      <c r="U1457" s="176"/>
      <c r="V1457" s="176"/>
      <c r="W1457" s="176"/>
      <c r="X1457" s="176"/>
      <c r="Y1457" s="176"/>
    </row>
    <row r="1458" spans="1:25">
      <c r="A1458" s="91"/>
      <c r="B1458" s="176"/>
      <c r="C1458" s="176"/>
      <c r="D1458" s="176"/>
      <c r="E1458" s="176"/>
      <c r="F1458" s="176"/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76"/>
      <c r="T1458" s="176"/>
      <c r="U1458" s="176"/>
      <c r="V1458" s="176"/>
      <c r="W1458" s="176"/>
      <c r="X1458" s="176"/>
      <c r="Y1458" s="176"/>
    </row>
    <row r="1459" spans="1:25">
      <c r="A1459" s="91"/>
      <c r="B1459" s="176"/>
      <c r="C1459" s="176"/>
      <c r="D1459" s="176"/>
      <c r="E1459" s="176"/>
      <c r="F1459" s="176"/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76"/>
      <c r="T1459" s="176"/>
      <c r="U1459" s="176"/>
      <c r="V1459" s="176"/>
      <c r="W1459" s="176"/>
      <c r="X1459" s="176"/>
      <c r="Y1459" s="176"/>
    </row>
    <row r="1460" spans="1:25">
      <c r="A1460" s="91"/>
      <c r="B1460" s="176"/>
      <c r="C1460" s="176"/>
      <c r="D1460" s="176"/>
      <c r="E1460" s="176"/>
      <c r="F1460" s="176"/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76"/>
      <c r="T1460" s="176"/>
      <c r="U1460" s="176"/>
      <c r="V1460" s="176"/>
      <c r="W1460" s="176"/>
      <c r="X1460" s="176"/>
      <c r="Y1460" s="176"/>
    </row>
    <row r="1461" spans="1:25">
      <c r="A1461" s="91"/>
      <c r="B1461" s="176"/>
      <c r="C1461" s="176"/>
      <c r="D1461" s="176"/>
      <c r="E1461" s="176"/>
      <c r="F1461" s="176"/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76"/>
      <c r="T1461" s="176"/>
      <c r="U1461" s="176"/>
      <c r="V1461" s="176"/>
      <c r="W1461" s="176"/>
      <c r="X1461" s="176"/>
      <c r="Y1461" s="176"/>
    </row>
    <row r="1462" spans="1:25">
      <c r="A1462" s="91"/>
      <c r="B1462" s="176"/>
      <c r="C1462" s="176"/>
      <c r="D1462" s="176"/>
      <c r="E1462" s="176"/>
      <c r="F1462" s="176"/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76"/>
      <c r="T1462" s="176"/>
      <c r="U1462" s="176"/>
      <c r="V1462" s="176"/>
      <c r="W1462" s="176"/>
      <c r="X1462" s="176"/>
      <c r="Y1462" s="176"/>
    </row>
    <row r="1463" spans="1:25">
      <c r="A1463" s="91"/>
      <c r="B1463" s="176"/>
      <c r="C1463" s="176"/>
      <c r="D1463" s="176"/>
      <c r="E1463" s="176"/>
      <c r="F1463" s="176"/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76"/>
      <c r="T1463" s="176"/>
      <c r="U1463" s="176"/>
      <c r="V1463" s="176"/>
      <c r="W1463" s="176"/>
      <c r="X1463" s="176"/>
      <c r="Y1463" s="176"/>
    </row>
    <row r="1464" spans="1:25">
      <c r="A1464" s="91"/>
      <c r="B1464" s="176"/>
      <c r="C1464" s="176"/>
      <c r="D1464" s="176"/>
      <c r="E1464" s="176"/>
      <c r="F1464" s="176"/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76"/>
      <c r="T1464" s="176"/>
      <c r="U1464" s="176"/>
      <c r="V1464" s="176"/>
      <c r="W1464" s="176"/>
      <c r="X1464" s="176"/>
      <c r="Y1464" s="176"/>
    </row>
    <row r="1465" spans="1:25">
      <c r="A1465" s="91"/>
      <c r="B1465" s="176"/>
      <c r="C1465" s="176"/>
      <c r="D1465" s="176"/>
      <c r="E1465" s="176"/>
      <c r="F1465" s="176"/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76"/>
      <c r="T1465" s="176"/>
      <c r="U1465" s="176"/>
      <c r="V1465" s="176"/>
      <c r="W1465" s="176"/>
      <c r="X1465" s="176"/>
      <c r="Y1465" s="176"/>
    </row>
    <row r="1466" spans="1:25">
      <c r="A1466" s="91"/>
      <c r="B1466" s="176"/>
      <c r="C1466" s="176"/>
      <c r="D1466" s="176"/>
      <c r="E1466" s="176"/>
      <c r="F1466" s="176"/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76"/>
      <c r="T1466" s="176"/>
      <c r="U1466" s="176"/>
      <c r="V1466" s="176"/>
      <c r="W1466" s="176"/>
      <c r="X1466" s="176"/>
      <c r="Y1466" s="176"/>
    </row>
    <row r="1467" spans="1:25">
      <c r="A1467" s="91"/>
      <c r="B1467" s="176"/>
      <c r="C1467" s="176"/>
      <c r="D1467" s="176"/>
      <c r="E1467" s="176"/>
      <c r="F1467" s="176"/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76"/>
      <c r="T1467" s="176"/>
      <c r="U1467" s="176"/>
      <c r="V1467" s="176"/>
      <c r="W1467" s="176"/>
      <c r="X1467" s="176"/>
      <c r="Y1467" s="176"/>
    </row>
    <row r="1468" spans="1:25">
      <c r="A1468" s="91"/>
      <c r="B1468" s="176"/>
      <c r="C1468" s="176"/>
      <c r="D1468" s="176"/>
      <c r="E1468" s="176"/>
      <c r="F1468" s="176"/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76"/>
      <c r="T1468" s="176"/>
      <c r="U1468" s="176"/>
      <c r="V1468" s="176"/>
      <c r="W1468" s="176"/>
      <c r="X1468" s="176"/>
      <c r="Y1468" s="176"/>
    </row>
    <row r="1469" spans="1:25">
      <c r="A1469" s="91"/>
      <c r="B1469" s="176"/>
      <c r="C1469" s="176"/>
      <c r="D1469" s="176"/>
      <c r="E1469" s="176"/>
      <c r="F1469" s="176"/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76"/>
      <c r="T1469" s="176"/>
      <c r="U1469" s="176"/>
      <c r="V1469" s="176"/>
      <c r="W1469" s="176"/>
      <c r="X1469" s="176"/>
      <c r="Y1469" s="176"/>
    </row>
    <row r="1470" spans="1:25">
      <c r="A1470" s="91"/>
      <c r="B1470" s="176"/>
      <c r="C1470" s="176"/>
      <c r="D1470" s="176"/>
      <c r="E1470" s="176"/>
      <c r="F1470" s="176"/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76"/>
      <c r="T1470" s="176"/>
      <c r="U1470" s="176"/>
      <c r="V1470" s="176"/>
      <c r="W1470" s="176"/>
      <c r="X1470" s="176"/>
      <c r="Y1470" s="176"/>
    </row>
    <row r="1471" spans="1:25">
      <c r="A1471" s="91"/>
      <c r="B1471" s="176"/>
      <c r="C1471" s="176"/>
      <c r="D1471" s="176"/>
      <c r="E1471" s="176"/>
      <c r="F1471" s="176"/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76"/>
      <c r="T1471" s="176"/>
      <c r="U1471" s="176"/>
      <c r="V1471" s="176"/>
      <c r="W1471" s="176"/>
      <c r="X1471" s="176"/>
      <c r="Y1471" s="176"/>
    </row>
    <row r="1472" spans="1:25">
      <c r="A1472" s="91"/>
      <c r="B1472" s="176"/>
      <c r="C1472" s="176"/>
      <c r="D1472" s="176"/>
      <c r="E1472" s="176"/>
      <c r="F1472" s="176"/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76"/>
      <c r="T1472" s="176"/>
      <c r="U1472" s="176"/>
      <c r="V1472" s="176"/>
      <c r="W1472" s="176"/>
      <c r="X1472" s="176"/>
      <c r="Y1472" s="176"/>
    </row>
    <row r="1473" spans="1:25">
      <c r="A1473" s="91"/>
      <c r="B1473" s="176"/>
      <c r="C1473" s="176"/>
      <c r="D1473" s="176"/>
      <c r="E1473" s="176"/>
      <c r="F1473" s="176"/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76"/>
      <c r="T1473" s="176"/>
      <c r="U1473" s="176"/>
      <c r="V1473" s="176"/>
      <c r="W1473" s="176"/>
      <c r="X1473" s="176"/>
      <c r="Y1473" s="176"/>
    </row>
    <row r="1474" spans="1:25">
      <c r="A1474" s="91"/>
      <c r="B1474" s="176"/>
      <c r="C1474" s="176"/>
      <c r="D1474" s="176"/>
      <c r="E1474" s="176"/>
      <c r="F1474" s="176"/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76"/>
      <c r="T1474" s="176"/>
      <c r="U1474" s="176"/>
      <c r="V1474" s="176"/>
      <c r="W1474" s="176"/>
      <c r="X1474" s="176"/>
      <c r="Y1474" s="176"/>
    </row>
    <row r="1475" spans="1:25">
      <c r="A1475" s="91"/>
      <c r="B1475" s="176"/>
      <c r="C1475" s="176"/>
      <c r="D1475" s="176"/>
      <c r="E1475" s="176"/>
      <c r="F1475" s="176"/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76"/>
      <c r="T1475" s="176"/>
      <c r="U1475" s="176"/>
      <c r="V1475" s="176"/>
      <c r="W1475" s="176"/>
      <c r="X1475" s="176"/>
      <c r="Y1475" s="176"/>
    </row>
    <row r="1476" spans="1:25">
      <c r="A1476" s="91"/>
      <c r="B1476" s="176"/>
      <c r="C1476" s="176"/>
      <c r="D1476" s="176"/>
      <c r="E1476" s="176"/>
      <c r="F1476" s="176"/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76"/>
      <c r="T1476" s="176"/>
      <c r="U1476" s="176"/>
      <c r="V1476" s="176"/>
      <c r="W1476" s="176"/>
      <c r="X1476" s="176"/>
      <c r="Y1476" s="176"/>
    </row>
    <row r="1477" spans="1:25">
      <c r="A1477" s="91"/>
      <c r="B1477" s="176"/>
      <c r="C1477" s="176"/>
      <c r="D1477" s="176"/>
      <c r="E1477" s="176"/>
      <c r="F1477" s="176"/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76"/>
      <c r="T1477" s="176"/>
      <c r="U1477" s="176"/>
      <c r="V1477" s="176"/>
      <c r="W1477" s="176"/>
      <c r="X1477" s="176"/>
      <c r="Y1477" s="176"/>
    </row>
    <row r="1478" spans="1:25">
      <c r="A1478" s="91"/>
      <c r="B1478" s="176"/>
      <c r="C1478" s="176"/>
      <c r="D1478" s="176"/>
      <c r="E1478" s="176"/>
      <c r="F1478" s="176"/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76"/>
      <c r="T1478" s="176"/>
      <c r="U1478" s="176"/>
      <c r="V1478" s="176"/>
      <c r="W1478" s="176"/>
      <c r="X1478" s="176"/>
      <c r="Y1478" s="176"/>
    </row>
    <row r="1479" spans="1:25">
      <c r="A1479" s="91"/>
      <c r="B1479" s="176"/>
      <c r="C1479" s="176"/>
      <c r="D1479" s="176"/>
      <c r="E1479" s="176"/>
      <c r="F1479" s="176"/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76"/>
      <c r="T1479" s="176"/>
      <c r="U1479" s="176"/>
      <c r="V1479" s="176"/>
      <c r="W1479" s="176"/>
      <c r="X1479" s="176"/>
      <c r="Y1479" s="176"/>
    </row>
    <row r="1480" spans="1:25">
      <c r="A1480" s="91"/>
      <c r="B1480" s="176"/>
      <c r="C1480" s="176"/>
      <c r="D1480" s="176"/>
      <c r="E1480" s="176"/>
      <c r="F1480" s="176"/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76"/>
      <c r="T1480" s="176"/>
      <c r="U1480" s="176"/>
      <c r="V1480" s="176"/>
      <c r="W1480" s="176"/>
      <c r="X1480" s="176"/>
      <c r="Y1480" s="176"/>
    </row>
    <row r="1481" spans="1:25">
      <c r="A1481" s="91"/>
      <c r="B1481" s="176"/>
      <c r="C1481" s="176"/>
      <c r="D1481" s="176"/>
      <c r="E1481" s="176"/>
      <c r="F1481" s="176"/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76"/>
      <c r="T1481" s="176"/>
      <c r="U1481" s="176"/>
      <c r="V1481" s="176"/>
      <c r="W1481" s="176"/>
      <c r="X1481" s="176"/>
      <c r="Y1481" s="176"/>
    </row>
    <row r="1482" spans="1:25">
      <c r="A1482" s="91"/>
      <c r="B1482" s="176"/>
      <c r="C1482" s="176"/>
      <c r="D1482" s="176"/>
      <c r="E1482" s="176"/>
      <c r="F1482" s="176"/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76"/>
      <c r="T1482" s="176"/>
      <c r="U1482" s="176"/>
      <c r="V1482" s="176"/>
      <c r="W1482" s="176"/>
      <c r="X1482" s="176"/>
      <c r="Y1482" s="176"/>
    </row>
    <row r="1483" spans="1:25">
      <c r="A1483" s="91"/>
      <c r="B1483" s="176"/>
      <c r="C1483" s="176"/>
      <c r="D1483" s="176"/>
      <c r="E1483" s="176"/>
      <c r="F1483" s="176"/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76"/>
      <c r="T1483" s="176"/>
      <c r="U1483" s="176"/>
      <c r="V1483" s="176"/>
      <c r="W1483" s="176"/>
      <c r="X1483" s="176"/>
      <c r="Y1483" s="176"/>
    </row>
    <row r="1484" spans="1:25">
      <c r="A1484" s="91"/>
      <c r="B1484" s="176"/>
      <c r="C1484" s="176"/>
      <c r="D1484" s="176"/>
      <c r="E1484" s="176"/>
      <c r="F1484" s="176"/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76"/>
      <c r="T1484" s="176"/>
      <c r="U1484" s="176"/>
      <c r="V1484" s="176"/>
      <c r="W1484" s="176"/>
      <c r="X1484" s="176"/>
      <c r="Y1484" s="176"/>
    </row>
    <row r="1485" spans="1:25">
      <c r="A1485" s="91"/>
      <c r="B1485" s="176"/>
      <c r="C1485" s="176"/>
      <c r="D1485" s="176"/>
      <c r="E1485" s="176"/>
      <c r="F1485" s="176"/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76"/>
      <c r="T1485" s="176"/>
      <c r="U1485" s="176"/>
      <c r="V1485" s="176"/>
      <c r="W1485" s="176"/>
      <c r="X1485" s="176"/>
      <c r="Y1485" s="176"/>
    </row>
    <row r="1486" spans="1:25">
      <c r="A1486" s="91"/>
      <c r="B1486" s="176"/>
      <c r="C1486" s="176"/>
      <c r="D1486" s="176"/>
      <c r="E1486" s="176"/>
      <c r="F1486" s="176"/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76"/>
      <c r="T1486" s="176"/>
      <c r="U1486" s="176"/>
      <c r="V1486" s="176"/>
      <c r="W1486" s="176"/>
      <c r="X1486" s="176"/>
      <c r="Y1486" s="176"/>
    </row>
    <row r="1487" spans="1:25">
      <c r="A1487" s="91"/>
      <c r="B1487" s="176"/>
      <c r="C1487" s="176"/>
      <c r="D1487" s="176"/>
      <c r="E1487" s="176"/>
      <c r="F1487" s="176"/>
      <c r="G1487" s="176"/>
      <c r="H1487" s="176"/>
      <c r="I1487" s="176"/>
      <c r="J1487" s="176"/>
      <c r="K1487" s="176"/>
      <c r="L1487" s="176"/>
      <c r="M1487" s="176"/>
      <c r="N1487" s="176"/>
      <c r="O1487" s="176"/>
      <c r="P1487" s="176"/>
      <c r="Q1487" s="176"/>
      <c r="R1487" s="176"/>
      <c r="S1487" s="176"/>
      <c r="T1487" s="176"/>
      <c r="U1487" s="176"/>
      <c r="V1487" s="176"/>
      <c r="W1487" s="176"/>
      <c r="X1487" s="176"/>
      <c r="Y1487" s="176"/>
    </row>
    <row r="1488" spans="1:25">
      <c r="A1488" s="91"/>
      <c r="B1488" s="176"/>
      <c r="C1488" s="176"/>
      <c r="D1488" s="176"/>
      <c r="E1488" s="176"/>
      <c r="F1488" s="176"/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76"/>
      <c r="T1488" s="176"/>
      <c r="U1488" s="176"/>
      <c r="V1488" s="176"/>
      <c r="W1488" s="176"/>
      <c r="X1488" s="176"/>
      <c r="Y1488" s="176"/>
    </row>
    <row r="1489" spans="1:25">
      <c r="A1489" s="91"/>
      <c r="B1489" s="176"/>
      <c r="C1489" s="176"/>
      <c r="D1489" s="176"/>
      <c r="E1489" s="176"/>
      <c r="F1489" s="176"/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76"/>
      <c r="T1489" s="176"/>
      <c r="U1489" s="176"/>
      <c r="V1489" s="176"/>
      <c r="W1489" s="176"/>
      <c r="X1489" s="176"/>
      <c r="Y1489" s="176"/>
    </row>
    <row r="1490" spans="1:25">
      <c r="A1490" s="91"/>
      <c r="B1490" s="176"/>
      <c r="C1490" s="176"/>
      <c r="D1490" s="176"/>
      <c r="E1490" s="176"/>
      <c r="F1490" s="176"/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76"/>
      <c r="T1490" s="176"/>
      <c r="U1490" s="176"/>
      <c r="V1490" s="176"/>
      <c r="W1490" s="176"/>
      <c r="X1490" s="176"/>
      <c r="Y1490" s="176"/>
    </row>
    <row r="1491" spans="1:25">
      <c r="A1491" s="91"/>
      <c r="B1491" s="176"/>
      <c r="C1491" s="176"/>
      <c r="D1491" s="176"/>
      <c r="E1491" s="176"/>
      <c r="F1491" s="176"/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76"/>
      <c r="T1491" s="176"/>
      <c r="U1491" s="176"/>
      <c r="V1491" s="176"/>
      <c r="W1491" s="176"/>
      <c r="X1491" s="176"/>
      <c r="Y1491" s="176"/>
    </row>
    <row r="1492" spans="1:25">
      <c r="A1492" s="91"/>
      <c r="B1492" s="176"/>
      <c r="C1492" s="176"/>
      <c r="D1492" s="176"/>
      <c r="E1492" s="176"/>
      <c r="F1492" s="176"/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76"/>
      <c r="T1492" s="176"/>
      <c r="U1492" s="176"/>
      <c r="V1492" s="176"/>
      <c r="W1492" s="176"/>
      <c r="X1492" s="176"/>
      <c r="Y1492" s="176"/>
    </row>
    <row r="1493" spans="1:25">
      <c r="A1493" s="91"/>
      <c r="B1493" s="176"/>
      <c r="C1493" s="176"/>
      <c r="D1493" s="176"/>
      <c r="E1493" s="176"/>
      <c r="F1493" s="176"/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76"/>
      <c r="T1493" s="176"/>
      <c r="U1493" s="176"/>
      <c r="V1493" s="176"/>
      <c r="W1493" s="176"/>
      <c r="X1493" s="176"/>
      <c r="Y1493" s="176"/>
    </row>
    <row r="1494" spans="1:25">
      <c r="A1494" s="91"/>
      <c r="B1494" s="176"/>
      <c r="C1494" s="176"/>
      <c r="D1494" s="176"/>
      <c r="E1494" s="176"/>
      <c r="F1494" s="176"/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76"/>
      <c r="T1494" s="176"/>
      <c r="U1494" s="176"/>
      <c r="V1494" s="176"/>
      <c r="W1494" s="176"/>
      <c r="X1494" s="176"/>
      <c r="Y1494" s="176"/>
    </row>
    <row r="1495" spans="1:25">
      <c r="A1495" s="91"/>
      <c r="B1495" s="176"/>
      <c r="C1495" s="176"/>
      <c r="D1495" s="176"/>
      <c r="E1495" s="176"/>
      <c r="F1495" s="176"/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76"/>
      <c r="T1495" s="176"/>
      <c r="U1495" s="176"/>
      <c r="V1495" s="176"/>
      <c r="W1495" s="176"/>
      <c r="X1495" s="176"/>
      <c r="Y1495" s="176"/>
    </row>
    <row r="1496" spans="1:25">
      <c r="A1496" s="91"/>
      <c r="B1496" s="176"/>
      <c r="C1496" s="176"/>
      <c r="D1496" s="176"/>
      <c r="E1496" s="176"/>
      <c r="F1496" s="176"/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76"/>
      <c r="T1496" s="176"/>
      <c r="U1496" s="176"/>
      <c r="V1496" s="176"/>
      <c r="W1496" s="176"/>
      <c r="X1496" s="176"/>
      <c r="Y1496" s="176"/>
    </row>
    <row r="1497" spans="1:25">
      <c r="A1497" s="91"/>
      <c r="B1497" s="176"/>
      <c r="C1497" s="176"/>
      <c r="D1497" s="176"/>
      <c r="E1497" s="176"/>
      <c r="F1497" s="176"/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76"/>
      <c r="T1497" s="176"/>
      <c r="U1497" s="176"/>
      <c r="V1497" s="176"/>
      <c r="W1497" s="176"/>
      <c r="X1497" s="176"/>
      <c r="Y1497" s="176"/>
    </row>
    <row r="1498" spans="1:25">
      <c r="A1498" s="91"/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</row>
    <row r="1499" spans="1:25">
      <c r="A1499" s="91"/>
      <c r="B1499" s="176"/>
      <c r="C1499" s="176"/>
      <c r="D1499" s="176"/>
      <c r="E1499" s="176"/>
      <c r="F1499" s="176"/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76"/>
      <c r="T1499" s="176"/>
      <c r="U1499" s="176"/>
      <c r="V1499" s="176"/>
      <c r="W1499" s="176"/>
      <c r="X1499" s="176"/>
      <c r="Y1499" s="176"/>
    </row>
    <row r="1500" spans="1:25">
      <c r="A1500" s="91"/>
      <c r="B1500" s="176"/>
      <c r="C1500" s="176"/>
      <c r="D1500" s="176"/>
      <c r="E1500" s="176"/>
      <c r="F1500" s="176"/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76"/>
      <c r="T1500" s="176"/>
      <c r="U1500" s="176"/>
      <c r="V1500" s="176"/>
      <c r="W1500" s="176"/>
      <c r="X1500" s="176"/>
      <c r="Y1500" s="176"/>
    </row>
    <row r="1501" spans="1:25">
      <c r="A1501" s="91"/>
      <c r="B1501" s="176"/>
      <c r="C1501" s="176"/>
      <c r="D1501" s="176"/>
      <c r="E1501" s="176"/>
      <c r="F1501" s="176"/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76"/>
      <c r="T1501" s="176"/>
      <c r="U1501" s="176"/>
      <c r="V1501" s="176"/>
      <c r="W1501" s="176"/>
      <c r="X1501" s="176"/>
      <c r="Y1501" s="176"/>
    </row>
    <row r="1502" spans="1:25">
      <c r="A1502" s="91"/>
      <c r="B1502" s="176"/>
      <c r="C1502" s="176"/>
      <c r="D1502" s="176"/>
      <c r="E1502" s="176"/>
      <c r="F1502" s="176"/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76"/>
      <c r="T1502" s="176"/>
      <c r="U1502" s="176"/>
      <c r="V1502" s="176"/>
      <c r="W1502" s="176"/>
      <c r="X1502" s="176"/>
      <c r="Y1502" s="176"/>
    </row>
    <row r="1503" spans="1:25">
      <c r="A1503" s="91"/>
      <c r="B1503" s="176"/>
      <c r="C1503" s="176"/>
      <c r="D1503" s="176"/>
      <c r="E1503" s="176"/>
      <c r="F1503" s="176"/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76"/>
      <c r="T1503" s="176"/>
      <c r="U1503" s="176"/>
      <c r="V1503" s="176"/>
      <c r="W1503" s="176"/>
      <c r="X1503" s="176"/>
      <c r="Y1503" s="176"/>
    </row>
    <row r="1504" spans="1:25">
      <c r="A1504" s="91"/>
      <c r="B1504" s="176"/>
      <c r="C1504" s="176"/>
      <c r="D1504" s="176"/>
      <c r="E1504" s="176"/>
      <c r="F1504" s="176"/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76"/>
      <c r="T1504" s="176"/>
      <c r="U1504" s="176"/>
      <c r="V1504" s="176"/>
      <c r="W1504" s="176"/>
      <c r="X1504" s="176"/>
      <c r="Y1504" s="176"/>
    </row>
    <row r="1505" spans="1:25">
      <c r="A1505" s="91"/>
      <c r="B1505" s="176"/>
      <c r="C1505" s="176"/>
      <c r="D1505" s="176"/>
      <c r="E1505" s="176"/>
      <c r="F1505" s="176"/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76"/>
      <c r="T1505" s="176"/>
      <c r="U1505" s="176"/>
      <c r="V1505" s="176"/>
      <c r="W1505" s="176"/>
      <c r="X1505" s="176"/>
      <c r="Y1505" s="176"/>
    </row>
    <row r="1506" spans="1:25">
      <c r="A1506" s="91"/>
      <c r="B1506" s="176"/>
      <c r="C1506" s="176"/>
      <c r="D1506" s="176"/>
      <c r="E1506" s="176"/>
      <c r="F1506" s="176"/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76"/>
      <c r="T1506" s="176"/>
      <c r="U1506" s="176"/>
      <c r="V1506" s="176"/>
      <c r="W1506" s="176"/>
      <c r="X1506" s="176"/>
      <c r="Y1506" s="176"/>
    </row>
    <row r="1507" spans="1:25">
      <c r="A1507" s="91"/>
      <c r="B1507" s="176"/>
      <c r="C1507" s="176"/>
      <c r="D1507" s="176"/>
      <c r="E1507" s="176"/>
      <c r="F1507" s="176"/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76"/>
      <c r="T1507" s="176"/>
      <c r="U1507" s="176"/>
      <c r="V1507" s="176"/>
      <c r="W1507" s="176"/>
      <c r="X1507" s="176"/>
      <c r="Y1507" s="176"/>
    </row>
    <row r="1508" spans="1:25">
      <c r="A1508" s="91"/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176"/>
    </row>
    <row r="1509" spans="1:25">
      <c r="A1509" s="91"/>
      <c r="B1509" s="176"/>
      <c r="C1509" s="176"/>
      <c r="D1509" s="176"/>
      <c r="E1509" s="176"/>
      <c r="F1509" s="176"/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76"/>
      <c r="T1509" s="176"/>
      <c r="U1509" s="176"/>
      <c r="V1509" s="176"/>
      <c r="W1509" s="176"/>
      <c r="X1509" s="176"/>
      <c r="Y1509" s="176"/>
    </row>
    <row r="1510" spans="1:25">
      <c r="A1510" s="91"/>
      <c r="B1510" s="176"/>
      <c r="C1510" s="176"/>
      <c r="D1510" s="176"/>
      <c r="E1510" s="176"/>
      <c r="F1510" s="176"/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76"/>
      <c r="T1510" s="176"/>
      <c r="U1510" s="176"/>
      <c r="V1510" s="176"/>
      <c r="W1510" s="176"/>
      <c r="X1510" s="176"/>
      <c r="Y1510" s="176"/>
    </row>
    <row r="1511" spans="1:25">
      <c r="A1511" s="91"/>
      <c r="B1511" s="176"/>
      <c r="C1511" s="176"/>
      <c r="D1511" s="176"/>
      <c r="E1511" s="176"/>
      <c r="F1511" s="176"/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76"/>
      <c r="T1511" s="176"/>
      <c r="U1511" s="176"/>
      <c r="V1511" s="176"/>
      <c r="W1511" s="176"/>
      <c r="X1511" s="176"/>
      <c r="Y1511" s="176"/>
    </row>
    <row r="1512" spans="1:25">
      <c r="A1512" s="91"/>
      <c r="B1512" s="176"/>
      <c r="C1512" s="176"/>
      <c r="D1512" s="176"/>
      <c r="E1512" s="176"/>
      <c r="F1512" s="176"/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76"/>
      <c r="T1512" s="176"/>
      <c r="U1512" s="176"/>
      <c r="V1512" s="176"/>
      <c r="W1512" s="176"/>
      <c r="X1512" s="176"/>
      <c r="Y1512" s="176"/>
    </row>
    <row r="1513" spans="1:25">
      <c r="A1513" s="91"/>
      <c r="B1513" s="176"/>
      <c r="C1513" s="176"/>
      <c r="D1513" s="176"/>
      <c r="E1513" s="176"/>
      <c r="F1513" s="176"/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76"/>
      <c r="T1513" s="176"/>
      <c r="U1513" s="176"/>
      <c r="V1513" s="176"/>
      <c r="W1513" s="176"/>
      <c r="X1513" s="176"/>
      <c r="Y1513" s="176"/>
    </row>
    <row r="1514" spans="1:25">
      <c r="A1514" s="91"/>
      <c r="B1514" s="176"/>
      <c r="C1514" s="176"/>
      <c r="D1514" s="176"/>
      <c r="E1514" s="176"/>
      <c r="F1514" s="176"/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76"/>
      <c r="T1514" s="176"/>
      <c r="U1514" s="176"/>
      <c r="V1514" s="176"/>
      <c r="W1514" s="176"/>
      <c r="X1514" s="176"/>
      <c r="Y1514" s="176"/>
    </row>
    <row r="1515" spans="1:25">
      <c r="A1515" s="91"/>
      <c r="B1515" s="176"/>
      <c r="C1515" s="176"/>
      <c r="D1515" s="176"/>
      <c r="E1515" s="176"/>
      <c r="F1515" s="176"/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76"/>
      <c r="T1515" s="176"/>
      <c r="U1515" s="176"/>
      <c r="V1515" s="176"/>
      <c r="W1515" s="176"/>
      <c r="X1515" s="176"/>
      <c r="Y1515" s="176"/>
    </row>
    <row r="1516" spans="1:25">
      <c r="A1516" s="91"/>
      <c r="B1516" s="176"/>
      <c r="C1516" s="176"/>
      <c r="D1516" s="176"/>
      <c r="E1516" s="176"/>
      <c r="F1516" s="176"/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76"/>
      <c r="T1516" s="176"/>
      <c r="U1516" s="176"/>
      <c r="V1516" s="176"/>
      <c r="W1516" s="176"/>
      <c r="X1516" s="176"/>
      <c r="Y1516" s="176"/>
    </row>
    <row r="1517" spans="1:25">
      <c r="A1517" s="91"/>
      <c r="B1517" s="176"/>
      <c r="C1517" s="176"/>
      <c r="D1517" s="176"/>
      <c r="E1517" s="176"/>
      <c r="F1517" s="176"/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76"/>
      <c r="T1517" s="176"/>
      <c r="U1517" s="176"/>
      <c r="V1517" s="176"/>
      <c r="W1517" s="176"/>
      <c r="X1517" s="176"/>
      <c r="Y1517" s="176"/>
    </row>
    <row r="1518" spans="1:25">
      <c r="A1518" s="91"/>
      <c r="B1518" s="176"/>
      <c r="C1518" s="176"/>
      <c r="D1518" s="176"/>
      <c r="E1518" s="176"/>
      <c r="F1518" s="176"/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76"/>
      <c r="T1518" s="176"/>
      <c r="U1518" s="176"/>
      <c r="V1518" s="176"/>
      <c r="W1518" s="176"/>
      <c r="X1518" s="176"/>
      <c r="Y1518" s="176"/>
    </row>
    <row r="1519" spans="1:25">
      <c r="A1519" s="91"/>
      <c r="B1519" s="176"/>
      <c r="C1519" s="176"/>
      <c r="D1519" s="176"/>
      <c r="E1519" s="176"/>
      <c r="F1519" s="176"/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76"/>
      <c r="T1519" s="176"/>
      <c r="U1519" s="176"/>
      <c r="V1519" s="176"/>
      <c r="W1519" s="176"/>
      <c r="X1519" s="176"/>
      <c r="Y1519" s="176"/>
    </row>
    <row r="1520" spans="1:25">
      <c r="A1520" s="91"/>
      <c r="B1520" s="176"/>
      <c r="C1520" s="176"/>
      <c r="D1520" s="176"/>
      <c r="E1520" s="176"/>
      <c r="F1520" s="176"/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76"/>
      <c r="T1520" s="176"/>
      <c r="U1520" s="176"/>
      <c r="V1520" s="176"/>
      <c r="W1520" s="176"/>
      <c r="X1520" s="176"/>
      <c r="Y1520" s="176"/>
    </row>
    <row r="1521" spans="1:25">
      <c r="A1521" s="91"/>
      <c r="B1521" s="176"/>
      <c r="C1521" s="176"/>
      <c r="D1521" s="176"/>
      <c r="E1521" s="176"/>
      <c r="F1521" s="176"/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76"/>
      <c r="T1521" s="176"/>
      <c r="U1521" s="176"/>
      <c r="V1521" s="176"/>
      <c r="W1521" s="176"/>
      <c r="X1521" s="176"/>
      <c r="Y1521" s="176"/>
    </row>
    <row r="1522" spans="1:25">
      <c r="A1522" s="91"/>
      <c r="B1522" s="176"/>
      <c r="C1522" s="176"/>
      <c r="D1522" s="176"/>
      <c r="E1522" s="176"/>
      <c r="F1522" s="176"/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76"/>
      <c r="T1522" s="176"/>
      <c r="U1522" s="176"/>
      <c r="V1522" s="176"/>
      <c r="W1522" s="176"/>
      <c r="X1522" s="176"/>
      <c r="Y1522" s="176"/>
    </row>
    <row r="1523" spans="1:25">
      <c r="A1523" s="91"/>
      <c r="B1523" s="176"/>
      <c r="C1523" s="176"/>
      <c r="D1523" s="176"/>
      <c r="E1523" s="176"/>
      <c r="F1523" s="176"/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76"/>
      <c r="T1523" s="176"/>
      <c r="U1523" s="176"/>
      <c r="V1523" s="176"/>
      <c r="W1523" s="176"/>
      <c r="X1523" s="176"/>
      <c r="Y1523" s="176"/>
    </row>
    <row r="1524" spans="1:25">
      <c r="A1524" s="91"/>
      <c r="B1524" s="176"/>
      <c r="C1524" s="176"/>
      <c r="D1524" s="176"/>
      <c r="E1524" s="176"/>
      <c r="F1524" s="176"/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76"/>
      <c r="T1524" s="176"/>
      <c r="U1524" s="176"/>
      <c r="V1524" s="176"/>
      <c r="W1524" s="176"/>
      <c r="X1524" s="176"/>
      <c r="Y1524" s="176"/>
    </row>
    <row r="1525" spans="1:25">
      <c r="A1525" s="91"/>
      <c r="B1525" s="176"/>
      <c r="C1525" s="176"/>
      <c r="D1525" s="176"/>
      <c r="E1525" s="176"/>
      <c r="F1525" s="176"/>
      <c r="G1525" s="176"/>
      <c r="H1525" s="176"/>
      <c r="I1525" s="176"/>
      <c r="J1525" s="176"/>
      <c r="K1525" s="176"/>
      <c r="L1525" s="176"/>
      <c r="M1525" s="176"/>
      <c r="N1525" s="176"/>
      <c r="O1525" s="176"/>
      <c r="P1525" s="176"/>
      <c r="Q1525" s="176"/>
      <c r="R1525" s="176"/>
      <c r="S1525" s="176"/>
      <c r="T1525" s="176"/>
      <c r="U1525" s="176"/>
      <c r="V1525" s="176"/>
      <c r="W1525" s="176"/>
      <c r="X1525" s="176"/>
      <c r="Y1525" s="176"/>
    </row>
    <row r="1526" spans="1:25">
      <c r="A1526" s="91"/>
      <c r="B1526" s="176"/>
      <c r="C1526" s="176"/>
      <c r="D1526" s="176"/>
      <c r="E1526" s="176"/>
      <c r="F1526" s="176"/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76"/>
      <c r="T1526" s="176"/>
      <c r="U1526" s="176"/>
      <c r="V1526" s="176"/>
      <c r="W1526" s="176"/>
      <c r="X1526" s="176"/>
      <c r="Y1526" s="176"/>
    </row>
    <row r="1527" spans="1:25">
      <c r="A1527" s="91"/>
      <c r="B1527" s="176"/>
      <c r="C1527" s="176"/>
      <c r="D1527" s="176"/>
      <c r="E1527" s="176"/>
      <c r="F1527" s="176"/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76"/>
      <c r="T1527" s="176"/>
      <c r="U1527" s="176"/>
      <c r="V1527" s="176"/>
      <c r="W1527" s="176"/>
      <c r="X1527" s="176"/>
      <c r="Y1527" s="176"/>
    </row>
    <row r="1528" spans="1:25">
      <c r="A1528" s="91"/>
      <c r="B1528" s="176"/>
      <c r="C1528" s="176"/>
      <c r="D1528" s="176"/>
      <c r="E1528" s="176"/>
      <c r="F1528" s="176"/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76"/>
      <c r="T1528" s="176"/>
      <c r="U1528" s="176"/>
      <c r="V1528" s="176"/>
      <c r="W1528" s="176"/>
      <c r="X1528" s="176"/>
      <c r="Y1528" s="176"/>
    </row>
    <row r="1529" spans="1:25">
      <c r="A1529" s="91"/>
      <c r="B1529" s="176"/>
      <c r="C1529" s="176"/>
      <c r="D1529" s="176"/>
      <c r="E1529" s="176"/>
      <c r="F1529" s="176"/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76"/>
      <c r="T1529" s="176"/>
      <c r="U1529" s="176"/>
      <c r="V1529" s="176"/>
      <c r="W1529" s="176"/>
      <c r="X1529" s="176"/>
      <c r="Y1529" s="176"/>
    </row>
    <row r="1530" spans="1:25">
      <c r="A1530" s="91"/>
      <c r="B1530" s="176"/>
      <c r="C1530" s="176"/>
      <c r="D1530" s="176"/>
      <c r="E1530" s="176"/>
      <c r="F1530" s="176"/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76"/>
      <c r="T1530" s="176"/>
      <c r="U1530" s="176"/>
      <c r="V1530" s="176"/>
      <c r="W1530" s="176"/>
      <c r="X1530" s="176"/>
      <c r="Y1530" s="176"/>
    </row>
    <row r="1531" spans="1:25">
      <c r="A1531" s="91"/>
      <c r="B1531" s="176"/>
      <c r="C1531" s="176"/>
      <c r="D1531" s="176"/>
      <c r="E1531" s="176"/>
      <c r="F1531" s="176"/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76"/>
      <c r="T1531" s="176"/>
      <c r="U1531" s="176"/>
      <c r="V1531" s="176"/>
      <c r="W1531" s="176"/>
      <c r="X1531" s="176"/>
      <c r="Y1531" s="176"/>
    </row>
    <row r="1532" spans="1:25">
      <c r="A1532" s="91"/>
      <c r="B1532" s="176"/>
      <c r="C1532" s="176"/>
      <c r="D1532" s="176"/>
      <c r="E1532" s="176"/>
      <c r="F1532" s="176"/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76"/>
      <c r="T1532" s="176"/>
      <c r="U1532" s="176"/>
      <c r="V1532" s="176"/>
      <c r="W1532" s="176"/>
      <c r="X1532" s="176"/>
      <c r="Y1532" s="176"/>
    </row>
    <row r="1533" spans="1:25">
      <c r="A1533" s="91"/>
      <c r="B1533" s="176"/>
      <c r="C1533" s="176"/>
      <c r="D1533" s="176"/>
      <c r="E1533" s="176"/>
      <c r="F1533" s="176"/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76"/>
      <c r="T1533" s="176"/>
      <c r="U1533" s="176"/>
      <c r="V1533" s="176"/>
      <c r="W1533" s="176"/>
      <c r="X1533" s="176"/>
      <c r="Y1533" s="176"/>
    </row>
    <row r="1534" spans="1:25">
      <c r="A1534" s="91"/>
      <c r="B1534" s="176"/>
      <c r="C1534" s="176"/>
      <c r="D1534" s="176"/>
      <c r="E1534" s="176"/>
      <c r="F1534" s="176"/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76"/>
      <c r="T1534" s="176"/>
      <c r="U1534" s="176"/>
      <c r="V1534" s="176"/>
      <c r="W1534" s="176"/>
      <c r="X1534" s="176"/>
      <c r="Y1534" s="176"/>
    </row>
    <row r="1535" spans="1:25">
      <c r="A1535" s="91"/>
      <c r="B1535" s="176"/>
      <c r="C1535" s="176"/>
      <c r="D1535" s="176"/>
      <c r="E1535" s="176"/>
      <c r="F1535" s="176"/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76"/>
      <c r="T1535" s="176"/>
      <c r="U1535" s="176"/>
      <c r="V1535" s="176"/>
      <c r="W1535" s="176"/>
      <c r="X1535" s="176"/>
      <c r="Y1535" s="176"/>
    </row>
    <row r="1536" spans="1:25">
      <c r="A1536" s="91"/>
      <c r="B1536" s="176"/>
      <c r="C1536" s="176"/>
      <c r="D1536" s="176"/>
      <c r="E1536" s="176"/>
      <c r="F1536" s="176"/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76"/>
      <c r="T1536" s="176"/>
      <c r="U1536" s="176"/>
      <c r="V1536" s="176"/>
      <c r="W1536" s="176"/>
      <c r="X1536" s="176"/>
      <c r="Y1536" s="176"/>
    </row>
    <row r="1537" spans="1:25">
      <c r="A1537" s="91"/>
      <c r="B1537" s="176"/>
      <c r="C1537" s="176"/>
      <c r="D1537" s="176"/>
      <c r="E1537" s="176"/>
      <c r="F1537" s="176"/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76"/>
      <c r="T1537" s="176"/>
      <c r="U1537" s="176"/>
      <c r="V1537" s="176"/>
      <c r="W1537" s="176"/>
      <c r="X1537" s="176"/>
      <c r="Y1537" s="176"/>
    </row>
    <row r="1538" spans="1:25">
      <c r="A1538" s="91"/>
      <c r="B1538" s="176"/>
      <c r="C1538" s="176"/>
      <c r="D1538" s="176"/>
      <c r="E1538" s="176"/>
      <c r="F1538" s="176"/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76"/>
      <c r="T1538" s="176"/>
      <c r="U1538" s="176"/>
      <c r="V1538" s="176"/>
      <c r="W1538" s="176"/>
      <c r="X1538" s="176"/>
      <c r="Y1538" s="176"/>
    </row>
    <row r="1539" spans="1:25">
      <c r="A1539" s="91"/>
      <c r="B1539" s="176"/>
      <c r="C1539" s="176"/>
      <c r="D1539" s="176"/>
      <c r="E1539" s="176"/>
      <c r="F1539" s="176"/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76"/>
      <c r="T1539" s="176"/>
      <c r="U1539" s="176"/>
      <c r="V1539" s="176"/>
      <c r="W1539" s="176"/>
      <c r="X1539" s="176"/>
      <c r="Y1539" s="176"/>
    </row>
    <row r="1540" spans="1:25">
      <c r="A1540" s="91"/>
      <c r="B1540" s="176"/>
      <c r="C1540" s="176"/>
      <c r="D1540" s="176"/>
      <c r="E1540" s="176"/>
      <c r="F1540" s="176"/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76"/>
      <c r="T1540" s="176"/>
      <c r="U1540" s="176"/>
      <c r="V1540" s="176"/>
      <c r="W1540" s="176"/>
      <c r="X1540" s="176"/>
      <c r="Y1540" s="176"/>
    </row>
    <row r="1541" spans="1:25">
      <c r="A1541" s="91"/>
      <c r="B1541" s="176"/>
      <c r="C1541" s="176"/>
      <c r="D1541" s="176"/>
      <c r="E1541" s="176"/>
      <c r="F1541" s="176"/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76"/>
      <c r="T1541" s="176"/>
      <c r="U1541" s="176"/>
      <c r="V1541" s="176"/>
      <c r="W1541" s="176"/>
      <c r="X1541" s="176"/>
      <c r="Y1541" s="176"/>
    </row>
    <row r="1542" spans="1:25">
      <c r="A1542" s="91"/>
      <c r="B1542" s="176"/>
      <c r="C1542" s="176"/>
      <c r="D1542" s="176"/>
      <c r="E1542" s="176"/>
      <c r="F1542" s="176"/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76"/>
      <c r="T1542" s="176"/>
      <c r="U1542" s="176"/>
      <c r="V1542" s="176"/>
      <c r="W1542" s="176"/>
      <c r="X1542" s="176"/>
      <c r="Y1542" s="176"/>
    </row>
    <row r="1543" spans="1:25">
      <c r="A1543" s="91"/>
      <c r="B1543" s="176"/>
      <c r="C1543" s="176"/>
      <c r="D1543" s="176"/>
      <c r="E1543" s="176"/>
      <c r="F1543" s="176"/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76"/>
      <c r="T1543" s="176"/>
      <c r="U1543" s="176"/>
      <c r="V1543" s="176"/>
      <c r="W1543" s="176"/>
      <c r="X1543" s="176"/>
      <c r="Y1543" s="176"/>
    </row>
    <row r="1544" spans="1:25">
      <c r="A1544" s="91"/>
      <c r="B1544" s="176"/>
      <c r="C1544" s="176"/>
      <c r="D1544" s="176"/>
      <c r="E1544" s="176"/>
      <c r="F1544" s="176"/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76"/>
      <c r="T1544" s="176"/>
      <c r="U1544" s="176"/>
      <c r="V1544" s="176"/>
      <c r="W1544" s="176"/>
      <c r="X1544" s="176"/>
      <c r="Y1544" s="176"/>
    </row>
    <row r="1545" spans="1:25">
      <c r="A1545" s="91"/>
      <c r="B1545" s="176"/>
      <c r="C1545" s="176"/>
      <c r="D1545" s="176"/>
      <c r="E1545" s="176"/>
      <c r="F1545" s="176"/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76"/>
      <c r="T1545" s="176"/>
      <c r="U1545" s="176"/>
      <c r="V1545" s="176"/>
      <c r="W1545" s="176"/>
      <c r="X1545" s="176"/>
      <c r="Y1545" s="176"/>
    </row>
    <row r="1546" spans="1:25">
      <c r="A1546" s="91"/>
      <c r="B1546" s="176"/>
      <c r="C1546" s="176"/>
      <c r="D1546" s="176"/>
      <c r="E1546" s="176"/>
      <c r="F1546" s="176"/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76"/>
      <c r="T1546" s="176"/>
      <c r="U1546" s="176"/>
      <c r="V1546" s="176"/>
      <c r="W1546" s="176"/>
      <c r="X1546" s="176"/>
      <c r="Y1546" s="176"/>
    </row>
    <row r="1547" spans="1:25">
      <c r="A1547" s="91"/>
      <c r="B1547" s="176"/>
      <c r="C1547" s="176"/>
      <c r="D1547" s="176"/>
      <c r="E1547" s="176"/>
      <c r="F1547" s="176"/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76"/>
      <c r="T1547" s="176"/>
      <c r="U1547" s="176"/>
      <c r="V1547" s="176"/>
      <c r="W1547" s="176"/>
      <c r="X1547" s="176"/>
      <c r="Y1547" s="176"/>
    </row>
    <row r="1548" spans="1:25">
      <c r="A1548" s="91"/>
      <c r="B1548" s="176"/>
      <c r="C1548" s="176"/>
      <c r="D1548" s="176"/>
      <c r="E1548" s="176"/>
      <c r="F1548" s="176"/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76"/>
      <c r="T1548" s="176"/>
      <c r="U1548" s="176"/>
      <c r="V1548" s="176"/>
      <c r="W1548" s="176"/>
      <c r="X1548" s="176"/>
      <c r="Y1548" s="176"/>
    </row>
    <row r="1549" spans="1:25">
      <c r="A1549" s="91"/>
      <c r="B1549" s="176"/>
      <c r="C1549" s="176"/>
      <c r="D1549" s="176"/>
      <c r="E1549" s="176"/>
      <c r="F1549" s="176"/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76"/>
      <c r="T1549" s="176"/>
      <c r="U1549" s="176"/>
      <c r="V1549" s="176"/>
      <c r="W1549" s="176"/>
      <c r="X1549" s="176"/>
      <c r="Y1549" s="176"/>
    </row>
    <row r="1550" spans="1:25">
      <c r="A1550" s="91"/>
      <c r="B1550" s="176"/>
      <c r="C1550" s="176"/>
      <c r="D1550" s="176"/>
      <c r="E1550" s="176"/>
      <c r="F1550" s="176"/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76"/>
      <c r="T1550" s="176"/>
      <c r="U1550" s="176"/>
      <c r="V1550" s="176"/>
      <c r="W1550" s="176"/>
      <c r="X1550" s="176"/>
      <c r="Y1550" s="176"/>
    </row>
    <row r="1551" spans="1:25">
      <c r="A1551" s="91"/>
      <c r="B1551" s="176"/>
      <c r="C1551" s="176"/>
      <c r="D1551" s="176"/>
      <c r="E1551" s="176"/>
      <c r="F1551" s="176"/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76"/>
      <c r="T1551" s="176"/>
      <c r="U1551" s="176"/>
      <c r="V1551" s="176"/>
      <c r="W1551" s="176"/>
      <c r="X1551" s="176"/>
      <c r="Y1551" s="176"/>
    </row>
    <row r="1552" spans="1:25">
      <c r="A1552" s="91"/>
      <c r="B1552" s="176"/>
      <c r="C1552" s="176"/>
      <c r="D1552" s="176"/>
      <c r="E1552" s="176"/>
      <c r="F1552" s="176"/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76"/>
      <c r="T1552" s="176"/>
      <c r="U1552" s="176"/>
      <c r="V1552" s="176"/>
      <c r="W1552" s="176"/>
      <c r="X1552" s="176"/>
      <c r="Y1552" s="176"/>
    </row>
    <row r="1553" spans="1:25">
      <c r="A1553" s="91"/>
      <c r="B1553" s="176"/>
      <c r="C1553" s="176"/>
      <c r="D1553" s="176"/>
      <c r="E1553" s="176"/>
      <c r="F1553" s="176"/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76"/>
      <c r="T1553" s="176"/>
      <c r="U1553" s="176"/>
      <c r="V1553" s="176"/>
      <c r="W1553" s="176"/>
      <c r="X1553" s="176"/>
      <c r="Y1553" s="176"/>
    </row>
    <row r="1554" spans="1:25">
      <c r="A1554" s="91"/>
      <c r="B1554" s="176"/>
      <c r="C1554" s="176"/>
      <c r="D1554" s="176"/>
      <c r="E1554" s="176"/>
      <c r="F1554" s="176"/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76"/>
      <c r="T1554" s="176"/>
      <c r="U1554" s="176"/>
      <c r="V1554" s="176"/>
      <c r="W1554" s="176"/>
      <c r="X1554" s="176"/>
      <c r="Y1554" s="176"/>
    </row>
    <row r="1555" spans="1:25">
      <c r="A1555" s="91"/>
      <c r="B1555" s="176"/>
      <c r="C1555" s="176"/>
      <c r="D1555" s="176"/>
      <c r="E1555" s="176"/>
      <c r="F1555" s="176"/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76"/>
      <c r="T1555" s="176"/>
      <c r="U1555" s="176"/>
      <c r="V1555" s="176"/>
      <c r="W1555" s="176"/>
      <c r="X1555" s="176"/>
      <c r="Y1555" s="176"/>
    </row>
    <row r="1556" spans="1:25">
      <c r="A1556" s="91"/>
      <c r="B1556" s="176"/>
      <c r="C1556" s="176"/>
      <c r="D1556" s="176"/>
      <c r="E1556" s="176"/>
      <c r="F1556" s="176"/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76"/>
      <c r="T1556" s="176"/>
      <c r="U1556" s="176"/>
      <c r="V1556" s="176"/>
      <c r="W1556" s="176"/>
      <c r="X1556" s="176"/>
      <c r="Y1556" s="176"/>
    </row>
    <row r="1557" spans="1:25">
      <c r="A1557" s="91"/>
      <c r="B1557" s="176"/>
      <c r="C1557" s="176"/>
      <c r="D1557" s="176"/>
      <c r="E1557" s="176"/>
      <c r="F1557" s="176"/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76"/>
      <c r="T1557" s="176"/>
      <c r="U1557" s="176"/>
      <c r="V1557" s="176"/>
      <c r="W1557" s="176"/>
      <c r="X1557" s="176"/>
      <c r="Y1557" s="176"/>
    </row>
    <row r="1558" spans="1:25">
      <c r="A1558" s="91"/>
      <c r="B1558" s="176"/>
      <c r="C1558" s="176"/>
      <c r="D1558" s="176"/>
      <c r="E1558" s="176"/>
      <c r="F1558" s="176"/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76"/>
      <c r="T1558" s="176"/>
      <c r="U1558" s="176"/>
      <c r="V1558" s="176"/>
      <c r="W1558" s="176"/>
      <c r="X1558" s="176"/>
      <c r="Y1558" s="176"/>
    </row>
    <row r="1559" spans="1:25">
      <c r="A1559" s="91"/>
      <c r="B1559" s="176"/>
      <c r="C1559" s="176"/>
      <c r="D1559" s="176"/>
      <c r="E1559" s="176"/>
      <c r="F1559" s="176"/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76"/>
      <c r="T1559" s="176"/>
      <c r="U1559" s="176"/>
      <c r="V1559" s="176"/>
      <c r="W1559" s="176"/>
      <c r="X1559" s="176"/>
      <c r="Y1559" s="176"/>
    </row>
    <row r="1560" spans="1:25">
      <c r="A1560" s="91"/>
      <c r="B1560" s="176"/>
      <c r="C1560" s="176"/>
      <c r="D1560" s="176"/>
      <c r="E1560" s="176"/>
      <c r="F1560" s="176"/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76"/>
      <c r="T1560" s="176"/>
      <c r="U1560" s="176"/>
      <c r="V1560" s="176"/>
      <c r="W1560" s="176"/>
      <c r="X1560" s="176"/>
      <c r="Y1560" s="176"/>
    </row>
    <row r="1561" spans="1:25">
      <c r="A1561" s="91"/>
      <c r="B1561" s="176"/>
      <c r="C1561" s="176"/>
      <c r="D1561" s="176"/>
      <c r="E1561" s="176"/>
      <c r="F1561" s="176"/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76"/>
      <c r="T1561" s="176"/>
      <c r="U1561" s="176"/>
      <c r="V1561" s="176"/>
      <c r="W1561" s="176"/>
      <c r="X1561" s="176"/>
      <c r="Y1561" s="176"/>
    </row>
    <row r="1562" spans="1:25">
      <c r="A1562" s="91"/>
      <c r="B1562" s="176"/>
      <c r="C1562" s="176"/>
      <c r="D1562" s="176"/>
      <c r="E1562" s="176"/>
      <c r="F1562" s="176"/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76"/>
      <c r="T1562" s="176"/>
      <c r="U1562" s="176"/>
      <c r="V1562" s="176"/>
      <c r="W1562" s="176"/>
      <c r="X1562" s="176"/>
      <c r="Y1562" s="176"/>
    </row>
    <row r="1563" spans="1:25">
      <c r="A1563" s="91"/>
      <c r="B1563" s="176"/>
      <c r="C1563" s="176"/>
      <c r="D1563" s="176"/>
      <c r="E1563" s="176"/>
      <c r="F1563" s="176"/>
      <c r="G1563" s="176"/>
      <c r="H1563" s="176"/>
      <c r="I1563" s="176"/>
      <c r="J1563" s="176"/>
      <c r="K1563" s="176"/>
      <c r="L1563" s="176"/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176"/>
      <c r="X1563" s="176"/>
      <c r="Y1563" s="176"/>
    </row>
    <row r="1564" spans="1:25">
      <c r="A1564" s="91"/>
      <c r="B1564" s="176"/>
      <c r="C1564" s="176"/>
      <c r="D1564" s="176"/>
      <c r="E1564" s="176"/>
      <c r="F1564" s="176"/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76"/>
      <c r="T1564" s="176"/>
      <c r="U1564" s="176"/>
      <c r="V1564" s="176"/>
      <c r="W1564" s="176"/>
      <c r="X1564" s="176"/>
      <c r="Y1564" s="176"/>
    </row>
    <row r="1565" spans="1:25">
      <c r="A1565" s="91"/>
      <c r="B1565" s="176"/>
      <c r="C1565" s="176"/>
      <c r="D1565" s="176"/>
      <c r="E1565" s="176"/>
      <c r="F1565" s="176"/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76"/>
      <c r="T1565" s="176"/>
      <c r="U1565" s="176"/>
      <c r="V1565" s="176"/>
      <c r="W1565" s="176"/>
      <c r="X1565" s="176"/>
      <c r="Y1565" s="176"/>
    </row>
    <row r="1566" spans="1:25">
      <c r="A1566" s="91"/>
      <c r="B1566" s="176"/>
      <c r="C1566" s="176"/>
      <c r="D1566" s="176"/>
      <c r="E1566" s="176"/>
      <c r="F1566" s="176"/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76"/>
      <c r="T1566" s="176"/>
      <c r="U1566" s="176"/>
      <c r="V1566" s="176"/>
      <c r="W1566" s="176"/>
      <c r="X1566" s="176"/>
      <c r="Y1566" s="176"/>
    </row>
    <row r="1567" spans="1:25">
      <c r="A1567" s="91"/>
      <c r="B1567" s="176"/>
      <c r="C1567" s="176"/>
      <c r="D1567" s="176"/>
      <c r="E1567" s="176"/>
      <c r="F1567" s="176"/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76"/>
      <c r="T1567" s="176"/>
      <c r="U1567" s="176"/>
      <c r="V1567" s="176"/>
      <c r="W1567" s="176"/>
      <c r="X1567" s="176"/>
      <c r="Y1567" s="176"/>
    </row>
    <row r="1568" spans="1:25">
      <c r="A1568" s="91"/>
      <c r="B1568" s="176"/>
      <c r="C1568" s="176"/>
      <c r="D1568" s="176"/>
      <c r="E1568" s="176"/>
      <c r="F1568" s="176"/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76"/>
      <c r="T1568" s="176"/>
      <c r="U1568" s="176"/>
      <c r="V1568" s="176"/>
      <c r="W1568" s="176"/>
      <c r="X1568" s="176"/>
      <c r="Y1568" s="176"/>
    </row>
    <row r="1569" spans="1:25">
      <c r="A1569" s="91"/>
      <c r="B1569" s="176"/>
      <c r="C1569" s="176"/>
      <c r="D1569" s="176"/>
      <c r="E1569" s="176"/>
      <c r="F1569" s="176"/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76"/>
      <c r="T1569" s="176"/>
      <c r="U1569" s="176"/>
      <c r="V1569" s="176"/>
      <c r="W1569" s="176"/>
      <c r="X1569" s="176"/>
      <c r="Y1569" s="176"/>
    </row>
    <row r="1570" spans="1:25">
      <c r="A1570" s="91"/>
      <c r="B1570" s="176"/>
      <c r="C1570" s="176"/>
      <c r="D1570" s="176"/>
      <c r="E1570" s="176"/>
      <c r="F1570" s="176"/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76"/>
      <c r="T1570" s="176"/>
      <c r="U1570" s="176"/>
      <c r="V1570" s="176"/>
      <c r="W1570" s="176"/>
      <c r="X1570" s="176"/>
      <c r="Y1570" s="176"/>
    </row>
    <row r="1571" spans="1:25">
      <c r="A1571" s="91"/>
      <c r="B1571" s="176"/>
      <c r="C1571" s="176"/>
      <c r="D1571" s="176"/>
      <c r="E1571" s="176"/>
      <c r="F1571" s="176"/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76"/>
      <c r="T1571" s="176"/>
      <c r="U1571" s="176"/>
      <c r="V1571" s="176"/>
      <c r="W1571" s="176"/>
      <c r="X1571" s="176"/>
      <c r="Y1571" s="176"/>
    </row>
    <row r="1572" spans="1:25">
      <c r="A1572" s="91"/>
      <c r="B1572" s="176"/>
      <c r="C1572" s="176"/>
      <c r="D1572" s="176"/>
      <c r="E1572" s="176"/>
      <c r="F1572" s="176"/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76"/>
      <c r="T1572" s="176"/>
      <c r="U1572" s="176"/>
      <c r="V1572" s="176"/>
      <c r="W1572" s="176"/>
      <c r="X1572" s="176"/>
      <c r="Y1572" s="176"/>
    </row>
    <row r="1573" spans="1:25">
      <c r="A1573" s="91"/>
      <c r="B1573" s="176"/>
      <c r="C1573" s="176"/>
      <c r="D1573" s="176"/>
      <c r="E1573" s="176"/>
      <c r="F1573" s="176"/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76"/>
      <c r="T1573" s="176"/>
      <c r="U1573" s="176"/>
      <c r="V1573" s="176"/>
      <c r="W1573" s="176"/>
      <c r="X1573" s="176"/>
      <c r="Y1573" s="176"/>
    </row>
    <row r="1574" spans="1:25">
      <c r="A1574" s="91"/>
      <c r="B1574" s="176"/>
      <c r="C1574" s="176"/>
      <c r="D1574" s="176"/>
      <c r="E1574" s="176"/>
      <c r="F1574" s="176"/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76"/>
      <c r="T1574" s="176"/>
      <c r="U1574" s="176"/>
      <c r="V1574" s="176"/>
      <c r="W1574" s="176"/>
      <c r="X1574" s="176"/>
      <c r="Y1574" s="176"/>
    </row>
    <row r="1575" spans="1:25">
      <c r="A1575" s="91"/>
      <c r="B1575" s="176"/>
      <c r="C1575" s="176"/>
      <c r="D1575" s="176"/>
      <c r="E1575" s="176"/>
      <c r="F1575" s="176"/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76"/>
      <c r="T1575" s="176"/>
      <c r="U1575" s="176"/>
      <c r="V1575" s="176"/>
      <c r="W1575" s="176"/>
      <c r="X1575" s="176"/>
      <c r="Y1575" s="176"/>
    </row>
    <row r="1576" spans="1:25">
      <c r="A1576" s="91"/>
      <c r="B1576" s="176"/>
      <c r="C1576" s="176"/>
      <c r="D1576" s="176"/>
      <c r="E1576" s="176"/>
      <c r="F1576" s="176"/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76"/>
      <c r="T1576" s="176"/>
      <c r="U1576" s="176"/>
      <c r="V1576" s="176"/>
      <c r="W1576" s="176"/>
      <c r="X1576" s="176"/>
      <c r="Y1576" s="176"/>
    </row>
    <row r="1577" spans="1:25">
      <c r="A1577" s="91"/>
      <c r="B1577" s="176"/>
      <c r="C1577" s="176"/>
      <c r="D1577" s="176"/>
      <c r="E1577" s="176"/>
      <c r="F1577" s="176"/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76"/>
      <c r="T1577" s="176"/>
      <c r="U1577" s="176"/>
      <c r="V1577" s="176"/>
      <c r="W1577" s="176"/>
      <c r="X1577" s="176"/>
      <c r="Y1577" s="176"/>
    </row>
    <row r="1578" spans="1:25">
      <c r="A1578" s="91"/>
      <c r="B1578" s="176"/>
      <c r="C1578" s="176"/>
      <c r="D1578" s="176"/>
      <c r="E1578" s="176"/>
      <c r="F1578" s="176"/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76"/>
      <c r="T1578" s="176"/>
      <c r="U1578" s="176"/>
      <c r="V1578" s="176"/>
      <c r="W1578" s="176"/>
      <c r="X1578" s="176"/>
      <c r="Y1578" s="176"/>
    </row>
    <row r="1579" spans="1:25">
      <c r="A1579" s="91"/>
      <c r="B1579" s="176"/>
      <c r="C1579" s="176"/>
      <c r="D1579" s="176"/>
      <c r="E1579" s="176"/>
      <c r="F1579" s="176"/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76"/>
      <c r="T1579" s="176"/>
      <c r="U1579" s="176"/>
      <c r="V1579" s="176"/>
      <c r="W1579" s="176"/>
      <c r="X1579" s="176"/>
      <c r="Y1579" s="176"/>
    </row>
    <row r="1580" spans="1:25">
      <c r="A1580" s="91"/>
      <c r="B1580" s="176"/>
      <c r="C1580" s="176"/>
      <c r="D1580" s="176"/>
      <c r="E1580" s="176"/>
      <c r="F1580" s="176"/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76"/>
      <c r="T1580" s="176"/>
      <c r="U1580" s="176"/>
      <c r="V1580" s="176"/>
      <c r="W1580" s="176"/>
      <c r="X1580" s="176"/>
      <c r="Y1580" s="176"/>
    </row>
    <row r="1581" spans="1:25">
      <c r="A1581" s="91"/>
      <c r="B1581" s="176"/>
      <c r="C1581" s="176"/>
      <c r="D1581" s="176"/>
      <c r="E1581" s="176"/>
      <c r="F1581" s="176"/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76"/>
      <c r="T1581" s="176"/>
      <c r="U1581" s="176"/>
      <c r="V1581" s="176"/>
      <c r="W1581" s="176"/>
      <c r="X1581" s="176"/>
      <c r="Y1581" s="176"/>
    </row>
    <row r="1582" spans="1:25">
      <c r="A1582" s="91"/>
      <c r="B1582" s="176"/>
      <c r="C1582" s="176"/>
      <c r="D1582" s="176"/>
      <c r="E1582" s="176"/>
      <c r="F1582" s="176"/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76"/>
      <c r="T1582" s="176"/>
      <c r="U1582" s="176"/>
      <c r="V1582" s="176"/>
      <c r="W1582" s="176"/>
      <c r="X1582" s="176"/>
      <c r="Y1582" s="176"/>
    </row>
    <row r="1583" spans="1:25">
      <c r="A1583" s="91"/>
      <c r="B1583" s="176"/>
      <c r="C1583" s="176"/>
      <c r="D1583" s="176"/>
      <c r="E1583" s="176"/>
      <c r="F1583" s="176"/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76"/>
      <c r="T1583" s="176"/>
      <c r="U1583" s="176"/>
      <c r="V1583" s="176"/>
      <c r="W1583" s="176"/>
      <c r="X1583" s="176"/>
      <c r="Y1583" s="176"/>
    </row>
    <row r="1584" spans="1:25">
      <c r="A1584" s="91"/>
      <c r="B1584" s="176"/>
      <c r="C1584" s="176"/>
      <c r="D1584" s="176"/>
      <c r="E1584" s="176"/>
      <c r="F1584" s="176"/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76"/>
      <c r="T1584" s="176"/>
      <c r="U1584" s="176"/>
      <c r="V1584" s="176"/>
      <c r="W1584" s="176"/>
      <c r="X1584" s="176"/>
      <c r="Y1584" s="176"/>
    </row>
    <row r="1585" spans="1:25">
      <c r="A1585" s="91"/>
      <c r="B1585" s="176"/>
      <c r="C1585" s="176"/>
      <c r="D1585" s="176"/>
      <c r="E1585" s="176"/>
      <c r="F1585" s="176"/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76"/>
      <c r="T1585" s="176"/>
      <c r="U1585" s="176"/>
      <c r="V1585" s="176"/>
      <c r="W1585" s="176"/>
      <c r="X1585" s="176"/>
      <c r="Y1585" s="176"/>
    </row>
    <row r="1586" spans="1:25">
      <c r="A1586" s="91"/>
      <c r="B1586" s="176"/>
      <c r="C1586" s="176"/>
      <c r="D1586" s="176"/>
      <c r="E1586" s="176"/>
      <c r="F1586" s="176"/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76"/>
      <c r="T1586" s="176"/>
      <c r="U1586" s="176"/>
      <c r="V1586" s="176"/>
      <c r="W1586" s="176"/>
      <c r="X1586" s="176"/>
      <c r="Y1586" s="176"/>
    </row>
    <row r="1587" spans="1:25">
      <c r="A1587" s="91"/>
      <c r="B1587" s="176"/>
      <c r="C1587" s="176"/>
      <c r="D1587" s="176"/>
      <c r="E1587" s="176"/>
      <c r="F1587" s="176"/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76"/>
      <c r="T1587" s="176"/>
      <c r="U1587" s="176"/>
      <c r="V1587" s="176"/>
      <c r="W1587" s="176"/>
      <c r="X1587" s="176"/>
      <c r="Y1587" s="176"/>
    </row>
    <row r="1588" spans="1:25">
      <c r="A1588" s="91"/>
      <c r="B1588" s="176"/>
      <c r="C1588" s="176"/>
      <c r="D1588" s="176"/>
      <c r="E1588" s="176"/>
      <c r="F1588" s="176"/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76"/>
      <c r="T1588" s="176"/>
      <c r="U1588" s="176"/>
      <c r="V1588" s="176"/>
      <c r="W1588" s="176"/>
      <c r="X1588" s="176"/>
      <c r="Y1588" s="176"/>
    </row>
    <row r="1589" spans="1:25">
      <c r="A1589" s="91"/>
      <c r="B1589" s="176"/>
      <c r="C1589" s="176"/>
      <c r="D1589" s="176"/>
      <c r="E1589" s="176"/>
      <c r="F1589" s="176"/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76"/>
      <c r="T1589" s="176"/>
      <c r="U1589" s="176"/>
      <c r="V1589" s="176"/>
      <c r="W1589" s="176"/>
      <c r="X1589" s="176"/>
      <c r="Y1589" s="176"/>
    </row>
    <row r="1590" spans="1:25">
      <c r="A1590" s="91"/>
      <c r="B1590" s="176"/>
      <c r="C1590" s="176"/>
      <c r="D1590" s="176"/>
      <c r="E1590" s="176"/>
      <c r="F1590" s="176"/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76"/>
      <c r="T1590" s="176"/>
      <c r="U1590" s="176"/>
      <c r="V1590" s="176"/>
      <c r="W1590" s="176"/>
      <c r="X1590" s="176"/>
      <c r="Y1590" s="176"/>
    </row>
    <row r="1591" spans="1:25">
      <c r="A1591" s="91"/>
      <c r="B1591" s="176"/>
      <c r="C1591" s="176"/>
      <c r="D1591" s="176"/>
      <c r="E1591" s="176"/>
      <c r="F1591" s="176"/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76"/>
      <c r="T1591" s="176"/>
      <c r="U1591" s="176"/>
      <c r="V1591" s="176"/>
      <c r="W1591" s="176"/>
      <c r="X1591" s="176"/>
      <c r="Y1591" s="176"/>
    </row>
    <row r="1592" spans="1:25">
      <c r="A1592" s="91"/>
      <c r="B1592" s="176"/>
      <c r="C1592" s="176"/>
      <c r="D1592" s="176"/>
      <c r="E1592" s="176"/>
      <c r="F1592" s="176"/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76"/>
      <c r="T1592" s="176"/>
      <c r="U1592" s="176"/>
      <c r="V1592" s="176"/>
      <c r="W1592" s="176"/>
      <c r="X1592" s="176"/>
      <c r="Y1592" s="176"/>
    </row>
    <row r="1593" spans="1:25">
      <c r="A1593" s="91"/>
      <c r="B1593" s="176"/>
      <c r="C1593" s="176"/>
      <c r="D1593" s="176"/>
      <c r="E1593" s="176"/>
      <c r="F1593" s="176"/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76"/>
      <c r="T1593" s="176"/>
      <c r="U1593" s="176"/>
      <c r="V1593" s="176"/>
      <c r="W1593" s="176"/>
      <c r="X1593" s="176"/>
      <c r="Y1593" s="176"/>
    </row>
    <row r="1594" spans="1:25">
      <c r="A1594" s="91"/>
      <c r="B1594" s="176"/>
      <c r="C1594" s="176"/>
      <c r="D1594" s="176"/>
      <c r="E1594" s="176"/>
      <c r="F1594" s="176"/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76"/>
      <c r="T1594" s="176"/>
      <c r="U1594" s="176"/>
      <c r="V1594" s="176"/>
      <c r="W1594" s="176"/>
      <c r="X1594" s="176"/>
      <c r="Y1594" s="176"/>
    </row>
    <row r="1595" spans="1:25">
      <c r="A1595" s="91"/>
      <c r="B1595" s="176"/>
      <c r="C1595" s="176"/>
      <c r="D1595" s="176"/>
      <c r="E1595" s="176"/>
      <c r="F1595" s="176"/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76"/>
      <c r="T1595" s="176"/>
      <c r="U1595" s="176"/>
      <c r="V1595" s="176"/>
      <c r="W1595" s="176"/>
      <c r="X1595" s="176"/>
      <c r="Y1595" s="176"/>
    </row>
    <row r="1596" spans="1:25">
      <c r="A1596" s="91"/>
      <c r="B1596" s="176"/>
      <c r="C1596" s="176"/>
      <c r="D1596" s="176"/>
      <c r="E1596" s="176"/>
      <c r="F1596" s="176"/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76"/>
      <c r="T1596" s="176"/>
      <c r="U1596" s="176"/>
      <c r="V1596" s="176"/>
      <c r="W1596" s="176"/>
      <c r="X1596" s="176"/>
      <c r="Y1596" s="176"/>
    </row>
    <row r="1597" spans="1:25">
      <c r="A1597" s="91"/>
      <c r="B1597" s="176"/>
      <c r="C1597" s="176"/>
      <c r="D1597" s="176"/>
      <c r="E1597" s="176"/>
      <c r="F1597" s="176"/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76"/>
      <c r="T1597" s="176"/>
      <c r="U1597" s="176"/>
      <c r="V1597" s="176"/>
      <c r="W1597" s="176"/>
      <c r="X1597" s="176"/>
      <c r="Y1597" s="176"/>
    </row>
    <row r="1598" spans="1:25">
      <c r="A1598" s="91"/>
      <c r="B1598" s="176"/>
      <c r="C1598" s="176"/>
      <c r="D1598" s="176"/>
      <c r="E1598" s="176"/>
      <c r="F1598" s="176"/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76"/>
      <c r="T1598" s="176"/>
      <c r="U1598" s="176"/>
      <c r="V1598" s="176"/>
      <c r="W1598" s="176"/>
      <c r="X1598" s="176"/>
      <c r="Y1598" s="176"/>
    </row>
    <row r="1599" spans="1:25">
      <c r="A1599" s="91"/>
      <c r="B1599" s="176"/>
      <c r="C1599" s="176"/>
      <c r="D1599" s="176"/>
      <c r="E1599" s="176"/>
      <c r="F1599" s="176"/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76"/>
      <c r="T1599" s="176"/>
      <c r="U1599" s="176"/>
      <c r="V1599" s="176"/>
      <c r="W1599" s="176"/>
      <c r="X1599" s="176"/>
      <c r="Y1599" s="176"/>
    </row>
    <row r="1600" spans="1:25">
      <c r="A1600" s="91"/>
      <c r="B1600" s="176"/>
      <c r="C1600" s="176"/>
      <c r="D1600" s="176"/>
      <c r="E1600" s="176"/>
      <c r="F1600" s="176"/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76"/>
      <c r="T1600" s="176"/>
      <c r="U1600" s="176"/>
      <c r="V1600" s="176"/>
      <c r="W1600" s="176"/>
      <c r="X1600" s="176"/>
      <c r="Y1600" s="176"/>
    </row>
    <row r="1601" spans="1:25">
      <c r="A1601" s="91"/>
      <c r="B1601" s="176"/>
      <c r="C1601" s="176"/>
      <c r="D1601" s="176"/>
      <c r="E1601" s="176"/>
      <c r="F1601" s="176"/>
      <c r="G1601" s="176"/>
      <c r="H1601" s="176"/>
      <c r="I1601" s="176"/>
      <c r="J1601" s="176"/>
      <c r="K1601" s="176"/>
      <c r="L1601" s="176"/>
      <c r="M1601" s="176"/>
      <c r="N1601" s="176"/>
      <c r="O1601" s="176"/>
      <c r="P1601" s="176"/>
      <c r="Q1601" s="176"/>
      <c r="R1601" s="176"/>
      <c r="S1601" s="176"/>
      <c r="T1601" s="176"/>
      <c r="U1601" s="176"/>
      <c r="V1601" s="176"/>
      <c r="W1601" s="176"/>
      <c r="X1601" s="176"/>
      <c r="Y1601" s="176"/>
    </row>
    <row r="1602" spans="1:25">
      <c r="A1602" s="91"/>
      <c r="B1602" s="176"/>
      <c r="C1602" s="176"/>
      <c r="D1602" s="176"/>
      <c r="E1602" s="176"/>
      <c r="F1602" s="176"/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76"/>
      <c r="T1602" s="176"/>
      <c r="U1602" s="176"/>
      <c r="V1602" s="176"/>
      <c r="W1602" s="176"/>
      <c r="X1602" s="176"/>
      <c r="Y1602" s="176"/>
    </row>
    <row r="1603" spans="1:25">
      <c r="A1603" s="91"/>
      <c r="B1603" s="176"/>
      <c r="C1603" s="176"/>
      <c r="D1603" s="176"/>
      <c r="E1603" s="176"/>
      <c r="F1603" s="176"/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76"/>
      <c r="T1603" s="176"/>
      <c r="U1603" s="176"/>
      <c r="V1603" s="176"/>
      <c r="W1603" s="176"/>
      <c r="X1603" s="176"/>
      <c r="Y1603" s="176"/>
    </row>
    <row r="1604" spans="1:25">
      <c r="A1604" s="91"/>
      <c r="B1604" s="176"/>
      <c r="C1604" s="176"/>
      <c r="D1604" s="176"/>
      <c r="E1604" s="176"/>
      <c r="F1604" s="176"/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76"/>
      <c r="T1604" s="176"/>
      <c r="U1604" s="176"/>
      <c r="V1604" s="176"/>
      <c r="W1604" s="176"/>
      <c r="X1604" s="176"/>
      <c r="Y1604" s="176"/>
    </row>
    <row r="1605" spans="1:25">
      <c r="A1605" s="91"/>
      <c r="B1605" s="176"/>
      <c r="C1605" s="176"/>
      <c r="D1605" s="176"/>
      <c r="E1605" s="176"/>
      <c r="F1605" s="176"/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76"/>
      <c r="T1605" s="176"/>
      <c r="U1605" s="176"/>
      <c r="V1605" s="176"/>
      <c r="W1605" s="176"/>
      <c r="X1605" s="176"/>
      <c r="Y1605" s="176"/>
    </row>
    <row r="1606" spans="1:25">
      <c r="A1606" s="91"/>
      <c r="B1606" s="176"/>
      <c r="C1606" s="176"/>
      <c r="D1606" s="176"/>
      <c r="E1606" s="176"/>
      <c r="F1606" s="176"/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76"/>
      <c r="T1606" s="176"/>
      <c r="U1606" s="176"/>
      <c r="V1606" s="176"/>
      <c r="W1606" s="176"/>
      <c r="X1606" s="176"/>
      <c r="Y1606" s="176"/>
    </row>
    <row r="1607" spans="1:25">
      <c r="A1607" s="91"/>
      <c r="B1607" s="176"/>
      <c r="C1607" s="176"/>
      <c r="D1607" s="176"/>
      <c r="E1607" s="176"/>
      <c r="F1607" s="176"/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76"/>
      <c r="T1607" s="176"/>
      <c r="U1607" s="176"/>
      <c r="V1607" s="176"/>
      <c r="W1607" s="176"/>
      <c r="X1607" s="176"/>
      <c r="Y1607" s="176"/>
    </row>
    <row r="1608" spans="1:25">
      <c r="A1608" s="91"/>
      <c r="B1608" s="176"/>
      <c r="C1608" s="176"/>
      <c r="D1608" s="176"/>
      <c r="E1608" s="176"/>
      <c r="F1608" s="176"/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76"/>
      <c r="T1608" s="176"/>
      <c r="U1608" s="176"/>
      <c r="V1608" s="176"/>
      <c r="W1608" s="176"/>
      <c r="X1608" s="176"/>
      <c r="Y1608" s="176"/>
    </row>
    <row r="1609" spans="1:25">
      <c r="A1609" s="91"/>
      <c r="B1609" s="176"/>
      <c r="C1609" s="176"/>
      <c r="D1609" s="176"/>
      <c r="E1609" s="176"/>
      <c r="F1609" s="176"/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76"/>
      <c r="T1609" s="176"/>
      <c r="U1609" s="176"/>
      <c r="V1609" s="176"/>
      <c r="W1609" s="176"/>
      <c r="X1609" s="176"/>
      <c r="Y1609" s="176"/>
    </row>
    <row r="1610" spans="1:25">
      <c r="A1610" s="91"/>
      <c r="B1610" s="176"/>
      <c r="C1610" s="176"/>
      <c r="D1610" s="176"/>
      <c r="E1610" s="176"/>
      <c r="F1610" s="176"/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76"/>
      <c r="T1610" s="176"/>
      <c r="U1610" s="176"/>
      <c r="V1610" s="176"/>
      <c r="W1610" s="176"/>
      <c r="X1610" s="176"/>
      <c r="Y1610" s="176"/>
    </row>
    <row r="1611" spans="1:25">
      <c r="A1611" s="91"/>
      <c r="B1611" s="176"/>
      <c r="C1611" s="176"/>
      <c r="D1611" s="176"/>
      <c r="E1611" s="176"/>
      <c r="F1611" s="176"/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76"/>
      <c r="T1611" s="176"/>
      <c r="U1611" s="176"/>
      <c r="V1611" s="176"/>
      <c r="W1611" s="176"/>
      <c r="X1611" s="176"/>
      <c r="Y1611" s="176"/>
    </row>
    <row r="1612" spans="1:25">
      <c r="A1612" s="91"/>
      <c r="B1612" s="176"/>
      <c r="C1612" s="176"/>
      <c r="D1612" s="176"/>
      <c r="E1612" s="176"/>
      <c r="F1612" s="176"/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76"/>
      <c r="T1612" s="176"/>
      <c r="U1612" s="176"/>
      <c r="V1612" s="176"/>
      <c r="W1612" s="176"/>
      <c r="X1612" s="176"/>
      <c r="Y1612" s="176"/>
    </row>
    <row r="1613" spans="1:25">
      <c r="A1613" s="91"/>
      <c r="B1613" s="176"/>
      <c r="C1613" s="176"/>
      <c r="D1613" s="176"/>
      <c r="E1613" s="176"/>
      <c r="F1613" s="176"/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76"/>
      <c r="T1613" s="176"/>
      <c r="U1613" s="176"/>
      <c r="V1613" s="176"/>
      <c r="W1613" s="176"/>
      <c r="X1613" s="176"/>
      <c r="Y1613" s="176"/>
    </row>
    <row r="1614" spans="1:25">
      <c r="A1614" s="91"/>
      <c r="B1614" s="176"/>
      <c r="C1614" s="176"/>
      <c r="D1614" s="176"/>
      <c r="E1614" s="176"/>
      <c r="F1614" s="176"/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76"/>
      <c r="T1614" s="176"/>
      <c r="U1614" s="176"/>
      <c r="V1614" s="176"/>
      <c r="W1614" s="176"/>
      <c r="X1614" s="176"/>
      <c r="Y1614" s="176"/>
    </row>
    <row r="1615" spans="1:25">
      <c r="A1615" s="91"/>
      <c r="B1615" s="176"/>
      <c r="C1615" s="176"/>
      <c r="D1615" s="176"/>
      <c r="E1615" s="176"/>
      <c r="F1615" s="176"/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76"/>
      <c r="T1615" s="176"/>
      <c r="U1615" s="176"/>
      <c r="V1615" s="176"/>
      <c r="W1615" s="176"/>
      <c r="X1615" s="176"/>
      <c r="Y1615" s="176"/>
    </row>
    <row r="1616" spans="1:25">
      <c r="A1616" s="91"/>
      <c r="B1616" s="176"/>
      <c r="C1616" s="176"/>
      <c r="D1616" s="176"/>
      <c r="E1616" s="176"/>
      <c r="F1616" s="176"/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76"/>
      <c r="T1616" s="176"/>
      <c r="U1616" s="176"/>
      <c r="V1616" s="176"/>
      <c r="W1616" s="176"/>
      <c r="X1616" s="176"/>
      <c r="Y1616" s="176"/>
    </row>
    <row r="1617" spans="1:25">
      <c r="A1617" s="91"/>
      <c r="B1617" s="176"/>
      <c r="C1617" s="176"/>
      <c r="D1617" s="176"/>
      <c r="E1617" s="176"/>
      <c r="F1617" s="176"/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76"/>
      <c r="T1617" s="176"/>
      <c r="U1617" s="176"/>
      <c r="V1617" s="176"/>
      <c r="W1617" s="176"/>
      <c r="X1617" s="176"/>
      <c r="Y1617" s="176"/>
    </row>
    <row r="1618" spans="1:25">
      <c r="A1618" s="91"/>
      <c r="B1618" s="176"/>
      <c r="C1618" s="176"/>
      <c r="D1618" s="176"/>
      <c r="E1618" s="176"/>
      <c r="F1618" s="176"/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76"/>
      <c r="T1618" s="176"/>
      <c r="U1618" s="176"/>
      <c r="V1618" s="176"/>
      <c r="W1618" s="176"/>
      <c r="X1618" s="176"/>
      <c r="Y1618" s="176"/>
    </row>
    <row r="1619" spans="1:25">
      <c r="A1619" s="91"/>
      <c r="B1619" s="176"/>
      <c r="C1619" s="176"/>
      <c r="D1619" s="176"/>
      <c r="E1619" s="176"/>
      <c r="F1619" s="176"/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76"/>
      <c r="T1619" s="176"/>
      <c r="U1619" s="176"/>
      <c r="V1619" s="176"/>
      <c r="W1619" s="176"/>
      <c r="X1619" s="176"/>
      <c r="Y1619" s="176"/>
    </row>
    <row r="1620" spans="1:25">
      <c r="A1620" s="91"/>
      <c r="B1620" s="176"/>
      <c r="C1620" s="176"/>
      <c r="D1620" s="176"/>
      <c r="E1620" s="176"/>
      <c r="F1620" s="176"/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76"/>
      <c r="T1620" s="176"/>
      <c r="U1620" s="176"/>
      <c r="V1620" s="176"/>
      <c r="W1620" s="176"/>
      <c r="X1620" s="176"/>
      <c r="Y1620" s="176"/>
    </row>
    <row r="1621" spans="1:25">
      <c r="A1621" s="91"/>
      <c r="B1621" s="176"/>
      <c r="C1621" s="176"/>
      <c r="D1621" s="176"/>
      <c r="E1621" s="176"/>
      <c r="F1621" s="176"/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76"/>
      <c r="T1621" s="176"/>
      <c r="U1621" s="176"/>
      <c r="V1621" s="176"/>
      <c r="W1621" s="176"/>
      <c r="X1621" s="176"/>
      <c r="Y1621" s="176"/>
    </row>
    <row r="1622" spans="1:25">
      <c r="A1622" s="91"/>
      <c r="B1622" s="176"/>
      <c r="C1622" s="176"/>
      <c r="D1622" s="176"/>
      <c r="E1622" s="176"/>
      <c r="F1622" s="176"/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76"/>
      <c r="T1622" s="176"/>
      <c r="U1622" s="176"/>
      <c r="V1622" s="176"/>
      <c r="W1622" s="176"/>
      <c r="X1622" s="176"/>
      <c r="Y1622" s="176"/>
    </row>
    <row r="1623" spans="1:25">
      <c r="A1623" s="91"/>
      <c r="B1623" s="176"/>
      <c r="C1623" s="176"/>
      <c r="D1623" s="176"/>
      <c r="E1623" s="176"/>
      <c r="F1623" s="176"/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76"/>
      <c r="T1623" s="176"/>
      <c r="U1623" s="176"/>
      <c r="V1623" s="176"/>
      <c r="W1623" s="176"/>
      <c r="X1623" s="176"/>
      <c r="Y1623" s="176"/>
    </row>
    <row r="1624" spans="1:25">
      <c r="A1624" s="91"/>
      <c r="B1624" s="176"/>
      <c r="C1624" s="176"/>
      <c r="D1624" s="176"/>
      <c r="E1624" s="176"/>
      <c r="F1624" s="176"/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76"/>
      <c r="T1624" s="176"/>
      <c r="U1624" s="176"/>
      <c r="V1624" s="176"/>
      <c r="W1624" s="176"/>
      <c r="X1624" s="176"/>
      <c r="Y1624" s="176"/>
    </row>
    <row r="1625" spans="1:25">
      <c r="A1625" s="91"/>
      <c r="B1625" s="176"/>
      <c r="C1625" s="176"/>
      <c r="D1625" s="176"/>
      <c r="E1625" s="176"/>
      <c r="F1625" s="176"/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76"/>
      <c r="T1625" s="176"/>
      <c r="U1625" s="176"/>
      <c r="V1625" s="176"/>
      <c r="W1625" s="176"/>
      <c r="X1625" s="176"/>
      <c r="Y1625" s="176"/>
    </row>
    <row r="1626" spans="1:25">
      <c r="A1626" s="91"/>
      <c r="B1626" s="176"/>
      <c r="C1626" s="176"/>
      <c r="D1626" s="176"/>
      <c r="E1626" s="176"/>
      <c r="F1626" s="176"/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76"/>
      <c r="T1626" s="176"/>
      <c r="U1626" s="176"/>
      <c r="V1626" s="176"/>
      <c r="W1626" s="176"/>
      <c r="X1626" s="176"/>
      <c r="Y1626" s="176"/>
    </row>
    <row r="1627" spans="1:25">
      <c r="A1627" s="91"/>
      <c r="B1627" s="176"/>
      <c r="C1627" s="176"/>
      <c r="D1627" s="176"/>
      <c r="E1627" s="176"/>
      <c r="F1627" s="176"/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76"/>
      <c r="T1627" s="176"/>
      <c r="U1627" s="176"/>
      <c r="V1627" s="176"/>
      <c r="W1627" s="176"/>
      <c r="X1627" s="176"/>
      <c r="Y1627" s="176"/>
    </row>
    <row r="1628" spans="1:25">
      <c r="A1628" s="91"/>
      <c r="B1628" s="176"/>
      <c r="C1628" s="176"/>
      <c r="D1628" s="176"/>
      <c r="E1628" s="176"/>
      <c r="F1628" s="176"/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76"/>
      <c r="T1628" s="176"/>
      <c r="U1628" s="176"/>
      <c r="V1628" s="176"/>
      <c r="W1628" s="176"/>
      <c r="X1628" s="176"/>
      <c r="Y1628" s="176"/>
    </row>
    <row r="1629" spans="1:25">
      <c r="A1629" s="91"/>
      <c r="B1629" s="176"/>
      <c r="C1629" s="176"/>
      <c r="D1629" s="176"/>
      <c r="E1629" s="176"/>
      <c r="F1629" s="176"/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76"/>
      <c r="T1629" s="176"/>
      <c r="U1629" s="176"/>
      <c r="V1629" s="176"/>
      <c r="W1629" s="176"/>
      <c r="X1629" s="176"/>
      <c r="Y1629" s="176"/>
    </row>
    <row r="1630" spans="1:25">
      <c r="A1630" s="91"/>
      <c r="B1630" s="176"/>
      <c r="C1630" s="176"/>
      <c r="D1630" s="176"/>
      <c r="E1630" s="176"/>
      <c r="F1630" s="176"/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76"/>
      <c r="T1630" s="176"/>
      <c r="U1630" s="176"/>
      <c r="V1630" s="176"/>
      <c r="W1630" s="176"/>
      <c r="X1630" s="176"/>
      <c r="Y1630" s="176"/>
    </row>
    <row r="1631" spans="1:25">
      <c r="A1631" s="91"/>
      <c r="B1631" s="176"/>
      <c r="C1631" s="176"/>
      <c r="D1631" s="176"/>
      <c r="E1631" s="176"/>
      <c r="F1631" s="176"/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76"/>
      <c r="T1631" s="176"/>
      <c r="U1631" s="176"/>
      <c r="V1631" s="176"/>
      <c r="W1631" s="176"/>
      <c r="X1631" s="176"/>
      <c r="Y1631" s="176"/>
    </row>
    <row r="1632" spans="1:25">
      <c r="A1632" s="91"/>
      <c r="B1632" s="176"/>
      <c r="C1632" s="176"/>
      <c r="D1632" s="176"/>
      <c r="E1632" s="176"/>
      <c r="F1632" s="176"/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76"/>
      <c r="T1632" s="176"/>
      <c r="U1632" s="176"/>
      <c r="V1632" s="176"/>
      <c r="W1632" s="176"/>
      <c r="X1632" s="176"/>
      <c r="Y1632" s="176"/>
    </row>
    <row r="1633" spans="1:25">
      <c r="A1633" s="91"/>
      <c r="B1633" s="176"/>
      <c r="C1633" s="176"/>
      <c r="D1633" s="176"/>
      <c r="E1633" s="176"/>
      <c r="F1633" s="176"/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76"/>
      <c r="T1633" s="176"/>
      <c r="U1633" s="176"/>
      <c r="V1633" s="176"/>
      <c r="W1633" s="176"/>
      <c r="X1633" s="176"/>
      <c r="Y1633" s="176"/>
    </row>
    <row r="1634" spans="1:25">
      <c r="A1634" s="91"/>
      <c r="B1634" s="176"/>
      <c r="C1634" s="176"/>
      <c r="D1634" s="176"/>
      <c r="E1634" s="176"/>
      <c r="F1634" s="176"/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76"/>
      <c r="T1634" s="176"/>
      <c r="U1634" s="176"/>
      <c r="V1634" s="176"/>
      <c r="W1634" s="176"/>
      <c r="X1634" s="176"/>
      <c r="Y1634" s="176"/>
    </row>
    <row r="1635" spans="1:25">
      <c r="A1635" s="91"/>
      <c r="B1635" s="176"/>
      <c r="C1635" s="176"/>
      <c r="D1635" s="176"/>
      <c r="E1635" s="176"/>
      <c r="F1635" s="176"/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76"/>
      <c r="T1635" s="176"/>
      <c r="U1635" s="176"/>
      <c r="V1635" s="176"/>
      <c r="W1635" s="176"/>
      <c r="X1635" s="176"/>
      <c r="Y1635" s="176"/>
    </row>
    <row r="1636" spans="1:25">
      <c r="A1636" s="91"/>
      <c r="B1636" s="176"/>
      <c r="C1636" s="176"/>
      <c r="D1636" s="176"/>
      <c r="E1636" s="176"/>
      <c r="F1636" s="176"/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76"/>
      <c r="T1636" s="176"/>
      <c r="U1636" s="176"/>
      <c r="V1636" s="176"/>
      <c r="W1636" s="176"/>
      <c r="X1636" s="176"/>
      <c r="Y1636" s="176"/>
    </row>
    <row r="1637" spans="1:25">
      <c r="A1637" s="91"/>
      <c r="B1637" s="176"/>
      <c r="C1637" s="176"/>
      <c r="D1637" s="176"/>
      <c r="E1637" s="176"/>
      <c r="F1637" s="176"/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76"/>
      <c r="T1637" s="176"/>
      <c r="U1637" s="176"/>
      <c r="V1637" s="176"/>
      <c r="W1637" s="176"/>
      <c r="X1637" s="176"/>
      <c r="Y1637" s="176"/>
    </row>
    <row r="1638" spans="1:25">
      <c r="A1638" s="91"/>
      <c r="B1638" s="176"/>
      <c r="C1638" s="176"/>
      <c r="D1638" s="176"/>
      <c r="E1638" s="176"/>
      <c r="F1638" s="176"/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76"/>
      <c r="T1638" s="176"/>
      <c r="U1638" s="176"/>
      <c r="V1638" s="176"/>
      <c r="W1638" s="176"/>
      <c r="X1638" s="176"/>
      <c r="Y1638" s="176"/>
    </row>
    <row r="1639" spans="1:25">
      <c r="A1639" s="91"/>
      <c r="B1639" s="176"/>
      <c r="C1639" s="176"/>
      <c r="D1639" s="176"/>
      <c r="E1639" s="176"/>
      <c r="F1639" s="176"/>
      <c r="G1639" s="176"/>
      <c r="H1639" s="176"/>
      <c r="I1639" s="176"/>
      <c r="J1639" s="176"/>
      <c r="K1639" s="176"/>
      <c r="L1639" s="176"/>
      <c r="M1639" s="176"/>
      <c r="N1639" s="176"/>
      <c r="O1639" s="176"/>
      <c r="P1639" s="176"/>
      <c r="Q1639" s="176"/>
      <c r="R1639" s="176"/>
      <c r="S1639" s="176"/>
      <c r="T1639" s="176"/>
      <c r="U1639" s="176"/>
      <c r="V1639" s="176"/>
      <c r="W1639" s="176"/>
      <c r="X1639" s="176"/>
      <c r="Y1639" s="176"/>
    </row>
    <row r="1640" spans="1:25">
      <c r="A1640" s="91"/>
      <c r="B1640" s="176"/>
      <c r="C1640" s="176"/>
      <c r="D1640" s="176"/>
      <c r="E1640" s="176"/>
      <c r="F1640" s="176"/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76"/>
      <c r="T1640" s="176"/>
      <c r="U1640" s="176"/>
      <c r="V1640" s="176"/>
      <c r="W1640" s="176"/>
      <c r="X1640" s="176"/>
      <c r="Y1640" s="176"/>
    </row>
    <row r="1641" spans="1:25">
      <c r="A1641" s="91"/>
      <c r="B1641" s="176"/>
      <c r="C1641" s="176"/>
      <c r="D1641" s="176"/>
      <c r="E1641" s="176"/>
      <c r="F1641" s="176"/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76"/>
      <c r="T1641" s="176"/>
      <c r="U1641" s="176"/>
      <c r="V1641" s="176"/>
      <c r="W1641" s="176"/>
      <c r="X1641" s="176"/>
      <c r="Y1641" s="176"/>
    </row>
    <row r="1642" spans="1:25">
      <c r="A1642" s="91"/>
      <c r="B1642" s="176"/>
      <c r="C1642" s="176"/>
      <c r="D1642" s="176"/>
      <c r="E1642" s="176"/>
      <c r="F1642" s="176"/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76"/>
      <c r="T1642" s="176"/>
      <c r="U1642" s="176"/>
      <c r="V1642" s="176"/>
      <c r="W1642" s="176"/>
      <c r="X1642" s="176"/>
      <c r="Y1642" s="176"/>
    </row>
    <row r="1643" spans="1:25">
      <c r="A1643" s="91"/>
      <c r="B1643" s="176"/>
      <c r="C1643" s="176"/>
      <c r="D1643" s="176"/>
      <c r="E1643" s="176"/>
      <c r="F1643" s="176"/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76"/>
      <c r="T1643" s="176"/>
      <c r="U1643" s="176"/>
      <c r="V1643" s="176"/>
      <c r="W1643" s="176"/>
      <c r="X1643" s="176"/>
      <c r="Y1643" s="176"/>
    </row>
    <row r="1644" spans="1:25">
      <c r="A1644" s="91"/>
      <c r="B1644" s="176"/>
      <c r="C1644" s="176"/>
      <c r="D1644" s="176"/>
      <c r="E1644" s="176"/>
      <c r="F1644" s="176"/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76"/>
      <c r="T1644" s="176"/>
      <c r="U1644" s="176"/>
      <c r="V1644" s="176"/>
      <c r="W1644" s="176"/>
      <c r="X1644" s="176"/>
      <c r="Y1644" s="176"/>
    </row>
    <row r="1645" spans="1:25">
      <c r="A1645" s="91"/>
      <c r="B1645" s="176"/>
      <c r="C1645" s="176"/>
      <c r="D1645" s="176"/>
      <c r="E1645" s="176"/>
      <c r="F1645" s="176"/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76"/>
      <c r="T1645" s="176"/>
      <c r="U1645" s="176"/>
      <c r="V1645" s="176"/>
      <c r="W1645" s="176"/>
      <c r="X1645" s="176"/>
      <c r="Y1645" s="176"/>
    </row>
    <row r="1646" spans="1:25">
      <c r="A1646" s="91"/>
      <c r="B1646" s="176"/>
      <c r="C1646" s="176"/>
      <c r="D1646" s="176"/>
      <c r="E1646" s="176"/>
      <c r="F1646" s="176"/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76"/>
      <c r="T1646" s="176"/>
      <c r="U1646" s="176"/>
      <c r="V1646" s="176"/>
      <c r="W1646" s="176"/>
      <c r="X1646" s="176"/>
      <c r="Y1646" s="176"/>
    </row>
    <row r="1647" spans="1:25">
      <c r="A1647" s="91"/>
      <c r="B1647" s="176"/>
      <c r="C1647" s="176"/>
      <c r="D1647" s="176"/>
      <c r="E1647" s="176"/>
      <c r="F1647" s="176"/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76"/>
      <c r="T1647" s="176"/>
      <c r="U1647" s="176"/>
      <c r="V1647" s="176"/>
      <c r="W1647" s="176"/>
      <c r="X1647" s="176"/>
      <c r="Y1647" s="176"/>
    </row>
    <row r="1648" spans="1:25">
      <c r="A1648" s="91"/>
      <c r="B1648" s="176"/>
      <c r="C1648" s="176"/>
      <c r="D1648" s="176"/>
      <c r="E1648" s="176"/>
      <c r="F1648" s="176"/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76"/>
      <c r="T1648" s="176"/>
      <c r="U1648" s="176"/>
      <c r="V1648" s="176"/>
      <c r="W1648" s="176"/>
      <c r="X1648" s="176"/>
      <c r="Y1648" s="176"/>
    </row>
    <row r="1649" spans="1:25">
      <c r="A1649" s="91"/>
      <c r="B1649" s="176"/>
      <c r="C1649" s="176"/>
      <c r="D1649" s="176"/>
      <c r="E1649" s="176"/>
      <c r="F1649" s="176"/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76"/>
      <c r="T1649" s="176"/>
      <c r="U1649" s="176"/>
      <c r="V1649" s="176"/>
      <c r="W1649" s="176"/>
      <c r="X1649" s="176"/>
      <c r="Y1649" s="176"/>
    </row>
    <row r="1650" spans="1:25">
      <c r="A1650" s="91"/>
      <c r="B1650" s="176"/>
      <c r="C1650" s="176"/>
      <c r="D1650" s="176"/>
      <c r="E1650" s="176"/>
      <c r="F1650" s="176"/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76"/>
      <c r="T1650" s="176"/>
      <c r="U1650" s="176"/>
      <c r="V1650" s="176"/>
      <c r="W1650" s="176"/>
      <c r="X1650" s="176"/>
      <c r="Y1650" s="176"/>
    </row>
    <row r="1651" spans="1:25">
      <c r="A1651" s="91"/>
      <c r="B1651" s="176"/>
      <c r="C1651" s="176"/>
      <c r="D1651" s="176"/>
      <c r="E1651" s="176"/>
      <c r="F1651" s="176"/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76"/>
      <c r="T1651" s="176"/>
      <c r="U1651" s="176"/>
      <c r="V1651" s="176"/>
      <c r="W1651" s="176"/>
      <c r="X1651" s="176"/>
      <c r="Y1651" s="176"/>
    </row>
    <row r="1652" spans="1:25">
      <c r="A1652" s="91"/>
      <c r="B1652" s="176"/>
      <c r="C1652" s="176"/>
      <c r="D1652" s="176"/>
      <c r="E1652" s="176"/>
      <c r="F1652" s="176"/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76"/>
      <c r="T1652" s="176"/>
      <c r="U1652" s="176"/>
      <c r="V1652" s="176"/>
      <c r="W1652" s="176"/>
      <c r="X1652" s="176"/>
      <c r="Y1652" s="176"/>
    </row>
    <row r="1653" spans="1:25">
      <c r="A1653" s="91"/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</row>
    <row r="1654" spans="1:25">
      <c r="A1654" s="91"/>
      <c r="B1654" s="176"/>
      <c r="C1654" s="176"/>
      <c r="D1654" s="176"/>
      <c r="E1654" s="176"/>
      <c r="F1654" s="176"/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76"/>
      <c r="T1654" s="176"/>
      <c r="U1654" s="176"/>
      <c r="V1654" s="176"/>
      <c r="W1654" s="176"/>
      <c r="X1654" s="176"/>
      <c r="Y1654" s="176"/>
    </row>
    <row r="1655" spans="1:25">
      <c r="A1655" s="91"/>
      <c r="B1655" s="176"/>
      <c r="C1655" s="176"/>
      <c r="D1655" s="176"/>
      <c r="E1655" s="176"/>
      <c r="F1655" s="176"/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76"/>
      <c r="T1655" s="176"/>
      <c r="U1655" s="176"/>
      <c r="V1655" s="176"/>
      <c r="W1655" s="176"/>
      <c r="X1655" s="176"/>
      <c r="Y1655" s="176"/>
    </row>
    <row r="1656" spans="1:25">
      <c r="A1656" s="91"/>
      <c r="B1656" s="176"/>
      <c r="C1656" s="176"/>
      <c r="D1656" s="176"/>
      <c r="E1656" s="176"/>
      <c r="F1656" s="176"/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76"/>
      <c r="T1656" s="176"/>
      <c r="U1656" s="176"/>
      <c r="V1656" s="176"/>
      <c r="W1656" s="176"/>
      <c r="X1656" s="176"/>
      <c r="Y1656" s="176"/>
    </row>
    <row r="1657" spans="1:25">
      <c r="A1657" s="91"/>
      <c r="B1657" s="176"/>
      <c r="C1657" s="176"/>
      <c r="D1657" s="176"/>
      <c r="E1657" s="176"/>
      <c r="F1657" s="176"/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76"/>
      <c r="T1657" s="176"/>
      <c r="U1657" s="176"/>
      <c r="V1657" s="176"/>
      <c r="W1657" s="176"/>
      <c r="X1657" s="176"/>
      <c r="Y1657" s="176"/>
    </row>
    <row r="1658" spans="1:25">
      <c r="A1658" s="91"/>
      <c r="B1658" s="176"/>
      <c r="C1658" s="176"/>
      <c r="D1658" s="176"/>
      <c r="E1658" s="176"/>
      <c r="F1658" s="176"/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76"/>
      <c r="T1658" s="176"/>
      <c r="U1658" s="176"/>
      <c r="V1658" s="176"/>
      <c r="W1658" s="176"/>
      <c r="X1658" s="176"/>
      <c r="Y1658" s="176"/>
    </row>
    <row r="1659" spans="1:25">
      <c r="A1659" s="91"/>
      <c r="B1659" s="176"/>
      <c r="C1659" s="176"/>
      <c r="D1659" s="176"/>
      <c r="E1659" s="176"/>
      <c r="F1659" s="176"/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76"/>
      <c r="T1659" s="176"/>
      <c r="U1659" s="176"/>
      <c r="V1659" s="176"/>
      <c r="W1659" s="176"/>
      <c r="X1659" s="176"/>
      <c r="Y1659" s="176"/>
    </row>
    <row r="1660" spans="1:25">
      <c r="A1660" s="91"/>
      <c r="B1660" s="176"/>
      <c r="C1660" s="176"/>
      <c r="D1660" s="176"/>
      <c r="E1660" s="176"/>
      <c r="F1660" s="176"/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76"/>
      <c r="T1660" s="176"/>
      <c r="U1660" s="176"/>
      <c r="V1660" s="176"/>
      <c r="W1660" s="176"/>
      <c r="X1660" s="176"/>
      <c r="Y1660" s="176"/>
    </row>
    <row r="1661" spans="1:25">
      <c r="A1661" s="91"/>
      <c r="B1661" s="176"/>
      <c r="C1661" s="176"/>
      <c r="D1661" s="176"/>
      <c r="E1661" s="176"/>
      <c r="F1661" s="176"/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76"/>
      <c r="T1661" s="176"/>
      <c r="U1661" s="176"/>
      <c r="V1661" s="176"/>
      <c r="W1661" s="176"/>
      <c r="X1661" s="176"/>
      <c r="Y1661" s="176"/>
    </row>
    <row r="1662" spans="1:25">
      <c r="A1662" s="91"/>
      <c r="B1662" s="176"/>
      <c r="C1662" s="176"/>
      <c r="D1662" s="176"/>
      <c r="E1662" s="176"/>
      <c r="F1662" s="176"/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76"/>
      <c r="T1662" s="176"/>
      <c r="U1662" s="176"/>
      <c r="V1662" s="176"/>
      <c r="W1662" s="176"/>
      <c r="X1662" s="176"/>
      <c r="Y1662" s="176"/>
    </row>
    <row r="1663" spans="1:25">
      <c r="A1663" s="91"/>
      <c r="B1663" s="176"/>
      <c r="C1663" s="176"/>
      <c r="D1663" s="176"/>
      <c r="E1663" s="176"/>
      <c r="F1663" s="176"/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76"/>
      <c r="T1663" s="176"/>
      <c r="U1663" s="176"/>
      <c r="V1663" s="176"/>
      <c r="W1663" s="176"/>
      <c r="X1663" s="176"/>
      <c r="Y1663" s="176"/>
    </row>
    <row r="1664" spans="1:25">
      <c r="A1664" s="91"/>
      <c r="B1664" s="176"/>
      <c r="C1664" s="176"/>
      <c r="D1664" s="176"/>
      <c r="E1664" s="176"/>
      <c r="F1664" s="176"/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76"/>
      <c r="T1664" s="176"/>
      <c r="U1664" s="176"/>
      <c r="V1664" s="176"/>
      <c r="W1664" s="176"/>
      <c r="X1664" s="176"/>
      <c r="Y1664" s="176"/>
    </row>
    <row r="1665" spans="1:25">
      <c r="A1665" s="91"/>
      <c r="B1665" s="176"/>
      <c r="C1665" s="176"/>
      <c r="D1665" s="176"/>
      <c r="E1665" s="176"/>
      <c r="F1665" s="176"/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76"/>
      <c r="T1665" s="176"/>
      <c r="U1665" s="176"/>
      <c r="V1665" s="176"/>
      <c r="W1665" s="176"/>
      <c r="X1665" s="176"/>
      <c r="Y1665" s="176"/>
    </row>
    <row r="1666" spans="1:25">
      <c r="A1666" s="91"/>
      <c r="B1666" s="176"/>
      <c r="C1666" s="176"/>
      <c r="D1666" s="176"/>
      <c r="E1666" s="176"/>
      <c r="F1666" s="176"/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</row>
    <row r="1667" spans="1:25">
      <c r="A1667" s="91"/>
      <c r="B1667" s="176"/>
      <c r="C1667" s="176"/>
      <c r="D1667" s="176"/>
      <c r="E1667" s="176"/>
      <c r="F1667" s="176"/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76"/>
      <c r="T1667" s="176"/>
      <c r="U1667" s="176"/>
      <c r="V1667" s="176"/>
      <c r="W1667" s="176"/>
      <c r="X1667" s="176"/>
      <c r="Y1667" s="176"/>
    </row>
    <row r="1668" spans="1:25">
      <c r="A1668" s="91"/>
      <c r="B1668" s="176"/>
      <c r="C1668" s="176"/>
      <c r="D1668" s="176"/>
      <c r="E1668" s="176"/>
      <c r="F1668" s="176"/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76"/>
      <c r="T1668" s="176"/>
      <c r="U1668" s="176"/>
      <c r="V1668" s="176"/>
      <c r="W1668" s="176"/>
      <c r="X1668" s="176"/>
      <c r="Y1668" s="176"/>
    </row>
    <row r="1669" spans="1:25">
      <c r="A1669" s="91"/>
      <c r="B1669" s="176"/>
      <c r="C1669" s="176"/>
      <c r="D1669" s="176"/>
      <c r="E1669" s="176"/>
      <c r="F1669" s="176"/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76"/>
      <c r="T1669" s="176"/>
      <c r="U1669" s="176"/>
      <c r="V1669" s="176"/>
      <c r="W1669" s="176"/>
      <c r="X1669" s="176"/>
      <c r="Y1669" s="176"/>
    </row>
    <row r="1670" spans="1:25">
      <c r="A1670" s="91"/>
      <c r="B1670" s="176"/>
      <c r="C1670" s="176"/>
      <c r="D1670" s="176"/>
      <c r="E1670" s="176"/>
      <c r="F1670" s="176"/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76"/>
      <c r="T1670" s="176"/>
      <c r="U1670" s="176"/>
      <c r="V1670" s="176"/>
      <c r="W1670" s="176"/>
      <c r="X1670" s="176"/>
      <c r="Y1670" s="176"/>
    </row>
    <row r="1671" spans="1:25">
      <c r="A1671" s="91"/>
      <c r="B1671" s="176"/>
      <c r="C1671" s="176"/>
      <c r="D1671" s="176"/>
      <c r="E1671" s="176"/>
      <c r="F1671" s="176"/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76"/>
      <c r="T1671" s="176"/>
      <c r="U1671" s="176"/>
      <c r="V1671" s="176"/>
      <c r="W1671" s="176"/>
      <c r="X1671" s="176"/>
      <c r="Y1671" s="176"/>
    </row>
    <row r="1672" spans="1:25">
      <c r="A1672" s="91"/>
      <c r="B1672" s="176"/>
      <c r="C1672" s="176"/>
      <c r="D1672" s="176"/>
      <c r="E1672" s="176"/>
      <c r="F1672" s="176"/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76"/>
      <c r="T1672" s="176"/>
      <c r="U1672" s="176"/>
      <c r="V1672" s="176"/>
      <c r="W1672" s="176"/>
      <c r="X1672" s="176"/>
      <c r="Y1672" s="176"/>
    </row>
    <row r="1673" spans="1:25">
      <c r="A1673" s="91"/>
      <c r="B1673" s="176"/>
      <c r="C1673" s="176"/>
      <c r="D1673" s="176"/>
      <c r="E1673" s="176"/>
      <c r="F1673" s="176"/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76"/>
      <c r="T1673" s="176"/>
      <c r="U1673" s="176"/>
      <c r="V1673" s="176"/>
      <c r="W1673" s="176"/>
      <c r="X1673" s="176"/>
      <c r="Y1673" s="176"/>
    </row>
    <row r="1674" spans="1:25">
      <c r="A1674" s="91"/>
      <c r="B1674" s="176"/>
      <c r="C1674" s="176"/>
      <c r="D1674" s="176"/>
      <c r="E1674" s="176"/>
      <c r="F1674" s="176"/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76"/>
      <c r="T1674" s="176"/>
      <c r="U1674" s="176"/>
      <c r="V1674" s="176"/>
      <c r="W1674" s="176"/>
      <c r="X1674" s="176"/>
      <c r="Y1674" s="176"/>
    </row>
    <row r="1675" spans="1:25">
      <c r="A1675" s="91"/>
      <c r="B1675" s="176"/>
      <c r="C1675" s="176"/>
      <c r="D1675" s="176"/>
      <c r="E1675" s="176"/>
      <c r="F1675" s="176"/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76"/>
      <c r="T1675" s="176"/>
      <c r="U1675" s="176"/>
      <c r="V1675" s="176"/>
      <c r="W1675" s="176"/>
      <c r="X1675" s="176"/>
      <c r="Y1675" s="176"/>
    </row>
    <row r="1676" spans="1:25">
      <c r="A1676" s="91"/>
      <c r="B1676" s="176"/>
      <c r="C1676" s="176"/>
      <c r="D1676" s="176"/>
      <c r="E1676" s="176"/>
      <c r="F1676" s="176"/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76"/>
      <c r="T1676" s="176"/>
      <c r="U1676" s="176"/>
      <c r="V1676" s="176"/>
      <c r="W1676" s="176"/>
      <c r="X1676" s="176"/>
      <c r="Y1676" s="176"/>
    </row>
    <row r="1677" spans="1:25">
      <c r="A1677" s="91"/>
      <c r="B1677" s="176"/>
      <c r="C1677" s="176"/>
      <c r="D1677" s="176"/>
      <c r="E1677" s="176"/>
      <c r="F1677" s="176"/>
      <c r="G1677" s="176"/>
      <c r="H1677" s="176"/>
      <c r="I1677" s="176"/>
      <c r="J1677" s="176"/>
      <c r="K1677" s="176"/>
      <c r="L1677" s="176"/>
      <c r="M1677" s="176"/>
      <c r="N1677" s="176"/>
      <c r="O1677" s="176"/>
      <c r="P1677" s="176"/>
      <c r="Q1677" s="176"/>
      <c r="R1677" s="176"/>
      <c r="S1677" s="176"/>
      <c r="T1677" s="176"/>
      <c r="U1677" s="176"/>
      <c r="V1677" s="176"/>
      <c r="W1677" s="176"/>
      <c r="X1677" s="176"/>
      <c r="Y1677" s="176"/>
    </row>
    <row r="1678" spans="1:25">
      <c r="A1678" s="91"/>
      <c r="B1678" s="176"/>
      <c r="C1678" s="176"/>
      <c r="D1678" s="176"/>
      <c r="E1678" s="176"/>
      <c r="F1678" s="176"/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76"/>
      <c r="T1678" s="176"/>
      <c r="U1678" s="176"/>
      <c r="V1678" s="176"/>
      <c r="W1678" s="176"/>
      <c r="X1678" s="176"/>
      <c r="Y1678" s="176"/>
    </row>
    <row r="1679" spans="1:25">
      <c r="A1679" s="91"/>
      <c r="B1679" s="176"/>
      <c r="C1679" s="176"/>
      <c r="D1679" s="176"/>
      <c r="E1679" s="176"/>
      <c r="F1679" s="176"/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76"/>
      <c r="T1679" s="176"/>
      <c r="U1679" s="176"/>
      <c r="V1679" s="176"/>
      <c r="W1679" s="176"/>
      <c r="X1679" s="176"/>
      <c r="Y1679" s="176"/>
    </row>
    <row r="1680" spans="1:25">
      <c r="A1680" s="91"/>
      <c r="B1680" s="176"/>
      <c r="C1680" s="176"/>
      <c r="D1680" s="176"/>
      <c r="E1680" s="176"/>
      <c r="F1680" s="176"/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76"/>
      <c r="T1680" s="176"/>
      <c r="U1680" s="176"/>
      <c r="V1680" s="176"/>
      <c r="W1680" s="176"/>
      <c r="X1680" s="176"/>
      <c r="Y1680" s="176"/>
    </row>
    <row r="1681" spans="1:25">
      <c r="A1681" s="91"/>
      <c r="B1681" s="176"/>
      <c r="C1681" s="176"/>
      <c r="D1681" s="176"/>
      <c r="E1681" s="176"/>
      <c r="F1681" s="176"/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76"/>
      <c r="T1681" s="176"/>
      <c r="U1681" s="176"/>
      <c r="V1681" s="176"/>
      <c r="W1681" s="176"/>
      <c r="X1681" s="176"/>
      <c r="Y1681" s="176"/>
    </row>
    <row r="1682" spans="1:25">
      <c r="A1682" s="91"/>
      <c r="B1682" s="176"/>
      <c r="C1682" s="176"/>
      <c r="D1682" s="176"/>
      <c r="E1682" s="176"/>
      <c r="F1682" s="176"/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76"/>
      <c r="T1682" s="176"/>
      <c r="U1682" s="176"/>
      <c r="V1682" s="176"/>
      <c r="W1682" s="176"/>
      <c r="X1682" s="176"/>
      <c r="Y1682" s="176"/>
    </row>
    <row r="1683" spans="1:25">
      <c r="A1683" s="91"/>
      <c r="B1683" s="176"/>
      <c r="C1683" s="176"/>
      <c r="D1683" s="176"/>
      <c r="E1683" s="176"/>
      <c r="F1683" s="176"/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76"/>
      <c r="T1683" s="176"/>
      <c r="U1683" s="176"/>
      <c r="V1683" s="176"/>
      <c r="W1683" s="176"/>
      <c r="X1683" s="176"/>
      <c r="Y1683" s="176"/>
    </row>
    <row r="1684" spans="1:25">
      <c r="A1684" s="91"/>
      <c r="B1684" s="176"/>
      <c r="C1684" s="176"/>
      <c r="D1684" s="176"/>
      <c r="E1684" s="176"/>
      <c r="F1684" s="176"/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76"/>
      <c r="T1684" s="176"/>
      <c r="U1684" s="176"/>
      <c r="V1684" s="176"/>
      <c r="W1684" s="176"/>
      <c r="X1684" s="176"/>
      <c r="Y1684" s="176"/>
    </row>
    <row r="1685" spans="1:25">
      <c r="A1685" s="91"/>
      <c r="B1685" s="176"/>
      <c r="C1685" s="176"/>
      <c r="D1685" s="176"/>
      <c r="E1685" s="176"/>
      <c r="F1685" s="176"/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76"/>
      <c r="T1685" s="176"/>
      <c r="U1685" s="176"/>
      <c r="V1685" s="176"/>
      <c r="W1685" s="176"/>
      <c r="X1685" s="176"/>
      <c r="Y1685" s="176"/>
    </row>
    <row r="1686" spans="1:25">
      <c r="A1686" s="91"/>
      <c r="B1686" s="176"/>
      <c r="C1686" s="176"/>
      <c r="D1686" s="176"/>
      <c r="E1686" s="176"/>
      <c r="F1686" s="176"/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76"/>
      <c r="T1686" s="176"/>
      <c r="U1686" s="176"/>
      <c r="V1686" s="176"/>
      <c r="W1686" s="176"/>
      <c r="X1686" s="176"/>
      <c r="Y1686" s="176"/>
    </row>
    <row r="1687" spans="1:25">
      <c r="A1687" s="91"/>
      <c r="B1687" s="176"/>
      <c r="C1687" s="176"/>
      <c r="D1687" s="176"/>
      <c r="E1687" s="176"/>
      <c r="F1687" s="176"/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76"/>
      <c r="T1687" s="176"/>
      <c r="U1687" s="176"/>
      <c r="V1687" s="176"/>
      <c r="W1687" s="176"/>
      <c r="X1687" s="176"/>
      <c r="Y1687" s="176"/>
    </row>
    <row r="1688" spans="1:25">
      <c r="A1688" s="91"/>
      <c r="B1688" s="176"/>
      <c r="C1688" s="176"/>
      <c r="D1688" s="176"/>
      <c r="E1688" s="176"/>
      <c r="F1688" s="176"/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76"/>
      <c r="T1688" s="176"/>
      <c r="U1688" s="176"/>
      <c r="V1688" s="176"/>
      <c r="W1688" s="176"/>
      <c r="X1688" s="176"/>
      <c r="Y1688" s="176"/>
    </row>
    <row r="1689" spans="1:25">
      <c r="A1689" s="91"/>
      <c r="B1689" s="176"/>
      <c r="C1689" s="176"/>
      <c r="D1689" s="176"/>
      <c r="E1689" s="176"/>
      <c r="F1689" s="176"/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76"/>
      <c r="T1689" s="176"/>
      <c r="U1689" s="176"/>
      <c r="V1689" s="176"/>
      <c r="W1689" s="176"/>
      <c r="X1689" s="176"/>
      <c r="Y1689" s="176"/>
    </row>
    <row r="1690" spans="1:25">
      <c r="A1690" s="91"/>
      <c r="B1690" s="176"/>
      <c r="C1690" s="176"/>
      <c r="D1690" s="176"/>
      <c r="E1690" s="176"/>
      <c r="F1690" s="176"/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76"/>
      <c r="T1690" s="176"/>
      <c r="U1690" s="176"/>
      <c r="V1690" s="176"/>
      <c r="W1690" s="176"/>
      <c r="X1690" s="176"/>
      <c r="Y1690" s="176"/>
    </row>
    <row r="1691" spans="1:25">
      <c r="A1691" s="91"/>
      <c r="B1691" s="176"/>
      <c r="C1691" s="176"/>
      <c r="D1691" s="176"/>
      <c r="E1691" s="176"/>
      <c r="F1691" s="176"/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76"/>
      <c r="T1691" s="176"/>
      <c r="U1691" s="176"/>
      <c r="V1691" s="176"/>
      <c r="W1691" s="176"/>
      <c r="X1691" s="176"/>
      <c r="Y1691" s="176"/>
    </row>
    <row r="1692" spans="1:25">
      <c r="A1692" s="91"/>
      <c r="B1692" s="176"/>
      <c r="C1692" s="176"/>
      <c r="D1692" s="176"/>
      <c r="E1692" s="176"/>
      <c r="F1692" s="176"/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76"/>
      <c r="T1692" s="176"/>
      <c r="U1692" s="176"/>
      <c r="V1692" s="176"/>
      <c r="W1692" s="176"/>
      <c r="X1692" s="176"/>
      <c r="Y1692" s="176"/>
    </row>
    <row r="1693" spans="1:25">
      <c r="A1693" s="91"/>
      <c r="B1693" s="176"/>
      <c r="C1693" s="176"/>
      <c r="D1693" s="176"/>
      <c r="E1693" s="176"/>
      <c r="F1693" s="176"/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76"/>
      <c r="T1693" s="176"/>
      <c r="U1693" s="176"/>
      <c r="V1693" s="176"/>
      <c r="W1693" s="176"/>
      <c r="X1693" s="176"/>
      <c r="Y1693" s="176"/>
    </row>
    <row r="1694" spans="1:25">
      <c r="A1694" s="91"/>
      <c r="B1694" s="176"/>
      <c r="C1694" s="176"/>
      <c r="D1694" s="176"/>
      <c r="E1694" s="176"/>
      <c r="F1694" s="176"/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76"/>
      <c r="T1694" s="176"/>
      <c r="U1694" s="176"/>
      <c r="V1694" s="176"/>
      <c r="W1694" s="176"/>
      <c r="X1694" s="176"/>
      <c r="Y1694" s="176"/>
    </row>
    <row r="1695" spans="1:25">
      <c r="A1695" s="91"/>
      <c r="B1695" s="176"/>
      <c r="C1695" s="176"/>
      <c r="D1695" s="176"/>
      <c r="E1695" s="176"/>
      <c r="F1695" s="176"/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76"/>
      <c r="T1695" s="176"/>
      <c r="U1695" s="176"/>
      <c r="V1695" s="176"/>
      <c r="W1695" s="176"/>
      <c r="X1695" s="176"/>
      <c r="Y1695" s="176"/>
    </row>
    <row r="1696" spans="1:25">
      <c r="A1696" s="91"/>
      <c r="B1696" s="176"/>
      <c r="C1696" s="176"/>
      <c r="D1696" s="176"/>
      <c r="E1696" s="176"/>
      <c r="F1696" s="176"/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76"/>
      <c r="T1696" s="176"/>
      <c r="U1696" s="176"/>
      <c r="V1696" s="176"/>
      <c r="W1696" s="176"/>
      <c r="X1696" s="176"/>
      <c r="Y1696" s="176"/>
    </row>
    <row r="1697" spans="1:25">
      <c r="A1697" s="91"/>
      <c r="B1697" s="176"/>
      <c r="C1697" s="176"/>
      <c r="D1697" s="176"/>
      <c r="E1697" s="176"/>
      <c r="F1697" s="176"/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76"/>
      <c r="T1697" s="176"/>
      <c r="U1697" s="176"/>
      <c r="V1697" s="176"/>
      <c r="W1697" s="176"/>
      <c r="X1697" s="176"/>
      <c r="Y1697" s="176"/>
    </row>
    <row r="1698" spans="1:25">
      <c r="A1698" s="91"/>
      <c r="B1698" s="176"/>
      <c r="C1698" s="176"/>
      <c r="D1698" s="176"/>
      <c r="E1698" s="176"/>
      <c r="F1698" s="176"/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76"/>
      <c r="T1698" s="176"/>
      <c r="U1698" s="176"/>
      <c r="V1698" s="176"/>
      <c r="W1698" s="176"/>
      <c r="X1698" s="176"/>
      <c r="Y1698" s="176"/>
    </row>
    <row r="1699" spans="1:25">
      <c r="A1699" s="91"/>
      <c r="B1699" s="176"/>
      <c r="C1699" s="176"/>
      <c r="D1699" s="176"/>
      <c r="E1699" s="176"/>
      <c r="F1699" s="176"/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76"/>
      <c r="T1699" s="176"/>
      <c r="U1699" s="176"/>
      <c r="V1699" s="176"/>
      <c r="W1699" s="176"/>
      <c r="X1699" s="176"/>
      <c r="Y1699" s="176"/>
    </row>
    <row r="1700" spans="1:25">
      <c r="A1700" s="91"/>
      <c r="B1700" s="176"/>
      <c r="C1700" s="176"/>
      <c r="D1700" s="176"/>
      <c r="E1700" s="176"/>
      <c r="F1700" s="176"/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76"/>
      <c r="T1700" s="176"/>
      <c r="U1700" s="176"/>
      <c r="V1700" s="176"/>
      <c r="W1700" s="176"/>
      <c r="X1700" s="176"/>
      <c r="Y1700" s="176"/>
    </row>
    <row r="1701" spans="1:25">
      <c r="A1701" s="91"/>
      <c r="B1701" s="176"/>
      <c r="C1701" s="176"/>
      <c r="D1701" s="176"/>
      <c r="E1701" s="176"/>
      <c r="F1701" s="176"/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76"/>
      <c r="T1701" s="176"/>
      <c r="U1701" s="176"/>
      <c r="V1701" s="176"/>
      <c r="W1701" s="176"/>
      <c r="X1701" s="176"/>
      <c r="Y1701" s="176"/>
    </row>
    <row r="1702" spans="1:25">
      <c r="A1702" s="91"/>
      <c r="B1702" s="176"/>
      <c r="C1702" s="176"/>
      <c r="D1702" s="176"/>
      <c r="E1702" s="176"/>
      <c r="F1702" s="176"/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76"/>
      <c r="T1702" s="176"/>
      <c r="U1702" s="176"/>
      <c r="V1702" s="176"/>
      <c r="W1702" s="176"/>
      <c r="X1702" s="176"/>
      <c r="Y1702" s="176"/>
    </row>
    <row r="1703" spans="1:25">
      <c r="A1703" s="91"/>
      <c r="B1703" s="176"/>
      <c r="C1703" s="176"/>
      <c r="D1703" s="176"/>
      <c r="E1703" s="176"/>
      <c r="F1703" s="176"/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76"/>
      <c r="T1703" s="176"/>
      <c r="U1703" s="176"/>
      <c r="V1703" s="176"/>
      <c r="W1703" s="176"/>
      <c r="X1703" s="176"/>
      <c r="Y1703" s="176"/>
    </row>
    <row r="1704" spans="1:25">
      <c r="A1704" s="91"/>
      <c r="B1704" s="176"/>
      <c r="C1704" s="176"/>
      <c r="D1704" s="176"/>
      <c r="E1704" s="176"/>
      <c r="F1704" s="176"/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76"/>
      <c r="T1704" s="176"/>
      <c r="U1704" s="176"/>
      <c r="V1704" s="176"/>
      <c r="W1704" s="176"/>
      <c r="X1704" s="176"/>
      <c r="Y1704" s="176"/>
    </row>
    <row r="1705" spans="1:25">
      <c r="A1705" s="91"/>
      <c r="B1705" s="176"/>
      <c r="C1705" s="176"/>
      <c r="D1705" s="176"/>
      <c r="E1705" s="176"/>
      <c r="F1705" s="176"/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76"/>
      <c r="T1705" s="176"/>
      <c r="U1705" s="176"/>
      <c r="V1705" s="176"/>
      <c r="W1705" s="176"/>
      <c r="X1705" s="176"/>
      <c r="Y1705" s="176"/>
    </row>
    <row r="1706" spans="1:25">
      <c r="A1706" s="91"/>
      <c r="B1706" s="176"/>
      <c r="C1706" s="176"/>
      <c r="D1706" s="176"/>
      <c r="E1706" s="176"/>
      <c r="F1706" s="176"/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76"/>
      <c r="T1706" s="176"/>
      <c r="U1706" s="176"/>
      <c r="V1706" s="176"/>
      <c r="W1706" s="176"/>
      <c r="X1706" s="176"/>
      <c r="Y1706" s="176"/>
    </row>
    <row r="1707" spans="1:25">
      <c r="A1707" s="91"/>
      <c r="B1707" s="176"/>
      <c r="C1707" s="176"/>
      <c r="D1707" s="176"/>
      <c r="E1707" s="176"/>
      <c r="F1707" s="176"/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76"/>
      <c r="T1707" s="176"/>
      <c r="U1707" s="176"/>
      <c r="V1707" s="176"/>
      <c r="W1707" s="176"/>
      <c r="X1707" s="176"/>
      <c r="Y1707" s="176"/>
    </row>
    <row r="1708" spans="1:25">
      <c r="A1708" s="91"/>
      <c r="B1708" s="176"/>
      <c r="C1708" s="176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76"/>
      <c r="T1708" s="176"/>
      <c r="U1708" s="176"/>
      <c r="V1708" s="176"/>
      <c r="W1708" s="176"/>
      <c r="X1708" s="176"/>
      <c r="Y1708" s="176"/>
    </row>
    <row r="1709" spans="1:25">
      <c r="A1709" s="91"/>
      <c r="B1709" s="176"/>
      <c r="C1709" s="176"/>
      <c r="D1709" s="176"/>
      <c r="E1709" s="176"/>
      <c r="F1709" s="176"/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76"/>
      <c r="T1709" s="176"/>
      <c r="U1709" s="176"/>
      <c r="V1709" s="176"/>
      <c r="W1709" s="176"/>
      <c r="X1709" s="176"/>
      <c r="Y1709" s="176"/>
    </row>
    <row r="1710" spans="1:25">
      <c r="A1710" s="91"/>
      <c r="B1710" s="176"/>
      <c r="C1710" s="176"/>
      <c r="D1710" s="176"/>
      <c r="E1710" s="176"/>
      <c r="F1710" s="176"/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76"/>
      <c r="T1710" s="176"/>
      <c r="U1710" s="176"/>
      <c r="V1710" s="176"/>
      <c r="W1710" s="176"/>
      <c r="X1710" s="176"/>
      <c r="Y1710" s="176"/>
    </row>
    <row r="1711" spans="1:25">
      <c r="A1711" s="91"/>
      <c r="B1711" s="176"/>
      <c r="C1711" s="176"/>
      <c r="D1711" s="176"/>
      <c r="E1711" s="176"/>
      <c r="F1711" s="176"/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76"/>
      <c r="T1711" s="176"/>
      <c r="U1711" s="176"/>
      <c r="V1711" s="176"/>
      <c r="W1711" s="176"/>
      <c r="X1711" s="176"/>
      <c r="Y1711" s="176"/>
    </row>
    <row r="1712" spans="1:25">
      <c r="A1712" s="91"/>
      <c r="B1712" s="176"/>
      <c r="C1712" s="176"/>
      <c r="D1712" s="176"/>
      <c r="E1712" s="176"/>
      <c r="F1712" s="176"/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76"/>
      <c r="T1712" s="176"/>
      <c r="U1712" s="176"/>
      <c r="V1712" s="176"/>
      <c r="W1712" s="176"/>
      <c r="X1712" s="176"/>
      <c r="Y1712" s="176"/>
    </row>
    <row r="1713" spans="1:25">
      <c r="A1713" s="91"/>
      <c r="B1713" s="176"/>
      <c r="C1713" s="176"/>
      <c r="D1713" s="176"/>
      <c r="E1713" s="176"/>
      <c r="F1713" s="176"/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76"/>
      <c r="T1713" s="176"/>
      <c r="U1713" s="176"/>
      <c r="V1713" s="176"/>
      <c r="W1713" s="176"/>
      <c r="X1713" s="176"/>
      <c r="Y1713" s="176"/>
    </row>
    <row r="1714" spans="1:25">
      <c r="A1714" s="91"/>
      <c r="B1714" s="176"/>
      <c r="C1714" s="176"/>
      <c r="D1714" s="176"/>
      <c r="E1714" s="176"/>
      <c r="F1714" s="176"/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76"/>
      <c r="T1714" s="176"/>
      <c r="U1714" s="176"/>
      <c r="V1714" s="176"/>
      <c r="W1714" s="176"/>
      <c r="X1714" s="176"/>
      <c r="Y1714" s="176"/>
    </row>
    <row r="1715" spans="1:25">
      <c r="A1715" s="91"/>
      <c r="B1715" s="176"/>
      <c r="C1715" s="176"/>
      <c r="D1715" s="176"/>
      <c r="E1715" s="176"/>
      <c r="F1715" s="176"/>
      <c r="G1715" s="176"/>
      <c r="H1715" s="176"/>
      <c r="I1715" s="176"/>
      <c r="J1715" s="176"/>
      <c r="K1715" s="176"/>
      <c r="L1715" s="176"/>
      <c r="M1715" s="176"/>
      <c r="N1715" s="176"/>
      <c r="O1715" s="176"/>
      <c r="P1715" s="176"/>
      <c r="Q1715" s="176"/>
      <c r="R1715" s="176"/>
      <c r="S1715" s="176"/>
      <c r="T1715" s="176"/>
      <c r="U1715" s="176"/>
      <c r="V1715" s="176"/>
      <c r="W1715" s="176"/>
      <c r="X1715" s="176"/>
      <c r="Y1715" s="176"/>
    </row>
    <row r="1716" spans="1:25">
      <c r="A1716" s="91"/>
      <c r="B1716" s="176"/>
      <c r="C1716" s="176"/>
      <c r="D1716" s="176"/>
      <c r="E1716" s="176"/>
      <c r="F1716" s="176"/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76"/>
      <c r="T1716" s="176"/>
      <c r="U1716" s="176"/>
      <c r="V1716" s="176"/>
      <c r="W1716" s="176"/>
      <c r="X1716" s="176"/>
      <c r="Y1716" s="176"/>
    </row>
    <row r="1717" spans="1:25">
      <c r="A1717" s="91"/>
      <c r="B1717" s="176"/>
      <c r="C1717" s="176"/>
      <c r="D1717" s="176"/>
      <c r="E1717" s="176"/>
      <c r="F1717" s="176"/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76"/>
      <c r="T1717" s="176"/>
      <c r="U1717" s="176"/>
      <c r="V1717" s="176"/>
      <c r="W1717" s="176"/>
      <c r="X1717" s="176"/>
      <c r="Y1717" s="176"/>
    </row>
    <row r="1718" spans="1:25">
      <c r="A1718" s="91"/>
      <c r="B1718" s="176"/>
      <c r="C1718" s="176"/>
      <c r="D1718" s="176"/>
      <c r="E1718" s="176"/>
      <c r="F1718" s="176"/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76"/>
      <c r="T1718" s="176"/>
      <c r="U1718" s="176"/>
      <c r="V1718" s="176"/>
      <c r="W1718" s="176"/>
      <c r="X1718" s="176"/>
      <c r="Y1718" s="176"/>
    </row>
    <row r="1719" spans="1:25">
      <c r="A1719" s="91"/>
      <c r="B1719" s="176"/>
      <c r="C1719" s="176"/>
      <c r="D1719" s="176"/>
      <c r="E1719" s="176"/>
      <c r="F1719" s="176"/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76"/>
      <c r="T1719" s="176"/>
      <c r="U1719" s="176"/>
      <c r="V1719" s="176"/>
      <c r="W1719" s="176"/>
      <c r="X1719" s="176"/>
      <c r="Y1719" s="176"/>
    </row>
    <row r="1720" spans="1:25">
      <c r="A1720" s="91"/>
      <c r="B1720" s="176"/>
      <c r="C1720" s="176"/>
      <c r="D1720" s="176"/>
      <c r="E1720" s="176"/>
      <c r="F1720" s="176"/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76"/>
      <c r="T1720" s="176"/>
      <c r="U1720" s="176"/>
      <c r="V1720" s="176"/>
      <c r="W1720" s="176"/>
      <c r="X1720" s="176"/>
      <c r="Y1720" s="176"/>
    </row>
    <row r="1721" spans="1:25">
      <c r="A1721" s="91"/>
      <c r="B1721" s="176"/>
      <c r="C1721" s="176"/>
      <c r="D1721" s="176"/>
      <c r="E1721" s="176"/>
      <c r="F1721" s="176"/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76"/>
      <c r="T1721" s="176"/>
      <c r="U1721" s="176"/>
      <c r="V1721" s="176"/>
      <c r="W1721" s="176"/>
      <c r="X1721" s="176"/>
      <c r="Y1721" s="176"/>
    </row>
    <row r="1722" spans="1:25">
      <c r="A1722" s="91"/>
      <c r="B1722" s="176"/>
      <c r="C1722" s="176"/>
      <c r="D1722" s="176"/>
      <c r="E1722" s="176"/>
      <c r="F1722" s="176"/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76"/>
      <c r="T1722" s="176"/>
      <c r="U1722" s="176"/>
      <c r="V1722" s="176"/>
      <c r="W1722" s="176"/>
      <c r="X1722" s="176"/>
      <c r="Y1722" s="176"/>
    </row>
    <row r="1723" spans="1:25">
      <c r="A1723" s="91"/>
      <c r="B1723" s="176"/>
      <c r="C1723" s="176"/>
      <c r="D1723" s="176"/>
      <c r="E1723" s="176"/>
      <c r="F1723" s="176"/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76"/>
      <c r="T1723" s="176"/>
      <c r="U1723" s="176"/>
      <c r="V1723" s="176"/>
      <c r="W1723" s="176"/>
      <c r="X1723" s="176"/>
      <c r="Y1723" s="176"/>
    </row>
    <row r="1724" spans="1:25">
      <c r="A1724" s="91"/>
      <c r="B1724" s="176"/>
      <c r="C1724" s="176"/>
      <c r="D1724" s="176"/>
      <c r="E1724" s="176"/>
      <c r="F1724" s="176"/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76"/>
      <c r="T1724" s="176"/>
      <c r="U1724" s="176"/>
      <c r="V1724" s="176"/>
      <c r="W1724" s="176"/>
      <c r="X1724" s="176"/>
      <c r="Y1724" s="176"/>
    </row>
    <row r="1725" spans="1:25">
      <c r="A1725" s="91"/>
      <c r="B1725" s="176"/>
      <c r="C1725" s="176"/>
      <c r="D1725" s="176"/>
      <c r="E1725" s="176"/>
      <c r="F1725" s="176"/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76"/>
      <c r="T1725" s="176"/>
      <c r="U1725" s="176"/>
      <c r="V1725" s="176"/>
      <c r="W1725" s="176"/>
      <c r="X1725" s="176"/>
      <c r="Y1725" s="176"/>
    </row>
    <row r="1726" spans="1:25">
      <c r="A1726" s="91"/>
      <c r="B1726" s="176"/>
      <c r="C1726" s="176"/>
      <c r="D1726" s="176"/>
      <c r="E1726" s="176"/>
      <c r="F1726" s="176"/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76"/>
      <c r="T1726" s="176"/>
      <c r="U1726" s="176"/>
      <c r="V1726" s="176"/>
      <c r="W1726" s="176"/>
      <c r="X1726" s="176"/>
      <c r="Y1726" s="176"/>
    </row>
    <row r="1727" spans="1:25">
      <c r="A1727" s="91"/>
      <c r="B1727" s="176"/>
      <c r="C1727" s="176"/>
      <c r="D1727" s="176"/>
      <c r="E1727" s="176"/>
      <c r="F1727" s="176"/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76"/>
      <c r="T1727" s="176"/>
      <c r="U1727" s="176"/>
      <c r="V1727" s="176"/>
      <c r="W1727" s="176"/>
      <c r="X1727" s="176"/>
      <c r="Y1727" s="176"/>
    </row>
    <row r="1728" spans="1:25">
      <c r="A1728" s="91"/>
      <c r="B1728" s="176"/>
      <c r="C1728" s="176"/>
      <c r="D1728" s="176"/>
      <c r="E1728" s="176"/>
      <c r="F1728" s="176"/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76"/>
      <c r="T1728" s="176"/>
      <c r="U1728" s="176"/>
      <c r="V1728" s="176"/>
      <c r="W1728" s="176"/>
      <c r="X1728" s="176"/>
      <c r="Y1728" s="176"/>
    </row>
    <row r="1729" spans="1:25">
      <c r="A1729" s="91"/>
      <c r="B1729" s="176"/>
      <c r="C1729" s="176"/>
      <c r="D1729" s="176"/>
      <c r="E1729" s="176"/>
      <c r="F1729" s="176"/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76"/>
      <c r="T1729" s="176"/>
      <c r="U1729" s="176"/>
      <c r="V1729" s="176"/>
      <c r="W1729" s="176"/>
      <c r="X1729" s="176"/>
      <c r="Y1729" s="176"/>
    </row>
    <row r="1730" spans="1:25">
      <c r="A1730" s="91"/>
      <c r="B1730" s="176"/>
      <c r="C1730" s="176"/>
      <c r="D1730" s="176"/>
      <c r="E1730" s="176"/>
      <c r="F1730" s="176"/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76"/>
      <c r="T1730" s="176"/>
      <c r="U1730" s="176"/>
      <c r="V1730" s="176"/>
      <c r="W1730" s="176"/>
      <c r="X1730" s="176"/>
      <c r="Y1730" s="176"/>
    </row>
    <row r="1731" spans="1:25">
      <c r="A1731" s="91"/>
      <c r="B1731" s="176"/>
      <c r="C1731" s="176"/>
      <c r="D1731" s="176"/>
      <c r="E1731" s="176"/>
      <c r="F1731" s="176"/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76"/>
      <c r="T1731" s="176"/>
      <c r="U1731" s="176"/>
      <c r="V1731" s="176"/>
      <c r="W1731" s="176"/>
      <c r="X1731" s="176"/>
      <c r="Y1731" s="176"/>
    </row>
    <row r="1732" spans="1:25">
      <c r="A1732" s="91"/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76"/>
      <c r="T1732" s="176"/>
      <c r="U1732" s="176"/>
      <c r="V1732" s="176"/>
      <c r="W1732" s="176"/>
      <c r="X1732" s="176"/>
      <c r="Y1732" s="176"/>
    </row>
    <row r="1733" spans="1:25">
      <c r="A1733" s="91"/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76"/>
      <c r="T1733" s="176"/>
      <c r="U1733" s="176"/>
      <c r="V1733" s="176"/>
      <c r="W1733" s="176"/>
      <c r="X1733" s="176"/>
      <c r="Y1733" s="176"/>
    </row>
    <row r="1734" spans="1:25">
      <c r="A1734" s="91"/>
      <c r="B1734" s="176"/>
      <c r="C1734" s="176"/>
      <c r="D1734" s="176"/>
      <c r="E1734" s="176"/>
      <c r="F1734" s="176"/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76"/>
      <c r="T1734" s="176"/>
      <c r="U1734" s="176"/>
      <c r="V1734" s="176"/>
      <c r="W1734" s="176"/>
      <c r="X1734" s="176"/>
      <c r="Y1734" s="176"/>
    </row>
    <row r="1735" spans="1:25">
      <c r="A1735" s="91"/>
      <c r="B1735" s="176"/>
      <c r="C1735" s="176"/>
      <c r="D1735" s="176"/>
      <c r="E1735" s="176"/>
      <c r="F1735" s="176"/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76"/>
      <c r="T1735" s="176"/>
      <c r="U1735" s="176"/>
      <c r="V1735" s="176"/>
      <c r="W1735" s="176"/>
      <c r="X1735" s="176"/>
      <c r="Y1735" s="176"/>
    </row>
    <row r="1736" spans="1:25">
      <c r="A1736" s="91"/>
      <c r="B1736" s="176"/>
      <c r="C1736" s="176"/>
      <c r="D1736" s="176"/>
      <c r="E1736" s="176"/>
      <c r="F1736" s="176"/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76"/>
      <c r="T1736" s="176"/>
      <c r="U1736" s="176"/>
      <c r="V1736" s="176"/>
      <c r="W1736" s="176"/>
      <c r="X1736" s="176"/>
      <c r="Y1736" s="176"/>
    </row>
    <row r="1737" spans="1:25">
      <c r="A1737" s="91"/>
      <c r="B1737" s="176"/>
      <c r="C1737" s="176"/>
      <c r="D1737" s="176"/>
      <c r="E1737" s="176"/>
      <c r="F1737" s="176"/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76"/>
      <c r="T1737" s="176"/>
      <c r="U1737" s="176"/>
      <c r="V1737" s="176"/>
      <c r="W1737" s="176"/>
      <c r="X1737" s="176"/>
      <c r="Y1737" s="176"/>
    </row>
    <row r="1738" spans="1:25">
      <c r="A1738" s="91"/>
      <c r="B1738" s="176"/>
      <c r="C1738" s="176"/>
      <c r="D1738" s="176"/>
      <c r="E1738" s="176"/>
      <c r="F1738" s="176"/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76"/>
      <c r="T1738" s="176"/>
      <c r="U1738" s="176"/>
      <c r="V1738" s="176"/>
      <c r="W1738" s="176"/>
      <c r="X1738" s="176"/>
      <c r="Y1738" s="176"/>
    </row>
    <row r="1739" spans="1:25">
      <c r="A1739" s="91"/>
      <c r="B1739" s="176"/>
      <c r="C1739" s="176"/>
      <c r="D1739" s="176"/>
      <c r="E1739" s="176"/>
      <c r="F1739" s="176"/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76"/>
      <c r="T1739" s="176"/>
      <c r="U1739" s="176"/>
      <c r="V1739" s="176"/>
      <c r="W1739" s="176"/>
      <c r="X1739" s="176"/>
      <c r="Y1739" s="176"/>
    </row>
    <row r="1740" spans="1:25">
      <c r="A1740" s="91"/>
      <c r="B1740" s="176"/>
      <c r="C1740" s="176"/>
      <c r="D1740" s="176"/>
      <c r="E1740" s="176"/>
      <c r="F1740" s="176"/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76"/>
      <c r="T1740" s="176"/>
      <c r="U1740" s="176"/>
      <c r="V1740" s="176"/>
      <c r="W1740" s="176"/>
      <c r="X1740" s="176"/>
      <c r="Y1740" s="176"/>
    </row>
    <row r="1741" spans="1:25">
      <c r="A1741" s="91"/>
      <c r="B1741" s="176"/>
      <c r="C1741" s="176"/>
      <c r="D1741" s="176"/>
      <c r="E1741" s="176"/>
      <c r="F1741" s="176"/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76"/>
      <c r="T1741" s="176"/>
      <c r="U1741" s="176"/>
      <c r="V1741" s="176"/>
      <c r="W1741" s="176"/>
      <c r="X1741" s="176"/>
      <c r="Y1741" s="176"/>
    </row>
    <row r="1742" spans="1:25">
      <c r="A1742" s="91"/>
      <c r="B1742" s="176"/>
      <c r="C1742" s="176"/>
      <c r="D1742" s="176"/>
      <c r="E1742" s="176"/>
      <c r="F1742" s="176"/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76"/>
      <c r="T1742" s="176"/>
      <c r="U1742" s="176"/>
      <c r="V1742" s="176"/>
      <c r="W1742" s="176"/>
      <c r="X1742" s="176"/>
      <c r="Y1742" s="176"/>
    </row>
    <row r="1743" spans="1:25">
      <c r="A1743" s="91"/>
      <c r="B1743" s="176"/>
      <c r="C1743" s="176"/>
      <c r="D1743" s="176"/>
      <c r="E1743" s="176"/>
      <c r="F1743" s="176"/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76"/>
      <c r="T1743" s="176"/>
      <c r="U1743" s="176"/>
      <c r="V1743" s="176"/>
      <c r="W1743" s="176"/>
      <c r="X1743" s="176"/>
      <c r="Y1743" s="176"/>
    </row>
    <row r="1744" spans="1:25">
      <c r="A1744" s="91"/>
      <c r="B1744" s="176"/>
      <c r="C1744" s="176"/>
      <c r="D1744" s="176"/>
      <c r="E1744" s="176"/>
      <c r="F1744" s="176"/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76"/>
      <c r="T1744" s="176"/>
      <c r="U1744" s="176"/>
      <c r="V1744" s="176"/>
      <c r="W1744" s="176"/>
      <c r="X1744" s="176"/>
      <c r="Y1744" s="176"/>
    </row>
    <row r="1745" spans="1:25">
      <c r="A1745" s="91"/>
      <c r="B1745" s="176"/>
      <c r="C1745" s="176"/>
      <c r="D1745" s="176"/>
      <c r="E1745" s="176"/>
      <c r="F1745" s="176"/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76"/>
      <c r="T1745" s="176"/>
      <c r="U1745" s="176"/>
      <c r="V1745" s="176"/>
      <c r="W1745" s="176"/>
      <c r="X1745" s="176"/>
      <c r="Y1745" s="176"/>
    </row>
    <row r="1746" spans="1:25">
      <c r="A1746" s="91"/>
      <c r="B1746" s="176"/>
      <c r="C1746" s="176"/>
      <c r="D1746" s="176"/>
      <c r="E1746" s="176"/>
      <c r="F1746" s="176"/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76"/>
      <c r="T1746" s="176"/>
      <c r="U1746" s="176"/>
      <c r="V1746" s="176"/>
      <c r="W1746" s="176"/>
      <c r="X1746" s="176"/>
      <c r="Y1746" s="176"/>
    </row>
    <row r="1747" spans="1:25">
      <c r="A1747" s="91"/>
      <c r="B1747" s="176"/>
      <c r="C1747" s="176"/>
      <c r="D1747" s="176"/>
      <c r="E1747" s="176"/>
      <c r="F1747" s="176"/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76"/>
      <c r="T1747" s="176"/>
      <c r="U1747" s="176"/>
      <c r="V1747" s="176"/>
      <c r="W1747" s="176"/>
      <c r="X1747" s="176"/>
      <c r="Y1747" s="176"/>
    </row>
    <row r="1748" spans="1:25">
      <c r="A1748" s="91"/>
      <c r="B1748" s="176"/>
      <c r="C1748" s="176"/>
      <c r="D1748" s="176"/>
      <c r="E1748" s="176"/>
      <c r="F1748" s="176"/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76"/>
      <c r="T1748" s="176"/>
      <c r="U1748" s="176"/>
      <c r="V1748" s="176"/>
      <c r="W1748" s="176"/>
      <c r="X1748" s="176"/>
      <c r="Y1748" s="176"/>
    </row>
    <row r="1749" spans="1:25">
      <c r="A1749" s="91"/>
      <c r="B1749" s="176"/>
      <c r="C1749" s="176"/>
      <c r="D1749" s="176"/>
      <c r="E1749" s="176"/>
      <c r="F1749" s="176"/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76"/>
      <c r="T1749" s="176"/>
      <c r="U1749" s="176"/>
      <c r="V1749" s="176"/>
      <c r="W1749" s="176"/>
      <c r="X1749" s="176"/>
      <c r="Y1749" s="176"/>
    </row>
    <row r="1750" spans="1:25">
      <c r="A1750" s="91"/>
      <c r="B1750" s="176"/>
      <c r="C1750" s="176"/>
      <c r="D1750" s="176"/>
      <c r="E1750" s="176"/>
      <c r="F1750" s="176"/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76"/>
      <c r="T1750" s="176"/>
      <c r="U1750" s="176"/>
      <c r="V1750" s="176"/>
      <c r="W1750" s="176"/>
      <c r="X1750" s="176"/>
      <c r="Y1750" s="176"/>
    </row>
    <row r="1751" spans="1:25">
      <c r="A1751" s="91"/>
      <c r="B1751" s="176"/>
      <c r="C1751" s="176"/>
      <c r="D1751" s="176"/>
      <c r="E1751" s="176"/>
      <c r="F1751" s="176"/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76"/>
      <c r="T1751" s="176"/>
      <c r="U1751" s="176"/>
      <c r="V1751" s="176"/>
      <c r="W1751" s="176"/>
      <c r="X1751" s="176"/>
      <c r="Y1751" s="176"/>
    </row>
    <row r="1752" spans="1:25">
      <c r="A1752" s="91"/>
      <c r="B1752" s="176"/>
      <c r="C1752" s="176"/>
      <c r="D1752" s="176"/>
      <c r="E1752" s="176"/>
      <c r="F1752" s="176"/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76"/>
      <c r="T1752" s="176"/>
      <c r="U1752" s="176"/>
      <c r="V1752" s="176"/>
      <c r="W1752" s="176"/>
      <c r="X1752" s="176"/>
      <c r="Y1752" s="176"/>
    </row>
    <row r="1753" spans="1:25">
      <c r="A1753" s="91"/>
      <c r="B1753" s="176"/>
      <c r="C1753" s="176"/>
      <c r="D1753" s="176"/>
      <c r="E1753" s="176"/>
      <c r="F1753" s="176"/>
      <c r="G1753" s="176"/>
      <c r="H1753" s="176"/>
      <c r="I1753" s="176"/>
      <c r="J1753" s="176"/>
      <c r="K1753" s="176"/>
      <c r="L1753" s="176"/>
      <c r="M1753" s="176"/>
      <c r="N1753" s="176"/>
      <c r="O1753" s="176"/>
      <c r="P1753" s="176"/>
      <c r="Q1753" s="176"/>
      <c r="R1753" s="176"/>
      <c r="S1753" s="176"/>
      <c r="T1753" s="176"/>
      <c r="U1753" s="176"/>
      <c r="V1753" s="176"/>
      <c r="W1753" s="176"/>
      <c r="X1753" s="176"/>
      <c r="Y1753" s="176"/>
    </row>
    <row r="1754" spans="1:25">
      <c r="A1754" s="91"/>
      <c r="B1754" s="176"/>
      <c r="C1754" s="176"/>
      <c r="D1754" s="176"/>
      <c r="E1754" s="176"/>
      <c r="F1754" s="176"/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76"/>
      <c r="T1754" s="176"/>
      <c r="U1754" s="176"/>
      <c r="V1754" s="176"/>
      <c r="W1754" s="176"/>
      <c r="X1754" s="176"/>
      <c r="Y1754" s="176"/>
    </row>
    <row r="1755" spans="1:25">
      <c r="A1755" s="91"/>
      <c r="B1755" s="176"/>
      <c r="C1755" s="176"/>
      <c r="D1755" s="176"/>
      <c r="E1755" s="176"/>
      <c r="F1755" s="176"/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76"/>
      <c r="T1755" s="176"/>
      <c r="U1755" s="176"/>
      <c r="V1755" s="176"/>
      <c r="W1755" s="176"/>
      <c r="X1755" s="176"/>
      <c r="Y1755" s="176"/>
    </row>
    <row r="1756" spans="1:25">
      <c r="A1756" s="91"/>
      <c r="B1756" s="176"/>
      <c r="C1756" s="176"/>
      <c r="D1756" s="176"/>
      <c r="E1756" s="176"/>
      <c r="F1756" s="176"/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76"/>
      <c r="T1756" s="176"/>
      <c r="U1756" s="176"/>
      <c r="V1756" s="176"/>
      <c r="W1756" s="176"/>
      <c r="X1756" s="176"/>
      <c r="Y1756" s="176"/>
    </row>
    <row r="1757" spans="1:25">
      <c r="A1757" s="91"/>
      <c r="B1757" s="176"/>
      <c r="C1757" s="176"/>
      <c r="D1757" s="176"/>
      <c r="E1757" s="176"/>
      <c r="F1757" s="176"/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76"/>
      <c r="T1757" s="176"/>
      <c r="U1757" s="176"/>
      <c r="V1757" s="176"/>
      <c r="W1757" s="176"/>
      <c r="X1757" s="176"/>
      <c r="Y1757" s="176"/>
    </row>
    <row r="1758" spans="1:25">
      <c r="A1758" s="91"/>
      <c r="B1758" s="176"/>
      <c r="C1758" s="176"/>
      <c r="D1758" s="176"/>
      <c r="E1758" s="176"/>
      <c r="F1758" s="176"/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76"/>
      <c r="T1758" s="176"/>
      <c r="U1758" s="176"/>
      <c r="V1758" s="176"/>
      <c r="W1758" s="176"/>
      <c r="X1758" s="176"/>
      <c r="Y1758" s="176"/>
    </row>
    <row r="1759" spans="1:25">
      <c r="A1759" s="91"/>
      <c r="B1759" s="176"/>
      <c r="C1759" s="176"/>
      <c r="D1759" s="176"/>
      <c r="E1759" s="176"/>
      <c r="F1759" s="176"/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76"/>
      <c r="T1759" s="176"/>
      <c r="U1759" s="176"/>
      <c r="V1759" s="176"/>
      <c r="W1759" s="176"/>
      <c r="X1759" s="176"/>
      <c r="Y1759" s="176"/>
    </row>
    <row r="1760" spans="1:25">
      <c r="A1760" s="91"/>
      <c r="B1760" s="176"/>
      <c r="C1760" s="176"/>
      <c r="D1760" s="176"/>
      <c r="E1760" s="176"/>
      <c r="F1760" s="176"/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76"/>
      <c r="T1760" s="176"/>
      <c r="U1760" s="176"/>
      <c r="V1760" s="176"/>
      <c r="W1760" s="176"/>
      <c r="X1760" s="176"/>
      <c r="Y1760" s="176"/>
    </row>
    <row r="1761" spans="1:25">
      <c r="A1761" s="91"/>
      <c r="B1761" s="176"/>
      <c r="C1761" s="176"/>
      <c r="D1761" s="176"/>
      <c r="E1761" s="176"/>
      <c r="F1761" s="176"/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76"/>
      <c r="T1761" s="176"/>
      <c r="U1761" s="176"/>
      <c r="V1761" s="176"/>
      <c r="W1761" s="176"/>
      <c r="X1761" s="176"/>
      <c r="Y1761" s="176"/>
    </row>
    <row r="1762" spans="1:25">
      <c r="A1762" s="91"/>
      <c r="B1762" s="176"/>
      <c r="C1762" s="176"/>
      <c r="D1762" s="176"/>
      <c r="E1762" s="176"/>
      <c r="F1762" s="176"/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76"/>
      <c r="T1762" s="176"/>
      <c r="U1762" s="176"/>
      <c r="V1762" s="176"/>
      <c r="W1762" s="176"/>
      <c r="X1762" s="176"/>
      <c r="Y1762" s="176"/>
    </row>
    <row r="1763" spans="1:25">
      <c r="A1763" s="91"/>
      <c r="B1763" s="176"/>
      <c r="C1763" s="176"/>
      <c r="D1763" s="176"/>
      <c r="E1763" s="176"/>
      <c r="F1763" s="176"/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76"/>
      <c r="T1763" s="176"/>
      <c r="U1763" s="176"/>
      <c r="V1763" s="176"/>
      <c r="W1763" s="176"/>
      <c r="X1763" s="176"/>
      <c r="Y1763" s="176"/>
    </row>
    <row r="1764" spans="1:25">
      <c r="A1764" s="91"/>
      <c r="B1764" s="176"/>
      <c r="C1764" s="176"/>
      <c r="D1764" s="176"/>
      <c r="E1764" s="176"/>
      <c r="F1764" s="176"/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76"/>
      <c r="T1764" s="176"/>
      <c r="U1764" s="176"/>
      <c r="V1764" s="176"/>
      <c r="W1764" s="176"/>
      <c r="X1764" s="176"/>
      <c r="Y1764" s="176"/>
    </row>
    <row r="1765" spans="1:25">
      <c r="A1765" s="91"/>
      <c r="B1765" s="176"/>
      <c r="C1765" s="176"/>
      <c r="D1765" s="176"/>
      <c r="E1765" s="176"/>
      <c r="F1765" s="176"/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76"/>
      <c r="T1765" s="176"/>
      <c r="U1765" s="176"/>
      <c r="V1765" s="176"/>
      <c r="W1765" s="176"/>
      <c r="X1765" s="176"/>
      <c r="Y1765" s="176"/>
    </row>
    <row r="1766" spans="1:25">
      <c r="A1766" s="91"/>
      <c r="B1766" s="176"/>
      <c r="C1766" s="176"/>
      <c r="D1766" s="176"/>
      <c r="E1766" s="176"/>
      <c r="F1766" s="176"/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76"/>
      <c r="T1766" s="176"/>
      <c r="U1766" s="176"/>
      <c r="V1766" s="176"/>
      <c r="W1766" s="176"/>
      <c r="X1766" s="176"/>
      <c r="Y1766" s="176"/>
    </row>
    <row r="1767" spans="1:25">
      <c r="A1767" s="91"/>
      <c r="B1767" s="176"/>
      <c r="C1767" s="176"/>
      <c r="D1767" s="176"/>
      <c r="E1767" s="176"/>
      <c r="F1767" s="176"/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76"/>
      <c r="T1767" s="176"/>
      <c r="U1767" s="176"/>
      <c r="V1767" s="176"/>
      <c r="W1767" s="176"/>
      <c r="X1767" s="176"/>
      <c r="Y1767" s="176"/>
    </row>
    <row r="1768" spans="1:25">
      <c r="A1768" s="91"/>
      <c r="B1768" s="176"/>
      <c r="C1768" s="176"/>
      <c r="D1768" s="176"/>
      <c r="E1768" s="176"/>
      <c r="F1768" s="176"/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76"/>
      <c r="T1768" s="176"/>
      <c r="U1768" s="176"/>
      <c r="V1768" s="176"/>
      <c r="W1768" s="176"/>
      <c r="X1768" s="176"/>
      <c r="Y1768" s="176"/>
    </row>
    <row r="1769" spans="1:25">
      <c r="A1769" s="91"/>
      <c r="B1769" s="176"/>
      <c r="C1769" s="176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76"/>
      <c r="T1769" s="176"/>
      <c r="U1769" s="176"/>
      <c r="V1769" s="176"/>
      <c r="W1769" s="176"/>
      <c r="X1769" s="176"/>
      <c r="Y1769" s="176"/>
    </row>
    <row r="1770" spans="1:25">
      <c r="A1770" s="91"/>
      <c r="B1770" s="176"/>
      <c r="C1770" s="176"/>
      <c r="D1770" s="176"/>
      <c r="E1770" s="176"/>
      <c r="F1770" s="176"/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76"/>
      <c r="T1770" s="176"/>
      <c r="U1770" s="176"/>
      <c r="V1770" s="176"/>
      <c r="W1770" s="176"/>
      <c r="X1770" s="176"/>
      <c r="Y1770" s="176"/>
    </row>
    <row r="1771" spans="1:25">
      <c r="A1771" s="91"/>
      <c r="B1771" s="176"/>
      <c r="C1771" s="176"/>
      <c r="D1771" s="176"/>
      <c r="E1771" s="176"/>
      <c r="F1771" s="176"/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76"/>
      <c r="T1771" s="176"/>
      <c r="U1771" s="176"/>
      <c r="V1771" s="176"/>
      <c r="W1771" s="176"/>
      <c r="X1771" s="176"/>
      <c r="Y1771" s="176"/>
    </row>
    <row r="1772" spans="1:25">
      <c r="A1772" s="91"/>
      <c r="B1772" s="176"/>
      <c r="C1772" s="176"/>
      <c r="D1772" s="176"/>
      <c r="E1772" s="176"/>
      <c r="F1772" s="176"/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76"/>
      <c r="T1772" s="176"/>
      <c r="U1772" s="176"/>
      <c r="V1772" s="176"/>
      <c r="W1772" s="176"/>
      <c r="X1772" s="176"/>
      <c r="Y1772" s="176"/>
    </row>
    <row r="1773" spans="1:25">
      <c r="A1773" s="91"/>
      <c r="B1773" s="176"/>
      <c r="C1773" s="176"/>
      <c r="D1773" s="176"/>
      <c r="E1773" s="176"/>
      <c r="F1773" s="176"/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76"/>
      <c r="T1773" s="176"/>
      <c r="U1773" s="176"/>
      <c r="V1773" s="176"/>
      <c r="W1773" s="176"/>
      <c r="X1773" s="176"/>
      <c r="Y1773" s="176"/>
    </row>
    <row r="1774" spans="1:25">
      <c r="A1774" s="91"/>
      <c r="B1774" s="176"/>
      <c r="C1774" s="176"/>
      <c r="D1774" s="176"/>
      <c r="E1774" s="176"/>
      <c r="F1774" s="176"/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76"/>
      <c r="T1774" s="176"/>
      <c r="U1774" s="176"/>
      <c r="V1774" s="176"/>
      <c r="W1774" s="176"/>
      <c r="X1774" s="176"/>
      <c r="Y1774" s="176"/>
    </row>
    <row r="1775" spans="1:25">
      <c r="A1775" s="91"/>
      <c r="B1775" s="176"/>
      <c r="C1775" s="176"/>
      <c r="D1775" s="176"/>
      <c r="E1775" s="176"/>
      <c r="F1775" s="176"/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76"/>
      <c r="T1775" s="176"/>
      <c r="U1775" s="176"/>
      <c r="V1775" s="176"/>
      <c r="W1775" s="176"/>
      <c r="X1775" s="176"/>
      <c r="Y1775" s="176"/>
    </row>
    <row r="1776" spans="1:25">
      <c r="A1776" s="91"/>
      <c r="B1776" s="176"/>
      <c r="C1776" s="176"/>
      <c r="D1776" s="176"/>
      <c r="E1776" s="176"/>
      <c r="F1776" s="176"/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76"/>
      <c r="T1776" s="176"/>
      <c r="U1776" s="176"/>
      <c r="V1776" s="176"/>
      <c r="W1776" s="176"/>
      <c r="X1776" s="176"/>
      <c r="Y1776" s="176"/>
    </row>
    <row r="1777" spans="1:25">
      <c r="A1777" s="91"/>
      <c r="B1777" s="176"/>
      <c r="C1777" s="176"/>
      <c r="D1777" s="176"/>
      <c r="E1777" s="176"/>
      <c r="F1777" s="176"/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76"/>
      <c r="T1777" s="176"/>
      <c r="U1777" s="176"/>
      <c r="V1777" s="176"/>
      <c r="W1777" s="176"/>
      <c r="X1777" s="176"/>
      <c r="Y1777" s="176"/>
    </row>
    <row r="1778" spans="1:25">
      <c r="A1778" s="91"/>
      <c r="B1778" s="176"/>
      <c r="C1778" s="176"/>
      <c r="D1778" s="176"/>
      <c r="E1778" s="176"/>
      <c r="F1778" s="176"/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76"/>
      <c r="T1778" s="176"/>
      <c r="U1778" s="176"/>
      <c r="V1778" s="176"/>
      <c r="W1778" s="176"/>
      <c r="X1778" s="176"/>
      <c r="Y1778" s="176"/>
    </row>
    <row r="1779" spans="1:25">
      <c r="A1779" s="91"/>
      <c r="B1779" s="176"/>
      <c r="C1779" s="176"/>
      <c r="D1779" s="176"/>
      <c r="E1779" s="176"/>
      <c r="F1779" s="176"/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76"/>
      <c r="T1779" s="176"/>
      <c r="U1779" s="176"/>
      <c r="V1779" s="176"/>
      <c r="W1779" s="176"/>
      <c r="X1779" s="176"/>
      <c r="Y1779" s="176"/>
    </row>
    <row r="1780" spans="1:25">
      <c r="A1780" s="91"/>
      <c r="B1780" s="176"/>
      <c r="C1780" s="176"/>
      <c r="D1780" s="176"/>
      <c r="E1780" s="176"/>
      <c r="F1780" s="176"/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76"/>
      <c r="T1780" s="176"/>
      <c r="U1780" s="176"/>
      <c r="V1780" s="176"/>
      <c r="W1780" s="176"/>
      <c r="X1780" s="176"/>
      <c r="Y1780" s="176"/>
    </row>
    <row r="1781" spans="1:25">
      <c r="A1781" s="91"/>
      <c r="B1781" s="176"/>
      <c r="C1781" s="176"/>
      <c r="D1781" s="176"/>
      <c r="E1781" s="176"/>
      <c r="F1781" s="176"/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76"/>
      <c r="T1781" s="176"/>
      <c r="U1781" s="176"/>
      <c r="V1781" s="176"/>
      <c r="W1781" s="176"/>
      <c r="X1781" s="176"/>
      <c r="Y1781" s="176"/>
    </row>
    <row r="1782" spans="1:25">
      <c r="A1782" s="91"/>
      <c r="B1782" s="176"/>
      <c r="C1782" s="176"/>
      <c r="D1782" s="176"/>
      <c r="E1782" s="176"/>
      <c r="F1782" s="176"/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76"/>
      <c r="T1782" s="176"/>
      <c r="U1782" s="176"/>
      <c r="V1782" s="176"/>
      <c r="W1782" s="176"/>
      <c r="X1782" s="176"/>
      <c r="Y1782" s="176"/>
    </row>
    <row r="1783" spans="1:25">
      <c r="A1783" s="91"/>
      <c r="B1783" s="176"/>
      <c r="C1783" s="176"/>
      <c r="D1783" s="176"/>
      <c r="E1783" s="176"/>
      <c r="F1783" s="176"/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76"/>
      <c r="T1783" s="176"/>
      <c r="U1783" s="176"/>
      <c r="V1783" s="176"/>
      <c r="W1783" s="176"/>
      <c r="X1783" s="176"/>
      <c r="Y1783" s="176"/>
    </row>
    <row r="1784" spans="1:25">
      <c r="A1784" s="91"/>
      <c r="B1784" s="176"/>
      <c r="C1784" s="176"/>
      <c r="D1784" s="176"/>
      <c r="E1784" s="176"/>
      <c r="F1784" s="176"/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76"/>
      <c r="T1784" s="176"/>
      <c r="U1784" s="176"/>
      <c r="V1784" s="176"/>
      <c r="W1784" s="176"/>
      <c r="X1784" s="176"/>
      <c r="Y1784" s="176"/>
    </row>
    <row r="1785" spans="1:25">
      <c r="A1785" s="91"/>
      <c r="B1785" s="176"/>
      <c r="C1785" s="176"/>
      <c r="D1785" s="176"/>
      <c r="E1785" s="176"/>
      <c r="F1785" s="176"/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76"/>
      <c r="T1785" s="176"/>
      <c r="U1785" s="176"/>
      <c r="V1785" s="176"/>
      <c r="W1785" s="176"/>
      <c r="X1785" s="176"/>
      <c r="Y1785" s="176"/>
    </row>
    <row r="1786" spans="1:25">
      <c r="A1786" s="91"/>
      <c r="B1786" s="176"/>
      <c r="C1786" s="176"/>
      <c r="D1786" s="176"/>
      <c r="E1786" s="176"/>
      <c r="F1786" s="176"/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76"/>
      <c r="T1786" s="176"/>
      <c r="U1786" s="176"/>
      <c r="V1786" s="176"/>
      <c r="W1786" s="176"/>
      <c r="X1786" s="176"/>
      <c r="Y1786" s="176"/>
    </row>
    <row r="1787" spans="1:25">
      <c r="A1787" s="91"/>
      <c r="B1787" s="176"/>
      <c r="C1787" s="176"/>
      <c r="D1787" s="176"/>
      <c r="E1787" s="176"/>
      <c r="F1787" s="176"/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76"/>
      <c r="T1787" s="176"/>
      <c r="U1787" s="176"/>
      <c r="V1787" s="176"/>
      <c r="W1787" s="176"/>
      <c r="X1787" s="176"/>
      <c r="Y1787" s="176"/>
    </row>
    <row r="1788" spans="1:25">
      <c r="A1788" s="91"/>
      <c r="B1788" s="176"/>
      <c r="C1788" s="176"/>
      <c r="D1788" s="176"/>
      <c r="E1788" s="176"/>
      <c r="F1788" s="176"/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76"/>
      <c r="T1788" s="176"/>
      <c r="U1788" s="176"/>
      <c r="V1788" s="176"/>
      <c r="W1788" s="176"/>
      <c r="X1788" s="176"/>
      <c r="Y1788" s="176"/>
    </row>
    <row r="1789" spans="1:25">
      <c r="A1789" s="91"/>
      <c r="B1789" s="176"/>
      <c r="C1789" s="176"/>
      <c r="D1789" s="176"/>
      <c r="E1789" s="176"/>
      <c r="F1789" s="176"/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76"/>
      <c r="T1789" s="176"/>
      <c r="U1789" s="176"/>
      <c r="V1789" s="176"/>
      <c r="W1789" s="176"/>
      <c r="X1789" s="176"/>
      <c r="Y1789" s="176"/>
    </row>
    <row r="1790" spans="1:25">
      <c r="A1790" s="91"/>
      <c r="B1790" s="176"/>
      <c r="C1790" s="176"/>
      <c r="D1790" s="176"/>
      <c r="E1790" s="176"/>
      <c r="F1790" s="176"/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76"/>
      <c r="T1790" s="176"/>
      <c r="U1790" s="176"/>
      <c r="V1790" s="176"/>
      <c r="W1790" s="176"/>
      <c r="X1790" s="176"/>
      <c r="Y1790" s="176"/>
    </row>
    <row r="1791" spans="1:25">
      <c r="A1791" s="91"/>
      <c r="B1791" s="176"/>
      <c r="C1791" s="176"/>
      <c r="D1791" s="176"/>
      <c r="E1791" s="176"/>
      <c r="F1791" s="176"/>
      <c r="G1791" s="176"/>
      <c r="H1791" s="176"/>
      <c r="I1791" s="176"/>
      <c r="J1791" s="176"/>
      <c r="K1791" s="176"/>
      <c r="L1791" s="176"/>
      <c r="M1791" s="176"/>
      <c r="N1791" s="176"/>
      <c r="O1791" s="176"/>
      <c r="P1791" s="176"/>
      <c r="Q1791" s="176"/>
      <c r="R1791" s="176"/>
      <c r="S1791" s="176"/>
      <c r="T1791" s="176"/>
      <c r="U1791" s="176"/>
      <c r="V1791" s="176"/>
      <c r="W1791" s="176"/>
      <c r="X1791" s="176"/>
      <c r="Y1791" s="176"/>
    </row>
    <row r="1792" spans="1:25">
      <c r="A1792" s="91"/>
      <c r="B1792" s="176"/>
      <c r="C1792" s="176"/>
      <c r="D1792" s="176"/>
      <c r="E1792" s="176"/>
      <c r="F1792" s="176"/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76"/>
      <c r="T1792" s="176"/>
      <c r="U1792" s="176"/>
      <c r="V1792" s="176"/>
      <c r="W1792" s="176"/>
      <c r="X1792" s="176"/>
      <c r="Y1792" s="176"/>
    </row>
    <row r="1793" spans="1:25">
      <c r="A1793" s="91"/>
      <c r="B1793" s="176"/>
      <c r="C1793" s="176"/>
      <c r="D1793" s="176"/>
      <c r="E1793" s="176"/>
      <c r="F1793" s="176"/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76"/>
      <c r="T1793" s="176"/>
      <c r="U1793" s="176"/>
      <c r="V1793" s="176"/>
      <c r="W1793" s="176"/>
      <c r="X1793" s="176"/>
      <c r="Y1793" s="176"/>
    </row>
    <row r="1794" spans="1:25">
      <c r="A1794" s="91"/>
      <c r="B1794" s="176"/>
      <c r="C1794" s="176"/>
      <c r="D1794" s="176"/>
      <c r="E1794" s="176"/>
      <c r="F1794" s="176"/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76"/>
      <c r="T1794" s="176"/>
      <c r="U1794" s="176"/>
      <c r="V1794" s="176"/>
      <c r="W1794" s="176"/>
      <c r="X1794" s="176"/>
      <c r="Y1794" s="176"/>
    </row>
    <row r="1795" spans="1:25">
      <c r="A1795" s="91"/>
      <c r="B1795" s="176"/>
      <c r="C1795" s="176"/>
      <c r="D1795" s="176"/>
      <c r="E1795" s="176"/>
      <c r="F1795" s="176"/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76"/>
      <c r="T1795" s="176"/>
      <c r="U1795" s="176"/>
      <c r="V1795" s="176"/>
      <c r="W1795" s="176"/>
      <c r="X1795" s="176"/>
      <c r="Y1795" s="176"/>
    </row>
    <row r="1796" spans="1:25">
      <c r="A1796" s="91"/>
      <c r="B1796" s="176"/>
      <c r="C1796" s="176"/>
      <c r="D1796" s="176"/>
      <c r="E1796" s="176"/>
      <c r="F1796" s="176"/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76"/>
      <c r="T1796" s="176"/>
      <c r="U1796" s="176"/>
      <c r="V1796" s="176"/>
      <c r="W1796" s="176"/>
      <c r="X1796" s="176"/>
      <c r="Y1796" s="176"/>
    </row>
    <row r="1797" spans="1:25">
      <c r="A1797" s="91"/>
      <c r="B1797" s="176"/>
      <c r="C1797" s="176"/>
      <c r="D1797" s="176"/>
      <c r="E1797" s="176"/>
      <c r="F1797" s="176"/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76"/>
      <c r="T1797" s="176"/>
      <c r="U1797" s="176"/>
      <c r="V1797" s="176"/>
      <c r="W1797" s="176"/>
      <c r="X1797" s="176"/>
      <c r="Y1797" s="176"/>
    </row>
    <row r="1798" spans="1:25">
      <c r="A1798" s="91"/>
      <c r="B1798" s="176"/>
      <c r="C1798" s="176"/>
      <c r="D1798" s="176"/>
      <c r="E1798" s="176"/>
      <c r="F1798" s="176"/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76"/>
      <c r="T1798" s="176"/>
      <c r="U1798" s="176"/>
      <c r="V1798" s="176"/>
      <c r="W1798" s="176"/>
      <c r="X1798" s="176"/>
      <c r="Y1798" s="176"/>
    </row>
    <row r="1799" spans="1:25">
      <c r="A1799" s="91"/>
      <c r="B1799" s="176"/>
      <c r="C1799" s="176"/>
      <c r="D1799" s="176"/>
      <c r="E1799" s="176"/>
      <c r="F1799" s="176"/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76"/>
      <c r="T1799" s="176"/>
      <c r="U1799" s="176"/>
      <c r="V1799" s="176"/>
      <c r="W1799" s="176"/>
      <c r="X1799" s="176"/>
      <c r="Y1799" s="176"/>
    </row>
    <row r="1800" spans="1:25">
      <c r="A1800" s="91"/>
      <c r="B1800" s="176"/>
      <c r="C1800" s="176"/>
      <c r="D1800" s="176"/>
      <c r="E1800" s="176"/>
      <c r="F1800" s="176"/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76"/>
      <c r="T1800" s="176"/>
      <c r="U1800" s="176"/>
      <c r="V1800" s="176"/>
      <c r="W1800" s="176"/>
      <c r="X1800" s="176"/>
      <c r="Y1800" s="176"/>
    </row>
    <row r="1801" spans="1:25">
      <c r="A1801" s="91"/>
      <c r="B1801" s="176"/>
      <c r="C1801" s="176"/>
      <c r="D1801" s="176"/>
      <c r="E1801" s="176"/>
      <c r="F1801" s="176"/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76"/>
      <c r="T1801" s="176"/>
      <c r="U1801" s="176"/>
      <c r="V1801" s="176"/>
      <c r="W1801" s="176"/>
      <c r="X1801" s="176"/>
      <c r="Y1801" s="176"/>
    </row>
    <row r="1802" spans="1:25">
      <c r="A1802" s="91"/>
      <c r="B1802" s="176"/>
      <c r="C1802" s="176"/>
      <c r="D1802" s="176"/>
      <c r="E1802" s="176"/>
      <c r="F1802" s="176"/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76"/>
      <c r="T1802" s="176"/>
      <c r="U1802" s="176"/>
      <c r="V1802" s="176"/>
      <c r="W1802" s="176"/>
      <c r="X1802" s="176"/>
      <c r="Y1802" s="176"/>
    </row>
    <row r="1803" spans="1:25">
      <c r="A1803" s="91"/>
      <c r="B1803" s="176"/>
      <c r="C1803" s="176"/>
      <c r="D1803" s="176"/>
      <c r="E1803" s="176"/>
      <c r="F1803" s="176"/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76"/>
      <c r="T1803" s="176"/>
      <c r="U1803" s="176"/>
      <c r="V1803" s="176"/>
      <c r="W1803" s="176"/>
      <c r="X1803" s="176"/>
      <c r="Y1803" s="176"/>
    </row>
    <row r="1804" spans="1:25">
      <c r="A1804" s="91"/>
      <c r="B1804" s="176"/>
      <c r="C1804" s="176"/>
      <c r="D1804" s="176"/>
      <c r="E1804" s="176"/>
      <c r="F1804" s="176"/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76"/>
      <c r="T1804" s="176"/>
      <c r="U1804" s="176"/>
      <c r="V1804" s="176"/>
      <c r="W1804" s="176"/>
      <c r="X1804" s="176"/>
      <c r="Y1804" s="176"/>
    </row>
    <row r="1805" spans="1:25">
      <c r="A1805" s="91"/>
      <c r="B1805" s="176"/>
      <c r="C1805" s="176"/>
      <c r="D1805" s="176"/>
      <c r="E1805" s="176"/>
      <c r="F1805" s="176"/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76"/>
      <c r="T1805" s="176"/>
      <c r="U1805" s="176"/>
      <c r="V1805" s="176"/>
      <c r="W1805" s="176"/>
      <c r="X1805" s="176"/>
      <c r="Y1805" s="176"/>
    </row>
    <row r="1806" spans="1:25">
      <c r="A1806" s="91"/>
      <c r="B1806" s="176"/>
      <c r="C1806" s="176"/>
      <c r="D1806" s="176"/>
      <c r="E1806" s="176"/>
      <c r="F1806" s="176"/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76"/>
      <c r="T1806" s="176"/>
      <c r="U1806" s="176"/>
      <c r="V1806" s="176"/>
      <c r="W1806" s="176"/>
      <c r="X1806" s="176"/>
      <c r="Y1806" s="176"/>
    </row>
    <row r="1807" spans="1:25">
      <c r="A1807" s="91"/>
      <c r="B1807" s="176"/>
      <c r="C1807" s="176"/>
      <c r="D1807" s="176"/>
      <c r="E1807" s="176"/>
      <c r="F1807" s="176"/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76"/>
      <c r="T1807" s="176"/>
      <c r="U1807" s="176"/>
      <c r="V1807" s="176"/>
      <c r="W1807" s="176"/>
      <c r="X1807" s="176"/>
      <c r="Y1807" s="176"/>
    </row>
    <row r="1808" spans="1:25">
      <c r="A1808" s="91"/>
      <c r="B1808" s="176"/>
      <c r="C1808" s="176"/>
      <c r="D1808" s="176"/>
      <c r="E1808" s="176"/>
      <c r="F1808" s="176"/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76"/>
      <c r="T1808" s="176"/>
      <c r="U1808" s="176"/>
      <c r="V1808" s="176"/>
      <c r="W1808" s="176"/>
      <c r="X1808" s="176"/>
      <c r="Y1808" s="176"/>
    </row>
    <row r="1809" spans="1:25">
      <c r="A1809" s="91"/>
      <c r="B1809" s="176"/>
      <c r="C1809" s="176"/>
      <c r="D1809" s="176"/>
      <c r="E1809" s="176"/>
      <c r="F1809" s="176"/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76"/>
      <c r="T1809" s="176"/>
      <c r="U1809" s="176"/>
      <c r="V1809" s="176"/>
      <c r="W1809" s="176"/>
      <c r="X1809" s="176"/>
      <c r="Y1809" s="176"/>
    </row>
    <row r="1810" spans="1:25">
      <c r="A1810" s="91"/>
      <c r="B1810" s="176"/>
      <c r="C1810" s="176"/>
      <c r="D1810" s="176"/>
      <c r="E1810" s="176"/>
      <c r="F1810" s="176"/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76"/>
      <c r="T1810" s="176"/>
      <c r="U1810" s="176"/>
      <c r="V1810" s="176"/>
      <c r="W1810" s="176"/>
      <c r="X1810" s="176"/>
      <c r="Y1810" s="176"/>
    </row>
    <row r="1811" spans="1:25">
      <c r="A1811" s="91"/>
      <c r="B1811" s="176"/>
      <c r="C1811" s="176"/>
      <c r="D1811" s="176"/>
      <c r="E1811" s="176"/>
      <c r="F1811" s="176"/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76"/>
      <c r="T1811" s="176"/>
      <c r="U1811" s="176"/>
      <c r="V1811" s="176"/>
      <c r="W1811" s="176"/>
      <c r="X1811" s="176"/>
      <c r="Y1811" s="176"/>
    </row>
    <row r="1812" spans="1:25">
      <c r="A1812" s="91"/>
      <c r="B1812" s="176"/>
      <c r="C1812" s="176"/>
      <c r="D1812" s="176"/>
      <c r="E1812" s="176"/>
      <c r="F1812" s="176"/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76"/>
      <c r="T1812" s="176"/>
      <c r="U1812" s="176"/>
      <c r="V1812" s="176"/>
      <c r="W1812" s="176"/>
      <c r="X1812" s="176"/>
      <c r="Y1812" s="176"/>
    </row>
    <row r="1813" spans="1:25">
      <c r="A1813" s="91"/>
      <c r="B1813" s="176"/>
      <c r="C1813" s="176"/>
      <c r="D1813" s="176"/>
      <c r="E1813" s="176"/>
      <c r="F1813" s="176"/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76"/>
      <c r="T1813" s="176"/>
      <c r="U1813" s="176"/>
      <c r="V1813" s="176"/>
      <c r="W1813" s="176"/>
      <c r="X1813" s="176"/>
      <c r="Y1813" s="176"/>
    </row>
    <row r="1814" spans="1:25">
      <c r="A1814" s="91"/>
      <c r="B1814" s="176"/>
      <c r="C1814" s="176"/>
      <c r="D1814" s="176"/>
      <c r="E1814" s="176"/>
      <c r="F1814" s="176"/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76"/>
      <c r="T1814" s="176"/>
      <c r="U1814" s="176"/>
      <c r="V1814" s="176"/>
      <c r="W1814" s="176"/>
      <c r="X1814" s="176"/>
      <c r="Y1814" s="176"/>
    </row>
    <row r="1815" spans="1:25">
      <c r="A1815" s="91"/>
      <c r="B1815" s="176"/>
      <c r="C1815" s="176"/>
      <c r="D1815" s="176"/>
      <c r="E1815" s="176"/>
      <c r="F1815" s="176"/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76"/>
      <c r="T1815" s="176"/>
      <c r="U1815" s="176"/>
      <c r="V1815" s="176"/>
      <c r="W1815" s="176"/>
      <c r="X1815" s="176"/>
      <c r="Y1815" s="176"/>
    </row>
    <row r="1816" spans="1:25">
      <c r="A1816" s="91"/>
      <c r="B1816" s="176"/>
      <c r="C1816" s="176"/>
      <c r="D1816" s="176"/>
      <c r="E1816" s="176"/>
      <c r="F1816" s="176"/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76"/>
      <c r="T1816" s="176"/>
      <c r="U1816" s="176"/>
      <c r="V1816" s="176"/>
      <c r="W1816" s="176"/>
      <c r="X1816" s="176"/>
      <c r="Y1816" s="176"/>
    </row>
    <row r="1817" spans="1:25">
      <c r="A1817" s="91"/>
      <c r="B1817" s="176"/>
      <c r="C1817" s="176"/>
      <c r="D1817" s="176"/>
      <c r="E1817" s="176"/>
      <c r="F1817" s="176"/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76"/>
      <c r="T1817" s="176"/>
      <c r="U1817" s="176"/>
      <c r="V1817" s="176"/>
      <c r="W1817" s="176"/>
      <c r="X1817" s="176"/>
      <c r="Y1817" s="176"/>
    </row>
    <row r="1818" spans="1:25">
      <c r="A1818" s="91"/>
      <c r="B1818" s="176"/>
      <c r="C1818" s="176"/>
      <c r="D1818" s="176"/>
      <c r="E1818" s="176"/>
      <c r="F1818" s="176"/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76"/>
      <c r="T1818" s="176"/>
      <c r="U1818" s="176"/>
      <c r="V1818" s="176"/>
      <c r="W1818" s="176"/>
      <c r="X1818" s="176"/>
      <c r="Y1818" s="176"/>
    </row>
    <row r="1819" spans="1:25">
      <c r="A1819" s="91"/>
      <c r="B1819" s="176"/>
      <c r="C1819" s="176"/>
      <c r="D1819" s="176"/>
      <c r="E1819" s="176"/>
      <c r="F1819" s="176"/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76"/>
      <c r="T1819" s="176"/>
      <c r="U1819" s="176"/>
      <c r="V1819" s="176"/>
      <c r="W1819" s="176"/>
      <c r="X1819" s="176"/>
      <c r="Y1819" s="176"/>
    </row>
    <row r="1820" spans="1:25">
      <c r="A1820" s="91"/>
      <c r="B1820" s="176"/>
      <c r="C1820" s="176"/>
      <c r="D1820" s="176"/>
      <c r="E1820" s="176"/>
      <c r="F1820" s="176"/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76"/>
      <c r="T1820" s="176"/>
      <c r="U1820" s="176"/>
      <c r="V1820" s="176"/>
      <c r="W1820" s="176"/>
      <c r="X1820" s="176"/>
      <c r="Y1820" s="176"/>
    </row>
    <row r="1821" spans="1:25">
      <c r="A1821" s="91"/>
      <c r="B1821" s="176"/>
      <c r="C1821" s="176"/>
      <c r="D1821" s="176"/>
      <c r="E1821" s="176"/>
      <c r="F1821" s="176"/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76"/>
      <c r="T1821" s="176"/>
      <c r="U1821" s="176"/>
      <c r="V1821" s="176"/>
      <c r="W1821" s="176"/>
      <c r="X1821" s="176"/>
      <c r="Y1821" s="176"/>
    </row>
    <row r="1822" spans="1:25">
      <c r="A1822" s="91"/>
      <c r="B1822" s="176"/>
      <c r="C1822" s="176"/>
      <c r="D1822" s="176"/>
      <c r="E1822" s="176"/>
      <c r="F1822" s="176"/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76"/>
      <c r="T1822" s="176"/>
      <c r="U1822" s="176"/>
      <c r="V1822" s="176"/>
      <c r="W1822" s="176"/>
      <c r="X1822" s="176"/>
      <c r="Y1822" s="176"/>
    </row>
    <row r="1823" spans="1:25">
      <c r="A1823" s="91"/>
      <c r="B1823" s="176"/>
      <c r="C1823" s="176"/>
      <c r="D1823" s="176"/>
      <c r="E1823" s="176"/>
      <c r="F1823" s="176"/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76"/>
      <c r="T1823" s="176"/>
      <c r="U1823" s="176"/>
      <c r="V1823" s="176"/>
      <c r="W1823" s="176"/>
      <c r="X1823" s="176"/>
      <c r="Y1823" s="176"/>
    </row>
    <row r="1824" spans="1:25">
      <c r="A1824" s="91"/>
      <c r="B1824" s="176"/>
      <c r="C1824" s="176"/>
      <c r="D1824" s="176"/>
      <c r="E1824" s="176"/>
      <c r="F1824" s="176"/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76"/>
      <c r="T1824" s="176"/>
      <c r="U1824" s="176"/>
      <c r="V1824" s="176"/>
      <c r="W1824" s="176"/>
      <c r="X1824" s="176"/>
      <c r="Y1824" s="176"/>
    </row>
    <row r="1825" spans="1:25">
      <c r="A1825" s="91"/>
      <c r="B1825" s="176"/>
      <c r="C1825" s="176"/>
      <c r="D1825" s="176"/>
      <c r="E1825" s="176"/>
      <c r="F1825" s="176"/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76"/>
      <c r="T1825" s="176"/>
      <c r="U1825" s="176"/>
      <c r="V1825" s="176"/>
      <c r="W1825" s="176"/>
      <c r="X1825" s="176"/>
      <c r="Y1825" s="176"/>
    </row>
    <row r="1826" spans="1:25">
      <c r="A1826" s="91"/>
      <c r="B1826" s="176"/>
      <c r="C1826" s="176"/>
      <c r="D1826" s="176"/>
      <c r="E1826" s="176"/>
      <c r="F1826" s="176"/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76"/>
      <c r="T1826" s="176"/>
      <c r="U1826" s="176"/>
      <c r="V1826" s="176"/>
      <c r="W1826" s="176"/>
      <c r="X1826" s="176"/>
      <c r="Y1826" s="176"/>
    </row>
    <row r="1827" spans="1:25">
      <c r="A1827" s="91"/>
      <c r="B1827" s="176"/>
      <c r="C1827" s="176"/>
      <c r="D1827" s="176"/>
      <c r="E1827" s="176"/>
      <c r="F1827" s="176"/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76"/>
      <c r="T1827" s="176"/>
      <c r="U1827" s="176"/>
      <c r="V1827" s="176"/>
      <c r="W1827" s="176"/>
      <c r="X1827" s="176"/>
      <c r="Y1827" s="176"/>
    </row>
    <row r="1828" spans="1:25">
      <c r="A1828" s="91"/>
      <c r="B1828" s="176"/>
      <c r="C1828" s="176"/>
      <c r="D1828" s="176"/>
      <c r="E1828" s="176"/>
      <c r="F1828" s="176"/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76"/>
      <c r="T1828" s="176"/>
      <c r="U1828" s="176"/>
      <c r="V1828" s="176"/>
      <c r="W1828" s="176"/>
      <c r="X1828" s="176"/>
      <c r="Y1828" s="176"/>
    </row>
    <row r="1829" spans="1:25">
      <c r="A1829" s="91"/>
      <c r="B1829" s="176"/>
      <c r="C1829" s="176"/>
      <c r="D1829" s="176"/>
      <c r="E1829" s="176"/>
      <c r="F1829" s="176"/>
      <c r="G1829" s="176"/>
      <c r="H1829" s="176"/>
      <c r="I1829" s="176"/>
      <c r="J1829" s="176"/>
      <c r="K1829" s="176"/>
      <c r="L1829" s="176"/>
      <c r="M1829" s="176"/>
      <c r="N1829" s="176"/>
      <c r="O1829" s="176"/>
      <c r="P1829" s="176"/>
      <c r="Q1829" s="176"/>
      <c r="R1829" s="176"/>
      <c r="S1829" s="176"/>
      <c r="T1829" s="176"/>
      <c r="U1829" s="176"/>
      <c r="V1829" s="176"/>
      <c r="W1829" s="176"/>
      <c r="X1829" s="176"/>
      <c r="Y1829" s="176"/>
    </row>
    <row r="1830" spans="1:25">
      <c r="A1830" s="91"/>
      <c r="B1830" s="176"/>
      <c r="C1830" s="176"/>
      <c r="D1830" s="176"/>
      <c r="E1830" s="176"/>
      <c r="F1830" s="176"/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76"/>
      <c r="T1830" s="176"/>
      <c r="U1830" s="176"/>
      <c r="V1830" s="176"/>
      <c r="W1830" s="176"/>
      <c r="X1830" s="176"/>
      <c r="Y1830" s="176"/>
    </row>
    <row r="1831" spans="1:25">
      <c r="A1831" s="91"/>
      <c r="B1831" s="176"/>
      <c r="C1831" s="176"/>
      <c r="D1831" s="176"/>
      <c r="E1831" s="176"/>
      <c r="F1831" s="176"/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76"/>
      <c r="T1831" s="176"/>
      <c r="U1831" s="176"/>
      <c r="V1831" s="176"/>
      <c r="W1831" s="176"/>
      <c r="X1831" s="176"/>
      <c r="Y1831" s="176"/>
    </row>
    <row r="1832" spans="1:25">
      <c r="A1832" s="91"/>
      <c r="B1832" s="176"/>
      <c r="C1832" s="176"/>
      <c r="D1832" s="176"/>
      <c r="E1832" s="176"/>
      <c r="F1832" s="176"/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76"/>
      <c r="T1832" s="176"/>
      <c r="U1832" s="176"/>
      <c r="V1832" s="176"/>
      <c r="W1832" s="176"/>
      <c r="X1832" s="176"/>
      <c r="Y1832" s="176"/>
    </row>
    <row r="1833" spans="1:25">
      <c r="A1833" s="91"/>
      <c r="B1833" s="176"/>
      <c r="C1833" s="176"/>
      <c r="D1833" s="176"/>
      <c r="E1833" s="176"/>
      <c r="F1833" s="176"/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76"/>
      <c r="T1833" s="176"/>
      <c r="U1833" s="176"/>
      <c r="V1833" s="176"/>
      <c r="W1833" s="176"/>
      <c r="X1833" s="176"/>
      <c r="Y1833" s="176"/>
    </row>
    <row r="1834" spans="1:25">
      <c r="A1834" s="91"/>
      <c r="B1834" s="176"/>
      <c r="C1834" s="176"/>
      <c r="D1834" s="176"/>
      <c r="E1834" s="176"/>
      <c r="F1834" s="176"/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76"/>
      <c r="T1834" s="176"/>
      <c r="U1834" s="176"/>
      <c r="V1834" s="176"/>
      <c r="W1834" s="176"/>
      <c r="X1834" s="176"/>
      <c r="Y1834" s="176"/>
    </row>
    <row r="1835" spans="1:25">
      <c r="A1835" s="91"/>
      <c r="B1835" s="176"/>
      <c r="C1835" s="176"/>
      <c r="D1835" s="176"/>
      <c r="E1835" s="176"/>
      <c r="F1835" s="176"/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76"/>
      <c r="T1835" s="176"/>
      <c r="U1835" s="176"/>
      <c r="V1835" s="176"/>
      <c r="W1835" s="176"/>
      <c r="X1835" s="176"/>
      <c r="Y1835" s="176"/>
    </row>
    <row r="1836" spans="1:25">
      <c r="A1836" s="91"/>
      <c r="B1836" s="176"/>
      <c r="C1836" s="176"/>
      <c r="D1836" s="176"/>
      <c r="E1836" s="176"/>
      <c r="F1836" s="176"/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76"/>
      <c r="T1836" s="176"/>
      <c r="U1836" s="176"/>
      <c r="V1836" s="176"/>
      <c r="W1836" s="176"/>
      <c r="X1836" s="176"/>
      <c r="Y1836" s="176"/>
    </row>
    <row r="1837" spans="1:25">
      <c r="A1837" s="91"/>
      <c r="B1837" s="176"/>
      <c r="C1837" s="176"/>
      <c r="D1837" s="176"/>
      <c r="E1837" s="176"/>
      <c r="F1837" s="176"/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76"/>
      <c r="T1837" s="176"/>
      <c r="U1837" s="176"/>
      <c r="V1837" s="176"/>
      <c r="W1837" s="176"/>
      <c r="X1837" s="176"/>
      <c r="Y1837" s="176"/>
    </row>
    <row r="1838" spans="1:25">
      <c r="A1838" s="91"/>
      <c r="B1838" s="176"/>
      <c r="C1838" s="176"/>
      <c r="D1838" s="176"/>
      <c r="E1838" s="176"/>
      <c r="F1838" s="176"/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76"/>
      <c r="T1838" s="176"/>
      <c r="U1838" s="176"/>
      <c r="V1838" s="176"/>
      <c r="W1838" s="176"/>
      <c r="X1838" s="176"/>
      <c r="Y1838" s="176"/>
    </row>
    <row r="1839" spans="1:25">
      <c r="A1839" s="91"/>
      <c r="B1839" s="176"/>
      <c r="C1839" s="176"/>
      <c r="D1839" s="176"/>
      <c r="E1839" s="176"/>
      <c r="F1839" s="176"/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76"/>
      <c r="T1839" s="176"/>
      <c r="U1839" s="176"/>
      <c r="V1839" s="176"/>
      <c r="W1839" s="176"/>
      <c r="X1839" s="176"/>
      <c r="Y1839" s="176"/>
    </row>
    <row r="1840" spans="1:25">
      <c r="A1840" s="91"/>
      <c r="B1840" s="176"/>
      <c r="C1840" s="176"/>
      <c r="D1840" s="176"/>
      <c r="E1840" s="176"/>
      <c r="F1840" s="176"/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76"/>
      <c r="T1840" s="176"/>
      <c r="U1840" s="176"/>
      <c r="V1840" s="176"/>
      <c r="W1840" s="176"/>
      <c r="X1840" s="176"/>
      <c r="Y1840" s="176"/>
    </row>
    <row r="1841" spans="1:25">
      <c r="A1841" s="91"/>
      <c r="B1841" s="176"/>
      <c r="C1841" s="176"/>
      <c r="D1841" s="176"/>
      <c r="E1841" s="176"/>
      <c r="F1841" s="176"/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76"/>
      <c r="T1841" s="176"/>
      <c r="U1841" s="176"/>
      <c r="V1841" s="176"/>
      <c r="W1841" s="176"/>
      <c r="X1841" s="176"/>
      <c r="Y1841" s="176"/>
    </row>
    <row r="1842" spans="1:25">
      <c r="A1842" s="91"/>
      <c r="B1842" s="176"/>
      <c r="C1842" s="176"/>
      <c r="D1842" s="176"/>
      <c r="E1842" s="176"/>
      <c r="F1842" s="176"/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76"/>
      <c r="T1842" s="176"/>
      <c r="U1842" s="176"/>
      <c r="V1842" s="176"/>
      <c r="W1842" s="176"/>
      <c r="X1842" s="176"/>
      <c r="Y1842" s="176"/>
    </row>
    <row r="1843" spans="1:25">
      <c r="A1843" s="91"/>
      <c r="B1843" s="176"/>
      <c r="C1843" s="176"/>
      <c r="D1843" s="176"/>
      <c r="E1843" s="176"/>
      <c r="F1843" s="176"/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76"/>
      <c r="T1843" s="176"/>
      <c r="U1843" s="176"/>
      <c r="V1843" s="176"/>
      <c r="W1843" s="176"/>
      <c r="X1843" s="176"/>
      <c r="Y1843" s="176"/>
    </row>
    <row r="1844" spans="1:25">
      <c r="A1844" s="91"/>
      <c r="B1844" s="176"/>
      <c r="C1844" s="176"/>
      <c r="D1844" s="176"/>
      <c r="E1844" s="176"/>
      <c r="F1844" s="176"/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76"/>
      <c r="T1844" s="176"/>
      <c r="U1844" s="176"/>
      <c r="V1844" s="176"/>
      <c r="W1844" s="176"/>
      <c r="X1844" s="176"/>
      <c r="Y1844" s="176"/>
    </row>
    <row r="1845" spans="1:25">
      <c r="A1845" s="91"/>
      <c r="B1845" s="176"/>
      <c r="C1845" s="176"/>
      <c r="D1845" s="176"/>
      <c r="E1845" s="176"/>
      <c r="F1845" s="176"/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76"/>
      <c r="T1845" s="176"/>
      <c r="U1845" s="176"/>
      <c r="V1845" s="176"/>
      <c r="W1845" s="176"/>
      <c r="X1845" s="176"/>
      <c r="Y1845" s="176"/>
    </row>
    <row r="1846" spans="1:25">
      <c r="A1846" s="91"/>
      <c r="B1846" s="176"/>
      <c r="C1846" s="176"/>
      <c r="D1846" s="176"/>
      <c r="E1846" s="176"/>
      <c r="F1846" s="176"/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76"/>
      <c r="T1846" s="176"/>
      <c r="U1846" s="176"/>
      <c r="V1846" s="176"/>
      <c r="W1846" s="176"/>
      <c r="X1846" s="176"/>
      <c r="Y1846" s="176"/>
    </row>
    <row r="1847" spans="1:25">
      <c r="A1847" s="91"/>
      <c r="B1847" s="176"/>
      <c r="C1847" s="176"/>
      <c r="D1847" s="176"/>
      <c r="E1847" s="176"/>
      <c r="F1847" s="176"/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76"/>
      <c r="T1847" s="176"/>
      <c r="U1847" s="176"/>
      <c r="V1847" s="176"/>
      <c r="W1847" s="176"/>
      <c r="X1847" s="176"/>
      <c r="Y1847" s="176"/>
    </row>
    <row r="1848" spans="1:25">
      <c r="A1848" s="91"/>
      <c r="B1848" s="176"/>
      <c r="C1848" s="176"/>
      <c r="D1848" s="176"/>
      <c r="E1848" s="176"/>
      <c r="F1848" s="176"/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76"/>
      <c r="T1848" s="176"/>
      <c r="U1848" s="176"/>
      <c r="V1848" s="176"/>
      <c r="W1848" s="176"/>
      <c r="X1848" s="176"/>
      <c r="Y1848" s="176"/>
    </row>
    <row r="1849" spans="1:25">
      <c r="A1849" s="91"/>
      <c r="B1849" s="176"/>
      <c r="C1849" s="176"/>
      <c r="D1849" s="176"/>
      <c r="E1849" s="176"/>
      <c r="F1849" s="176"/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76"/>
      <c r="T1849" s="176"/>
      <c r="U1849" s="176"/>
      <c r="V1849" s="176"/>
      <c r="W1849" s="176"/>
      <c r="X1849" s="176"/>
      <c r="Y1849" s="176"/>
    </row>
    <row r="1850" spans="1:25">
      <c r="A1850" s="91"/>
      <c r="B1850" s="176"/>
      <c r="C1850" s="176"/>
      <c r="D1850" s="176"/>
      <c r="E1850" s="176"/>
      <c r="F1850" s="176"/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76"/>
      <c r="T1850" s="176"/>
      <c r="U1850" s="176"/>
      <c r="V1850" s="176"/>
      <c r="W1850" s="176"/>
      <c r="X1850" s="176"/>
      <c r="Y1850" s="176"/>
    </row>
    <row r="1851" spans="1:25">
      <c r="A1851" s="91"/>
      <c r="B1851" s="176"/>
      <c r="C1851" s="176"/>
      <c r="D1851" s="176"/>
      <c r="E1851" s="176"/>
      <c r="F1851" s="176"/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76"/>
      <c r="T1851" s="176"/>
      <c r="U1851" s="176"/>
      <c r="V1851" s="176"/>
      <c r="W1851" s="176"/>
      <c r="X1851" s="176"/>
      <c r="Y1851" s="176"/>
    </row>
    <row r="1852" spans="1:25">
      <c r="A1852" s="91"/>
      <c r="B1852" s="176"/>
      <c r="C1852" s="176"/>
      <c r="D1852" s="176"/>
      <c r="E1852" s="176"/>
      <c r="F1852" s="176"/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76"/>
      <c r="T1852" s="176"/>
      <c r="U1852" s="176"/>
      <c r="V1852" s="176"/>
      <c r="W1852" s="176"/>
      <c r="X1852" s="176"/>
      <c r="Y1852" s="176"/>
    </row>
    <row r="1853" spans="1:25">
      <c r="A1853" s="91"/>
      <c r="B1853" s="176"/>
      <c r="C1853" s="176"/>
      <c r="D1853" s="176"/>
      <c r="E1853" s="176"/>
      <c r="F1853" s="176"/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76"/>
      <c r="T1853" s="176"/>
      <c r="U1853" s="176"/>
      <c r="V1853" s="176"/>
      <c r="W1853" s="176"/>
      <c r="X1853" s="176"/>
      <c r="Y1853" s="176"/>
    </row>
    <row r="1854" spans="1:25">
      <c r="A1854" s="91"/>
      <c r="B1854" s="176"/>
      <c r="C1854" s="176"/>
      <c r="D1854" s="176"/>
      <c r="E1854" s="176"/>
      <c r="F1854" s="176"/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76"/>
      <c r="T1854" s="176"/>
      <c r="U1854" s="176"/>
      <c r="V1854" s="176"/>
      <c r="W1854" s="176"/>
      <c r="X1854" s="176"/>
      <c r="Y1854" s="176"/>
    </row>
    <row r="1855" spans="1:25">
      <c r="A1855" s="91"/>
      <c r="B1855" s="176"/>
      <c r="C1855" s="176"/>
      <c r="D1855" s="176"/>
      <c r="E1855" s="176"/>
      <c r="F1855" s="176"/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76"/>
      <c r="T1855" s="176"/>
      <c r="U1855" s="176"/>
      <c r="V1855" s="176"/>
      <c r="W1855" s="176"/>
      <c r="X1855" s="176"/>
      <c r="Y1855" s="176"/>
    </row>
    <row r="1856" spans="1:25">
      <c r="A1856" s="91"/>
      <c r="B1856" s="176"/>
      <c r="C1856" s="176"/>
      <c r="D1856" s="176"/>
      <c r="E1856" s="176"/>
      <c r="F1856" s="176"/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76"/>
      <c r="T1856" s="176"/>
      <c r="U1856" s="176"/>
      <c r="V1856" s="176"/>
      <c r="W1856" s="176"/>
      <c r="X1856" s="176"/>
      <c r="Y1856" s="176"/>
    </row>
    <row r="1857" spans="1:25">
      <c r="A1857" s="91"/>
      <c r="B1857" s="176"/>
      <c r="C1857" s="176"/>
      <c r="D1857" s="176"/>
      <c r="E1857" s="176"/>
      <c r="F1857" s="176"/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76"/>
      <c r="T1857" s="176"/>
      <c r="U1857" s="176"/>
      <c r="V1857" s="176"/>
      <c r="W1857" s="176"/>
      <c r="X1857" s="176"/>
      <c r="Y1857" s="176"/>
    </row>
    <row r="1858" spans="1:25">
      <c r="A1858" s="91"/>
      <c r="B1858" s="176"/>
      <c r="C1858" s="176"/>
      <c r="D1858" s="176"/>
      <c r="E1858" s="176"/>
      <c r="F1858" s="176"/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76"/>
      <c r="T1858" s="176"/>
      <c r="U1858" s="176"/>
      <c r="V1858" s="176"/>
      <c r="W1858" s="176"/>
      <c r="X1858" s="176"/>
      <c r="Y1858" s="176"/>
    </row>
    <row r="1859" spans="1:25">
      <c r="A1859" s="91"/>
      <c r="B1859" s="176"/>
      <c r="C1859" s="176"/>
      <c r="D1859" s="176"/>
      <c r="E1859" s="176"/>
      <c r="F1859" s="176"/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76"/>
      <c r="T1859" s="176"/>
      <c r="U1859" s="176"/>
      <c r="V1859" s="176"/>
      <c r="W1859" s="176"/>
      <c r="X1859" s="176"/>
      <c r="Y1859" s="176"/>
    </row>
    <row r="1860" spans="1:25">
      <c r="A1860" s="91"/>
      <c r="B1860" s="176"/>
      <c r="C1860" s="176"/>
      <c r="D1860" s="176"/>
      <c r="E1860" s="176"/>
      <c r="F1860" s="176"/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76"/>
      <c r="T1860" s="176"/>
      <c r="U1860" s="176"/>
      <c r="V1860" s="176"/>
      <c r="W1860" s="176"/>
      <c r="X1860" s="176"/>
      <c r="Y1860" s="176"/>
    </row>
    <row r="1861" spans="1:25">
      <c r="A1861" s="91"/>
      <c r="B1861" s="176"/>
      <c r="C1861" s="176"/>
      <c r="D1861" s="176"/>
      <c r="E1861" s="176"/>
      <c r="F1861" s="176"/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76"/>
      <c r="T1861" s="176"/>
      <c r="U1861" s="176"/>
      <c r="V1861" s="176"/>
      <c r="W1861" s="176"/>
      <c r="X1861" s="176"/>
      <c r="Y1861" s="176"/>
    </row>
    <row r="1862" spans="1:25">
      <c r="A1862" s="91"/>
      <c r="B1862" s="176"/>
      <c r="C1862" s="176"/>
      <c r="D1862" s="176"/>
      <c r="E1862" s="176"/>
      <c r="F1862" s="176"/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76"/>
      <c r="T1862" s="176"/>
      <c r="U1862" s="176"/>
      <c r="V1862" s="176"/>
      <c r="W1862" s="176"/>
      <c r="X1862" s="176"/>
      <c r="Y1862" s="176"/>
    </row>
    <row r="1863" spans="1:25">
      <c r="A1863" s="91"/>
      <c r="B1863" s="176"/>
      <c r="C1863" s="176"/>
      <c r="D1863" s="176"/>
      <c r="E1863" s="176"/>
      <c r="F1863" s="176"/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76"/>
      <c r="T1863" s="176"/>
      <c r="U1863" s="176"/>
      <c r="V1863" s="176"/>
      <c r="W1863" s="176"/>
      <c r="X1863" s="176"/>
      <c r="Y1863" s="176"/>
    </row>
    <row r="1864" spans="1:25">
      <c r="A1864" s="91"/>
      <c r="B1864" s="176"/>
      <c r="C1864" s="176"/>
      <c r="D1864" s="176"/>
      <c r="E1864" s="176"/>
      <c r="F1864" s="176"/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76"/>
      <c r="T1864" s="176"/>
      <c r="U1864" s="176"/>
      <c r="V1864" s="176"/>
      <c r="W1864" s="176"/>
      <c r="X1864" s="176"/>
      <c r="Y1864" s="176"/>
    </row>
    <row r="1865" spans="1:25">
      <c r="A1865" s="91"/>
      <c r="B1865" s="176"/>
      <c r="C1865" s="176"/>
      <c r="D1865" s="176"/>
      <c r="E1865" s="176"/>
      <c r="F1865" s="176"/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76"/>
      <c r="T1865" s="176"/>
      <c r="U1865" s="176"/>
      <c r="V1865" s="176"/>
      <c r="W1865" s="176"/>
      <c r="X1865" s="176"/>
      <c r="Y1865" s="176"/>
    </row>
    <row r="1866" spans="1:25">
      <c r="A1866" s="91"/>
      <c r="B1866" s="176"/>
      <c r="C1866" s="176"/>
      <c r="D1866" s="176"/>
      <c r="E1866" s="176"/>
      <c r="F1866" s="176"/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76"/>
      <c r="T1866" s="176"/>
      <c r="U1866" s="176"/>
      <c r="V1866" s="176"/>
      <c r="W1866" s="176"/>
      <c r="X1866" s="176"/>
      <c r="Y1866" s="176"/>
    </row>
    <row r="1867" spans="1:25">
      <c r="A1867" s="91"/>
      <c r="B1867" s="176"/>
      <c r="C1867" s="176"/>
      <c r="D1867" s="176"/>
      <c r="E1867" s="176"/>
      <c r="F1867" s="176"/>
      <c r="G1867" s="176"/>
      <c r="H1867" s="176"/>
      <c r="I1867" s="176"/>
      <c r="J1867" s="176"/>
      <c r="K1867" s="176"/>
      <c r="L1867" s="176"/>
      <c r="M1867" s="176"/>
      <c r="N1867" s="176"/>
      <c r="O1867" s="176"/>
      <c r="P1867" s="176"/>
      <c r="Q1867" s="176"/>
      <c r="R1867" s="176"/>
      <c r="S1867" s="176"/>
      <c r="T1867" s="176"/>
      <c r="U1867" s="176"/>
      <c r="V1867" s="176"/>
      <c r="W1867" s="176"/>
      <c r="X1867" s="176"/>
      <c r="Y1867" s="176"/>
    </row>
    <row r="1868" spans="1:25">
      <c r="A1868" s="91"/>
      <c r="B1868" s="176"/>
      <c r="C1868" s="176"/>
      <c r="D1868" s="176"/>
      <c r="E1868" s="176"/>
      <c r="F1868" s="176"/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76"/>
      <c r="T1868" s="176"/>
      <c r="U1868" s="176"/>
      <c r="V1868" s="176"/>
      <c r="W1868" s="176"/>
      <c r="X1868" s="176"/>
      <c r="Y1868" s="176"/>
    </row>
    <row r="1869" spans="1:25">
      <c r="A1869" s="91"/>
      <c r="B1869" s="176"/>
      <c r="C1869" s="176"/>
      <c r="D1869" s="176"/>
      <c r="E1869" s="176"/>
      <c r="F1869" s="176"/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76"/>
      <c r="T1869" s="176"/>
      <c r="U1869" s="176"/>
      <c r="V1869" s="176"/>
      <c r="W1869" s="176"/>
      <c r="X1869" s="176"/>
      <c r="Y1869" s="176"/>
    </row>
    <row r="1870" spans="1:25">
      <c r="A1870" s="91"/>
      <c r="B1870" s="176"/>
      <c r="C1870" s="176"/>
      <c r="D1870" s="176"/>
      <c r="E1870" s="176"/>
      <c r="F1870" s="176"/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76"/>
      <c r="T1870" s="176"/>
      <c r="U1870" s="176"/>
      <c r="V1870" s="176"/>
      <c r="W1870" s="176"/>
      <c r="X1870" s="176"/>
      <c r="Y1870" s="176"/>
    </row>
    <row r="1871" spans="1:25">
      <c r="A1871" s="91"/>
      <c r="B1871" s="176"/>
      <c r="C1871" s="176"/>
      <c r="D1871" s="176"/>
      <c r="E1871" s="176"/>
      <c r="F1871" s="176"/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76"/>
      <c r="T1871" s="176"/>
      <c r="U1871" s="176"/>
      <c r="V1871" s="176"/>
      <c r="W1871" s="176"/>
      <c r="X1871" s="176"/>
      <c r="Y1871" s="176"/>
    </row>
    <row r="1872" spans="1:25">
      <c r="A1872" s="91"/>
      <c r="B1872" s="176"/>
      <c r="C1872" s="176"/>
      <c r="D1872" s="176"/>
      <c r="E1872" s="176"/>
      <c r="F1872" s="176"/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76"/>
      <c r="T1872" s="176"/>
      <c r="U1872" s="176"/>
      <c r="V1872" s="176"/>
      <c r="W1872" s="176"/>
      <c r="X1872" s="176"/>
      <c r="Y1872" s="176"/>
    </row>
    <row r="1873" spans="1:25">
      <c r="A1873" s="91"/>
      <c r="B1873" s="176"/>
      <c r="C1873" s="176"/>
      <c r="D1873" s="176"/>
      <c r="E1873" s="176"/>
      <c r="F1873" s="176"/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76"/>
      <c r="T1873" s="176"/>
      <c r="U1873" s="176"/>
      <c r="V1873" s="176"/>
      <c r="W1873" s="176"/>
      <c r="X1873" s="176"/>
      <c r="Y1873" s="176"/>
    </row>
    <row r="1874" spans="1:25">
      <c r="A1874" s="91"/>
      <c r="B1874" s="176"/>
      <c r="C1874" s="176"/>
      <c r="D1874" s="176"/>
      <c r="E1874" s="176"/>
      <c r="F1874" s="176"/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76"/>
      <c r="T1874" s="176"/>
      <c r="U1874" s="176"/>
      <c r="V1874" s="176"/>
      <c r="W1874" s="176"/>
      <c r="X1874" s="176"/>
      <c r="Y1874" s="176"/>
    </row>
    <row r="1875" spans="1:25">
      <c r="A1875" s="91"/>
      <c r="B1875" s="176"/>
      <c r="C1875" s="176"/>
      <c r="D1875" s="176"/>
      <c r="E1875" s="176"/>
      <c r="F1875" s="176"/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76"/>
      <c r="T1875" s="176"/>
      <c r="U1875" s="176"/>
      <c r="V1875" s="176"/>
      <c r="W1875" s="176"/>
      <c r="X1875" s="176"/>
      <c r="Y1875" s="176"/>
    </row>
    <row r="1876" spans="1:25">
      <c r="A1876" s="91"/>
      <c r="B1876" s="176"/>
      <c r="C1876" s="176"/>
      <c r="D1876" s="176"/>
      <c r="E1876" s="176"/>
      <c r="F1876" s="176"/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76"/>
      <c r="T1876" s="176"/>
      <c r="U1876" s="176"/>
      <c r="V1876" s="176"/>
      <c r="W1876" s="176"/>
      <c r="X1876" s="176"/>
      <c r="Y1876" s="176"/>
    </row>
    <row r="1877" spans="1:25">
      <c r="A1877" s="91"/>
      <c r="B1877" s="176"/>
      <c r="C1877" s="176"/>
      <c r="D1877" s="176"/>
      <c r="E1877" s="176"/>
      <c r="F1877" s="176"/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76"/>
      <c r="T1877" s="176"/>
      <c r="U1877" s="176"/>
      <c r="V1877" s="176"/>
      <c r="W1877" s="176"/>
      <c r="X1877" s="176"/>
      <c r="Y1877" s="176"/>
    </row>
    <row r="1878" spans="1:25">
      <c r="A1878" s="91"/>
      <c r="B1878" s="176"/>
      <c r="C1878" s="176"/>
      <c r="D1878" s="176"/>
      <c r="E1878" s="176"/>
      <c r="F1878" s="176"/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76"/>
      <c r="T1878" s="176"/>
      <c r="U1878" s="176"/>
      <c r="V1878" s="176"/>
      <c r="W1878" s="176"/>
      <c r="X1878" s="176"/>
      <c r="Y1878" s="176"/>
    </row>
    <row r="1879" spans="1:25">
      <c r="A1879" s="91"/>
      <c r="B1879" s="176"/>
      <c r="C1879" s="176"/>
      <c r="D1879" s="176"/>
      <c r="E1879" s="176"/>
      <c r="F1879" s="176"/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76"/>
      <c r="T1879" s="176"/>
      <c r="U1879" s="176"/>
      <c r="V1879" s="176"/>
      <c r="W1879" s="176"/>
      <c r="X1879" s="176"/>
      <c r="Y1879" s="176"/>
    </row>
    <row r="1880" spans="1:25">
      <c r="A1880" s="91"/>
      <c r="B1880" s="176"/>
      <c r="C1880" s="176"/>
      <c r="D1880" s="176"/>
      <c r="E1880" s="176"/>
      <c r="F1880" s="176"/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76"/>
      <c r="T1880" s="176"/>
      <c r="U1880" s="176"/>
      <c r="V1880" s="176"/>
      <c r="W1880" s="176"/>
      <c r="X1880" s="176"/>
      <c r="Y1880" s="176"/>
    </row>
    <row r="1881" spans="1:25">
      <c r="A1881" s="91"/>
      <c r="B1881" s="176"/>
      <c r="C1881" s="176"/>
      <c r="D1881" s="176"/>
      <c r="E1881" s="176"/>
      <c r="F1881" s="176"/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76"/>
      <c r="T1881" s="176"/>
      <c r="U1881" s="176"/>
      <c r="V1881" s="176"/>
      <c r="W1881" s="176"/>
      <c r="X1881" s="176"/>
      <c r="Y1881" s="176"/>
    </row>
    <row r="1882" spans="1:25">
      <c r="A1882" s="91"/>
      <c r="B1882" s="176"/>
      <c r="C1882" s="176"/>
      <c r="D1882" s="176"/>
      <c r="E1882" s="176"/>
      <c r="F1882" s="176"/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76"/>
      <c r="T1882" s="176"/>
      <c r="U1882" s="176"/>
      <c r="V1882" s="176"/>
      <c r="W1882" s="176"/>
      <c r="X1882" s="176"/>
      <c r="Y1882" s="176"/>
    </row>
    <row r="1883" spans="1:25">
      <c r="A1883" s="91"/>
      <c r="B1883" s="176"/>
      <c r="C1883" s="176"/>
      <c r="D1883" s="176"/>
      <c r="E1883" s="176"/>
      <c r="F1883" s="176"/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76"/>
      <c r="T1883" s="176"/>
      <c r="U1883" s="176"/>
      <c r="V1883" s="176"/>
      <c r="W1883" s="176"/>
      <c r="X1883" s="176"/>
      <c r="Y1883" s="176"/>
    </row>
    <row r="1884" spans="1:25">
      <c r="A1884" s="91"/>
      <c r="B1884" s="176"/>
      <c r="C1884" s="176"/>
      <c r="D1884" s="176"/>
      <c r="E1884" s="176"/>
      <c r="F1884" s="176"/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76"/>
      <c r="T1884" s="176"/>
      <c r="U1884" s="176"/>
      <c r="V1884" s="176"/>
      <c r="W1884" s="176"/>
      <c r="X1884" s="176"/>
      <c r="Y1884" s="176"/>
    </row>
    <row r="1885" spans="1:25">
      <c r="A1885" s="91"/>
      <c r="B1885" s="176"/>
      <c r="C1885" s="176"/>
      <c r="D1885" s="176"/>
      <c r="E1885" s="176"/>
      <c r="F1885" s="176"/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76"/>
      <c r="T1885" s="176"/>
      <c r="U1885" s="176"/>
      <c r="V1885" s="176"/>
      <c r="W1885" s="176"/>
      <c r="X1885" s="176"/>
      <c r="Y1885" s="176"/>
    </row>
    <row r="1886" spans="1:25">
      <c r="A1886" s="91"/>
      <c r="B1886" s="176"/>
      <c r="C1886" s="176"/>
      <c r="D1886" s="176"/>
      <c r="E1886" s="176"/>
      <c r="F1886" s="176"/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76"/>
      <c r="T1886" s="176"/>
      <c r="U1886" s="176"/>
      <c r="V1886" s="176"/>
      <c r="W1886" s="176"/>
      <c r="X1886" s="176"/>
      <c r="Y1886" s="176"/>
    </row>
    <row r="1887" spans="1:25">
      <c r="A1887" s="91"/>
      <c r="B1887" s="176"/>
      <c r="C1887" s="176"/>
      <c r="D1887" s="176"/>
      <c r="E1887" s="176"/>
      <c r="F1887" s="176"/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76"/>
      <c r="T1887" s="176"/>
      <c r="U1887" s="176"/>
      <c r="V1887" s="176"/>
      <c r="W1887" s="176"/>
      <c r="X1887" s="176"/>
      <c r="Y1887" s="176"/>
    </row>
    <row r="1888" spans="1:25">
      <c r="A1888" s="91"/>
      <c r="B1888" s="176"/>
      <c r="C1888" s="176"/>
      <c r="D1888" s="176"/>
      <c r="E1888" s="176"/>
      <c r="F1888" s="176"/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76"/>
      <c r="T1888" s="176"/>
      <c r="U1888" s="176"/>
      <c r="V1888" s="176"/>
      <c r="W1888" s="176"/>
      <c r="X1888" s="176"/>
      <c r="Y1888" s="176"/>
    </row>
    <row r="1889" spans="1:25">
      <c r="A1889" s="91"/>
      <c r="B1889" s="176"/>
      <c r="C1889" s="176"/>
      <c r="D1889" s="176"/>
      <c r="E1889" s="176"/>
      <c r="F1889" s="176"/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76"/>
      <c r="T1889" s="176"/>
      <c r="U1889" s="176"/>
      <c r="V1889" s="176"/>
      <c r="W1889" s="176"/>
      <c r="X1889" s="176"/>
      <c r="Y1889" s="176"/>
    </row>
    <row r="1890" spans="1:25">
      <c r="A1890" s="91"/>
      <c r="B1890" s="176"/>
      <c r="C1890" s="176"/>
      <c r="D1890" s="176"/>
      <c r="E1890" s="176"/>
      <c r="F1890" s="176"/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76"/>
      <c r="T1890" s="176"/>
      <c r="U1890" s="176"/>
      <c r="V1890" s="176"/>
      <c r="W1890" s="176"/>
      <c r="X1890" s="176"/>
      <c r="Y1890" s="176"/>
    </row>
    <row r="1891" spans="1:25">
      <c r="A1891" s="91"/>
      <c r="B1891" s="176"/>
      <c r="C1891" s="176"/>
      <c r="D1891" s="176"/>
      <c r="E1891" s="176"/>
      <c r="F1891" s="176"/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76"/>
      <c r="T1891" s="176"/>
      <c r="U1891" s="176"/>
      <c r="V1891" s="176"/>
      <c r="W1891" s="176"/>
      <c r="X1891" s="176"/>
      <c r="Y1891" s="176"/>
    </row>
    <row r="1892" spans="1:25">
      <c r="A1892" s="91"/>
      <c r="B1892" s="176"/>
      <c r="C1892" s="176"/>
      <c r="D1892" s="176"/>
      <c r="E1892" s="176"/>
      <c r="F1892" s="176"/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76"/>
      <c r="T1892" s="176"/>
      <c r="U1892" s="176"/>
      <c r="V1892" s="176"/>
      <c r="W1892" s="176"/>
      <c r="X1892" s="176"/>
      <c r="Y1892" s="176"/>
    </row>
    <row r="1893" spans="1:25">
      <c r="A1893" s="91"/>
      <c r="B1893" s="176"/>
      <c r="C1893" s="176"/>
      <c r="D1893" s="176"/>
      <c r="E1893" s="176"/>
      <c r="F1893" s="176"/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76"/>
      <c r="T1893" s="176"/>
      <c r="U1893" s="176"/>
      <c r="V1893" s="176"/>
      <c r="W1893" s="176"/>
      <c r="X1893" s="176"/>
      <c r="Y1893" s="176"/>
    </row>
    <row r="1894" spans="1:25">
      <c r="A1894" s="91"/>
      <c r="B1894" s="176"/>
      <c r="C1894" s="176"/>
      <c r="D1894" s="176"/>
      <c r="E1894" s="176"/>
      <c r="F1894" s="176"/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76"/>
      <c r="T1894" s="176"/>
      <c r="U1894" s="176"/>
      <c r="V1894" s="176"/>
      <c r="W1894" s="176"/>
      <c r="X1894" s="176"/>
      <c r="Y1894" s="176"/>
    </row>
    <row r="1895" spans="1:25">
      <c r="A1895" s="91"/>
      <c r="B1895" s="176"/>
      <c r="C1895" s="176"/>
      <c r="D1895" s="176"/>
      <c r="E1895" s="176"/>
      <c r="F1895" s="176"/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76"/>
      <c r="T1895" s="176"/>
      <c r="U1895" s="176"/>
      <c r="V1895" s="176"/>
      <c r="W1895" s="176"/>
      <c r="X1895" s="176"/>
      <c r="Y1895" s="176"/>
    </row>
    <row r="1896" spans="1:25">
      <c r="A1896" s="91"/>
      <c r="B1896" s="176"/>
      <c r="C1896" s="176"/>
      <c r="D1896" s="176"/>
      <c r="E1896" s="176"/>
      <c r="F1896" s="176"/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76"/>
      <c r="T1896" s="176"/>
      <c r="U1896" s="176"/>
      <c r="V1896" s="176"/>
      <c r="W1896" s="176"/>
      <c r="X1896" s="176"/>
      <c r="Y1896" s="176"/>
    </row>
    <row r="1897" spans="1:25">
      <c r="A1897" s="91"/>
      <c r="B1897" s="176"/>
      <c r="C1897" s="176"/>
      <c r="D1897" s="176"/>
      <c r="E1897" s="176"/>
      <c r="F1897" s="176"/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76"/>
      <c r="T1897" s="176"/>
      <c r="U1897" s="176"/>
      <c r="V1897" s="176"/>
      <c r="W1897" s="176"/>
      <c r="X1897" s="176"/>
      <c r="Y1897" s="176"/>
    </row>
    <row r="1898" spans="1:25">
      <c r="A1898" s="91"/>
      <c r="B1898" s="176"/>
      <c r="C1898" s="176"/>
      <c r="D1898" s="176"/>
      <c r="E1898" s="176"/>
      <c r="F1898" s="176"/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76"/>
      <c r="T1898" s="176"/>
      <c r="U1898" s="176"/>
      <c r="V1898" s="176"/>
      <c r="W1898" s="176"/>
      <c r="X1898" s="176"/>
      <c r="Y1898" s="176"/>
    </row>
    <row r="1899" spans="1:25">
      <c r="A1899" s="91"/>
      <c r="B1899" s="176"/>
      <c r="C1899" s="176"/>
      <c r="D1899" s="176"/>
      <c r="E1899" s="176"/>
      <c r="F1899" s="176"/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76"/>
      <c r="T1899" s="176"/>
      <c r="U1899" s="176"/>
      <c r="V1899" s="176"/>
      <c r="W1899" s="176"/>
      <c r="X1899" s="176"/>
      <c r="Y1899" s="176"/>
    </row>
    <row r="1900" spans="1:25">
      <c r="A1900" s="91"/>
      <c r="B1900" s="176"/>
      <c r="C1900" s="176"/>
      <c r="D1900" s="176"/>
      <c r="E1900" s="176"/>
      <c r="F1900" s="176"/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76"/>
      <c r="T1900" s="176"/>
      <c r="U1900" s="176"/>
      <c r="V1900" s="176"/>
      <c r="W1900" s="176"/>
      <c r="X1900" s="176"/>
      <c r="Y1900" s="176"/>
    </row>
    <row r="1901" spans="1:25">
      <c r="A1901" s="91"/>
      <c r="B1901" s="176"/>
      <c r="C1901" s="176"/>
      <c r="D1901" s="176"/>
      <c r="E1901" s="176"/>
      <c r="F1901" s="176"/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76"/>
      <c r="T1901" s="176"/>
      <c r="U1901" s="176"/>
      <c r="V1901" s="176"/>
      <c r="W1901" s="176"/>
      <c r="X1901" s="176"/>
      <c r="Y1901" s="176"/>
    </row>
    <row r="1902" spans="1:25">
      <c r="A1902" s="91"/>
      <c r="B1902" s="176"/>
      <c r="C1902" s="176"/>
      <c r="D1902" s="176"/>
      <c r="E1902" s="176"/>
      <c r="F1902" s="176"/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76"/>
      <c r="T1902" s="176"/>
      <c r="U1902" s="176"/>
      <c r="V1902" s="176"/>
      <c r="W1902" s="176"/>
      <c r="X1902" s="176"/>
      <c r="Y1902" s="176"/>
    </row>
    <row r="1903" spans="1:25">
      <c r="A1903" s="91"/>
      <c r="B1903" s="176"/>
      <c r="C1903" s="176"/>
      <c r="D1903" s="176"/>
      <c r="E1903" s="176"/>
      <c r="F1903" s="176"/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76"/>
      <c r="T1903" s="176"/>
      <c r="U1903" s="176"/>
      <c r="V1903" s="176"/>
      <c r="W1903" s="176"/>
      <c r="X1903" s="176"/>
      <c r="Y1903" s="176"/>
    </row>
    <row r="1904" spans="1:25">
      <c r="A1904" s="91"/>
      <c r="B1904" s="176"/>
      <c r="C1904" s="176"/>
      <c r="D1904" s="176"/>
      <c r="E1904" s="176"/>
      <c r="F1904" s="176"/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76"/>
      <c r="T1904" s="176"/>
      <c r="U1904" s="176"/>
      <c r="V1904" s="176"/>
      <c r="W1904" s="176"/>
      <c r="X1904" s="176"/>
      <c r="Y1904" s="176"/>
    </row>
    <row r="1905" spans="1:25">
      <c r="A1905" s="91"/>
      <c r="B1905" s="176"/>
      <c r="C1905" s="176"/>
      <c r="D1905" s="176"/>
      <c r="E1905" s="176"/>
      <c r="F1905" s="176"/>
      <c r="G1905" s="176"/>
      <c r="H1905" s="176"/>
      <c r="I1905" s="176"/>
      <c r="J1905" s="176"/>
      <c r="K1905" s="176"/>
      <c r="L1905" s="176"/>
      <c r="M1905" s="176"/>
      <c r="N1905" s="176"/>
      <c r="O1905" s="176"/>
      <c r="P1905" s="176"/>
      <c r="Q1905" s="176"/>
      <c r="R1905" s="176"/>
      <c r="S1905" s="176"/>
      <c r="T1905" s="176"/>
      <c r="U1905" s="176"/>
      <c r="V1905" s="176"/>
      <c r="W1905" s="176"/>
      <c r="X1905" s="176"/>
      <c r="Y1905" s="176"/>
    </row>
    <row r="1906" spans="1:25">
      <c r="A1906" s="91"/>
      <c r="B1906" s="176"/>
      <c r="C1906" s="176"/>
      <c r="D1906" s="176"/>
      <c r="E1906" s="176"/>
      <c r="F1906" s="176"/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76"/>
      <c r="T1906" s="176"/>
      <c r="U1906" s="176"/>
      <c r="V1906" s="176"/>
      <c r="W1906" s="176"/>
      <c r="X1906" s="176"/>
      <c r="Y1906" s="176"/>
    </row>
    <row r="1907" spans="1:25">
      <c r="A1907" s="91"/>
      <c r="B1907" s="176"/>
      <c r="C1907" s="176"/>
      <c r="D1907" s="176"/>
      <c r="E1907" s="176"/>
      <c r="F1907" s="176"/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76"/>
      <c r="T1907" s="176"/>
      <c r="U1907" s="176"/>
      <c r="V1907" s="176"/>
      <c r="W1907" s="176"/>
      <c r="X1907" s="176"/>
      <c r="Y1907" s="176"/>
    </row>
    <row r="1908" spans="1:25">
      <c r="A1908" s="91"/>
      <c r="B1908" s="176"/>
      <c r="C1908" s="176"/>
      <c r="D1908" s="176"/>
      <c r="E1908" s="176"/>
      <c r="F1908" s="176"/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76"/>
      <c r="T1908" s="176"/>
      <c r="U1908" s="176"/>
      <c r="V1908" s="176"/>
      <c r="W1908" s="176"/>
      <c r="X1908" s="176"/>
      <c r="Y1908" s="176"/>
    </row>
    <row r="1909" spans="1:25">
      <c r="A1909" s="91"/>
      <c r="B1909" s="176"/>
      <c r="C1909" s="176"/>
      <c r="D1909" s="176"/>
      <c r="E1909" s="176"/>
      <c r="F1909" s="176"/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76"/>
      <c r="T1909" s="176"/>
      <c r="U1909" s="176"/>
      <c r="V1909" s="176"/>
      <c r="W1909" s="176"/>
      <c r="X1909" s="176"/>
      <c r="Y1909" s="176"/>
    </row>
    <row r="1910" spans="1:25">
      <c r="A1910" s="91"/>
      <c r="B1910" s="176"/>
      <c r="C1910" s="176"/>
      <c r="D1910" s="176"/>
      <c r="E1910" s="176"/>
      <c r="F1910" s="176"/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76"/>
      <c r="T1910" s="176"/>
      <c r="U1910" s="176"/>
      <c r="V1910" s="176"/>
      <c r="W1910" s="176"/>
      <c r="X1910" s="176"/>
      <c r="Y1910" s="176"/>
    </row>
    <row r="1911" spans="1:25">
      <c r="A1911" s="91"/>
      <c r="B1911" s="176"/>
      <c r="C1911" s="176"/>
      <c r="D1911" s="176"/>
      <c r="E1911" s="176"/>
      <c r="F1911" s="176"/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76"/>
      <c r="T1911" s="176"/>
      <c r="U1911" s="176"/>
      <c r="V1911" s="176"/>
      <c r="W1911" s="176"/>
      <c r="X1911" s="176"/>
      <c r="Y1911" s="176"/>
    </row>
    <row r="1912" spans="1:25">
      <c r="A1912" s="91"/>
      <c r="B1912" s="176"/>
      <c r="C1912" s="176"/>
      <c r="D1912" s="176"/>
      <c r="E1912" s="176"/>
      <c r="F1912" s="176"/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76"/>
      <c r="T1912" s="176"/>
      <c r="U1912" s="176"/>
      <c r="V1912" s="176"/>
      <c r="W1912" s="176"/>
      <c r="X1912" s="176"/>
      <c r="Y1912" s="176"/>
    </row>
    <row r="1913" spans="1:25">
      <c r="A1913" s="91"/>
      <c r="B1913" s="176"/>
      <c r="C1913" s="176"/>
      <c r="D1913" s="176"/>
      <c r="E1913" s="176"/>
      <c r="F1913" s="176"/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76"/>
      <c r="T1913" s="176"/>
      <c r="U1913" s="176"/>
      <c r="V1913" s="176"/>
      <c r="W1913" s="176"/>
      <c r="X1913" s="176"/>
      <c r="Y1913" s="176"/>
    </row>
    <row r="1914" spans="1:25">
      <c r="A1914" s="91"/>
      <c r="B1914" s="176"/>
      <c r="C1914" s="176"/>
      <c r="D1914" s="176"/>
      <c r="E1914" s="176"/>
      <c r="F1914" s="176"/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176"/>
    </row>
    <row r="1915" spans="1:25">
      <c r="A1915" s="91"/>
      <c r="B1915" s="176"/>
      <c r="C1915" s="176"/>
      <c r="D1915" s="176"/>
      <c r="E1915" s="176"/>
      <c r="F1915" s="176"/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76"/>
      <c r="T1915" s="176"/>
      <c r="U1915" s="176"/>
      <c r="V1915" s="176"/>
      <c r="W1915" s="176"/>
      <c r="X1915" s="176"/>
      <c r="Y1915" s="176"/>
    </row>
    <row r="1916" spans="1:25">
      <c r="A1916" s="91"/>
      <c r="B1916" s="176"/>
      <c r="C1916" s="176"/>
      <c r="D1916" s="176"/>
      <c r="E1916" s="176"/>
      <c r="F1916" s="176"/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76"/>
      <c r="T1916" s="176"/>
      <c r="U1916" s="176"/>
      <c r="V1916" s="176"/>
      <c r="W1916" s="176"/>
      <c r="X1916" s="176"/>
      <c r="Y1916" s="176"/>
    </row>
    <row r="1917" spans="1:25">
      <c r="A1917" s="91"/>
      <c r="B1917" s="176"/>
      <c r="C1917" s="176"/>
      <c r="D1917" s="176"/>
      <c r="E1917" s="176"/>
      <c r="F1917" s="176"/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76"/>
      <c r="T1917" s="176"/>
      <c r="U1917" s="176"/>
      <c r="V1917" s="176"/>
      <c r="W1917" s="176"/>
      <c r="X1917" s="176"/>
      <c r="Y1917" s="176"/>
    </row>
    <row r="1918" spans="1:25">
      <c r="A1918" s="91"/>
      <c r="B1918" s="176"/>
      <c r="C1918" s="176"/>
      <c r="D1918" s="176"/>
      <c r="E1918" s="176"/>
      <c r="F1918" s="176"/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76"/>
      <c r="T1918" s="176"/>
      <c r="U1918" s="176"/>
      <c r="V1918" s="176"/>
      <c r="W1918" s="176"/>
      <c r="X1918" s="176"/>
      <c r="Y1918" s="176"/>
    </row>
    <row r="1919" spans="1:25">
      <c r="A1919" s="91"/>
      <c r="B1919" s="176"/>
      <c r="C1919" s="176"/>
      <c r="D1919" s="176"/>
      <c r="E1919" s="176"/>
      <c r="F1919" s="176"/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76"/>
      <c r="T1919" s="176"/>
      <c r="U1919" s="176"/>
      <c r="V1919" s="176"/>
      <c r="W1919" s="176"/>
      <c r="X1919" s="176"/>
      <c r="Y1919" s="176"/>
    </row>
    <row r="1920" spans="1:25">
      <c r="A1920" s="91"/>
      <c r="B1920" s="176"/>
      <c r="C1920" s="176"/>
      <c r="D1920" s="176"/>
      <c r="E1920" s="176"/>
      <c r="F1920" s="176"/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76"/>
      <c r="T1920" s="176"/>
      <c r="U1920" s="176"/>
      <c r="V1920" s="176"/>
      <c r="W1920" s="176"/>
      <c r="X1920" s="176"/>
      <c r="Y1920" s="176"/>
    </row>
    <row r="1921" spans="1:25">
      <c r="A1921" s="91"/>
      <c r="B1921" s="176"/>
      <c r="C1921" s="176"/>
      <c r="D1921" s="176"/>
      <c r="E1921" s="176"/>
      <c r="F1921" s="176"/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76"/>
      <c r="T1921" s="176"/>
      <c r="U1921" s="176"/>
      <c r="V1921" s="176"/>
      <c r="W1921" s="176"/>
      <c r="X1921" s="176"/>
      <c r="Y1921" s="176"/>
    </row>
    <row r="1922" spans="1:25">
      <c r="A1922" s="91"/>
      <c r="B1922" s="176"/>
      <c r="C1922" s="176"/>
      <c r="D1922" s="176"/>
      <c r="E1922" s="176"/>
      <c r="F1922" s="176"/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76"/>
      <c r="T1922" s="176"/>
      <c r="U1922" s="176"/>
      <c r="V1922" s="176"/>
      <c r="W1922" s="176"/>
      <c r="X1922" s="176"/>
      <c r="Y1922" s="176"/>
    </row>
    <row r="1923" spans="1:25">
      <c r="A1923" s="91"/>
      <c r="B1923" s="176"/>
      <c r="C1923" s="176"/>
      <c r="D1923" s="176"/>
      <c r="E1923" s="176"/>
      <c r="F1923" s="176"/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76"/>
      <c r="T1923" s="176"/>
      <c r="U1923" s="176"/>
      <c r="V1923" s="176"/>
      <c r="W1923" s="176"/>
      <c r="X1923" s="176"/>
      <c r="Y1923" s="176"/>
    </row>
    <row r="1924" spans="1:25">
      <c r="A1924" s="91"/>
      <c r="B1924" s="176"/>
      <c r="C1924" s="176"/>
      <c r="D1924" s="176"/>
      <c r="E1924" s="176"/>
      <c r="F1924" s="176"/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76"/>
      <c r="T1924" s="176"/>
      <c r="U1924" s="176"/>
      <c r="V1924" s="176"/>
      <c r="W1924" s="176"/>
      <c r="X1924" s="176"/>
      <c r="Y1924" s="176"/>
    </row>
    <row r="1925" spans="1:25">
      <c r="A1925" s="91"/>
      <c r="B1925" s="176"/>
      <c r="C1925" s="176"/>
      <c r="D1925" s="176"/>
      <c r="E1925" s="176"/>
      <c r="F1925" s="176"/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76"/>
      <c r="T1925" s="176"/>
      <c r="U1925" s="176"/>
      <c r="V1925" s="176"/>
      <c r="W1925" s="176"/>
      <c r="X1925" s="176"/>
      <c r="Y1925" s="176"/>
    </row>
    <row r="1926" spans="1:25">
      <c r="A1926" s="91"/>
      <c r="B1926" s="176"/>
      <c r="C1926" s="176"/>
      <c r="D1926" s="176"/>
      <c r="E1926" s="176"/>
      <c r="F1926" s="176"/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76"/>
      <c r="T1926" s="176"/>
      <c r="U1926" s="176"/>
      <c r="V1926" s="176"/>
      <c r="W1926" s="176"/>
      <c r="X1926" s="176"/>
      <c r="Y1926" s="176"/>
    </row>
    <row r="1927" spans="1:25">
      <c r="A1927" s="91"/>
      <c r="B1927" s="176"/>
      <c r="C1927" s="176"/>
      <c r="D1927" s="176"/>
      <c r="E1927" s="176"/>
      <c r="F1927" s="176"/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76"/>
      <c r="T1927" s="176"/>
      <c r="U1927" s="176"/>
      <c r="V1927" s="176"/>
      <c r="W1927" s="176"/>
      <c r="X1927" s="176"/>
      <c r="Y1927" s="176"/>
    </row>
    <row r="1928" spans="1:25">
      <c r="A1928" s="91"/>
      <c r="B1928" s="176"/>
      <c r="C1928" s="176"/>
      <c r="D1928" s="176"/>
      <c r="E1928" s="176"/>
      <c r="F1928" s="176"/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76"/>
      <c r="T1928" s="176"/>
      <c r="U1928" s="176"/>
      <c r="V1928" s="176"/>
      <c r="W1928" s="176"/>
      <c r="X1928" s="176"/>
      <c r="Y1928" s="176"/>
    </row>
    <row r="1929" spans="1:25">
      <c r="A1929" s="91"/>
      <c r="B1929" s="176"/>
      <c r="C1929" s="176"/>
      <c r="D1929" s="176"/>
      <c r="E1929" s="176"/>
      <c r="F1929" s="176"/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76"/>
      <c r="T1929" s="176"/>
      <c r="U1929" s="176"/>
      <c r="V1929" s="176"/>
      <c r="W1929" s="176"/>
      <c r="X1929" s="176"/>
      <c r="Y1929" s="176"/>
    </row>
    <row r="1930" spans="1:25">
      <c r="A1930" s="91"/>
      <c r="B1930" s="176"/>
      <c r="C1930" s="176"/>
      <c r="D1930" s="176"/>
      <c r="E1930" s="176"/>
      <c r="F1930" s="176"/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76"/>
      <c r="T1930" s="176"/>
      <c r="U1930" s="176"/>
      <c r="V1930" s="176"/>
      <c r="W1930" s="176"/>
      <c r="X1930" s="176"/>
      <c r="Y1930" s="176"/>
    </row>
    <row r="1931" spans="1:25">
      <c r="A1931" s="91"/>
      <c r="B1931" s="176"/>
      <c r="C1931" s="176"/>
      <c r="D1931" s="176"/>
      <c r="E1931" s="176"/>
      <c r="F1931" s="176"/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76"/>
      <c r="T1931" s="176"/>
      <c r="U1931" s="176"/>
      <c r="V1931" s="176"/>
      <c r="W1931" s="176"/>
      <c r="X1931" s="176"/>
      <c r="Y1931" s="176"/>
    </row>
    <row r="1932" spans="1:25">
      <c r="A1932" s="91"/>
      <c r="B1932" s="176"/>
      <c r="C1932" s="176"/>
      <c r="D1932" s="176"/>
      <c r="E1932" s="176"/>
      <c r="F1932" s="176"/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76"/>
      <c r="T1932" s="176"/>
      <c r="U1932" s="176"/>
      <c r="V1932" s="176"/>
      <c r="W1932" s="176"/>
      <c r="X1932" s="176"/>
      <c r="Y1932" s="176"/>
    </row>
    <row r="1933" spans="1:25">
      <c r="A1933" s="91"/>
      <c r="B1933" s="176"/>
      <c r="C1933" s="176"/>
      <c r="D1933" s="176"/>
      <c r="E1933" s="176"/>
      <c r="F1933" s="176"/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76"/>
      <c r="T1933" s="176"/>
      <c r="U1933" s="176"/>
      <c r="V1933" s="176"/>
      <c r="W1933" s="176"/>
      <c r="X1933" s="176"/>
      <c r="Y1933" s="176"/>
    </row>
    <row r="1934" spans="1:25">
      <c r="A1934" s="91"/>
      <c r="B1934" s="176"/>
      <c r="C1934" s="176"/>
      <c r="D1934" s="176"/>
      <c r="E1934" s="176"/>
      <c r="F1934" s="176"/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76"/>
      <c r="T1934" s="176"/>
      <c r="U1934" s="176"/>
      <c r="V1934" s="176"/>
      <c r="W1934" s="176"/>
      <c r="X1934" s="176"/>
      <c r="Y1934" s="176"/>
    </row>
    <row r="1935" spans="1:25">
      <c r="A1935" s="91"/>
      <c r="B1935" s="176"/>
      <c r="C1935" s="176"/>
      <c r="D1935" s="176"/>
      <c r="E1935" s="176"/>
      <c r="F1935" s="176"/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76"/>
      <c r="T1935" s="176"/>
      <c r="U1935" s="176"/>
      <c r="V1935" s="176"/>
      <c r="W1935" s="176"/>
      <c r="X1935" s="176"/>
      <c r="Y1935" s="176"/>
    </row>
    <row r="1936" spans="1:25">
      <c r="A1936" s="91"/>
      <c r="B1936" s="176"/>
      <c r="C1936" s="176"/>
      <c r="D1936" s="176"/>
      <c r="E1936" s="176"/>
      <c r="F1936" s="176"/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76"/>
      <c r="T1936" s="176"/>
      <c r="U1936" s="176"/>
      <c r="V1936" s="176"/>
      <c r="W1936" s="176"/>
      <c r="X1936" s="176"/>
      <c r="Y1936" s="176"/>
    </row>
    <row r="1937" spans="1:25">
      <c r="A1937" s="91"/>
      <c r="B1937" s="176"/>
      <c r="C1937" s="176"/>
      <c r="D1937" s="176"/>
      <c r="E1937" s="176"/>
      <c r="F1937" s="176"/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76"/>
      <c r="T1937" s="176"/>
      <c r="U1937" s="176"/>
      <c r="V1937" s="176"/>
      <c r="W1937" s="176"/>
      <c r="X1937" s="176"/>
      <c r="Y1937" s="176"/>
    </row>
    <row r="1938" spans="1:25">
      <c r="A1938" s="91"/>
      <c r="B1938" s="176"/>
      <c r="C1938" s="176"/>
      <c r="D1938" s="176"/>
      <c r="E1938" s="176"/>
      <c r="F1938" s="176"/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76"/>
      <c r="T1938" s="176"/>
      <c r="U1938" s="176"/>
      <c r="V1938" s="176"/>
      <c r="W1938" s="176"/>
      <c r="X1938" s="176"/>
      <c r="Y1938" s="176"/>
    </row>
    <row r="1939" spans="1:25">
      <c r="A1939" s="91"/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</row>
    <row r="1940" spans="1:25">
      <c r="A1940" s="91"/>
      <c r="B1940" s="176"/>
      <c r="C1940" s="176"/>
      <c r="D1940" s="176"/>
      <c r="E1940" s="176"/>
      <c r="F1940" s="176"/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76"/>
      <c r="T1940" s="176"/>
      <c r="U1940" s="176"/>
      <c r="V1940" s="176"/>
      <c r="W1940" s="176"/>
      <c r="X1940" s="176"/>
      <c r="Y1940" s="176"/>
    </row>
    <row r="1941" spans="1:25">
      <c r="A1941" s="91"/>
      <c r="B1941" s="176"/>
      <c r="C1941" s="176"/>
      <c r="D1941" s="176"/>
      <c r="E1941" s="176"/>
      <c r="F1941" s="176"/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76"/>
      <c r="T1941" s="176"/>
      <c r="U1941" s="176"/>
      <c r="V1941" s="176"/>
      <c r="W1941" s="176"/>
      <c r="X1941" s="176"/>
      <c r="Y1941" s="176"/>
    </row>
    <row r="1942" spans="1:25">
      <c r="A1942" s="91"/>
      <c r="B1942" s="176"/>
      <c r="C1942" s="176"/>
      <c r="D1942" s="176"/>
      <c r="E1942" s="176"/>
      <c r="F1942" s="176"/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76"/>
      <c r="T1942" s="176"/>
      <c r="U1942" s="176"/>
      <c r="V1942" s="176"/>
      <c r="W1942" s="176"/>
      <c r="X1942" s="176"/>
      <c r="Y1942" s="176"/>
    </row>
    <row r="1943" spans="1:25">
      <c r="A1943" s="91"/>
      <c r="B1943" s="176"/>
      <c r="C1943" s="176"/>
      <c r="D1943" s="176"/>
      <c r="E1943" s="176"/>
      <c r="F1943" s="176"/>
      <c r="G1943" s="176"/>
      <c r="H1943" s="176"/>
      <c r="I1943" s="176"/>
      <c r="J1943" s="176"/>
      <c r="K1943" s="176"/>
      <c r="L1943" s="176"/>
      <c r="M1943" s="176"/>
      <c r="N1943" s="176"/>
      <c r="O1943" s="176"/>
      <c r="P1943" s="176"/>
      <c r="Q1943" s="176"/>
      <c r="R1943" s="176"/>
      <c r="S1943" s="176"/>
      <c r="T1943" s="176"/>
      <c r="U1943" s="176"/>
      <c r="V1943" s="176"/>
      <c r="W1943" s="176"/>
      <c r="X1943" s="176"/>
      <c r="Y1943" s="176"/>
    </row>
    <row r="1944" spans="1:25">
      <c r="A1944" s="91"/>
      <c r="B1944" s="176"/>
      <c r="C1944" s="176"/>
      <c r="D1944" s="176"/>
      <c r="E1944" s="176"/>
      <c r="F1944" s="176"/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76"/>
      <c r="T1944" s="176"/>
      <c r="U1944" s="176"/>
      <c r="V1944" s="176"/>
      <c r="W1944" s="176"/>
      <c r="X1944" s="176"/>
      <c r="Y1944" s="176"/>
    </row>
    <row r="1945" spans="1:25">
      <c r="A1945" s="91"/>
      <c r="B1945" s="176"/>
      <c r="C1945" s="176"/>
      <c r="D1945" s="176"/>
      <c r="E1945" s="176"/>
      <c r="F1945" s="176"/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76"/>
      <c r="T1945" s="176"/>
      <c r="U1945" s="176"/>
      <c r="V1945" s="176"/>
      <c r="W1945" s="176"/>
      <c r="X1945" s="176"/>
      <c r="Y1945" s="176"/>
    </row>
    <row r="1946" spans="1:25">
      <c r="A1946" s="91"/>
      <c r="B1946" s="176"/>
      <c r="C1946" s="176"/>
      <c r="D1946" s="176"/>
      <c r="E1946" s="176"/>
      <c r="F1946" s="176"/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76"/>
      <c r="T1946" s="176"/>
      <c r="U1946" s="176"/>
      <c r="V1946" s="176"/>
      <c r="W1946" s="176"/>
      <c r="X1946" s="176"/>
      <c r="Y1946" s="176"/>
    </row>
    <row r="1947" spans="1:25">
      <c r="A1947" s="91"/>
      <c r="B1947" s="176"/>
      <c r="C1947" s="176"/>
      <c r="D1947" s="176"/>
      <c r="E1947" s="176"/>
      <c r="F1947" s="176"/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76"/>
      <c r="T1947" s="176"/>
      <c r="U1947" s="176"/>
      <c r="V1947" s="176"/>
      <c r="W1947" s="176"/>
      <c r="X1947" s="176"/>
      <c r="Y1947" s="176"/>
    </row>
    <row r="1948" spans="1:25">
      <c r="A1948" s="91"/>
      <c r="B1948" s="176"/>
      <c r="C1948" s="176"/>
      <c r="D1948" s="176"/>
      <c r="E1948" s="176"/>
      <c r="F1948" s="176"/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76"/>
      <c r="T1948" s="176"/>
      <c r="U1948" s="176"/>
      <c r="V1948" s="176"/>
      <c r="W1948" s="176"/>
      <c r="X1948" s="176"/>
      <c r="Y1948" s="176"/>
    </row>
    <row r="1949" spans="1:25">
      <c r="A1949" s="91"/>
      <c r="B1949" s="176"/>
      <c r="C1949" s="176"/>
      <c r="D1949" s="176"/>
      <c r="E1949" s="176"/>
      <c r="F1949" s="176"/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76"/>
      <c r="T1949" s="176"/>
      <c r="U1949" s="176"/>
      <c r="V1949" s="176"/>
      <c r="W1949" s="176"/>
      <c r="X1949" s="176"/>
      <c r="Y1949" s="176"/>
    </row>
    <row r="1950" spans="1:25">
      <c r="A1950" s="91"/>
      <c r="B1950" s="176"/>
      <c r="C1950" s="176"/>
      <c r="D1950" s="176"/>
      <c r="E1950" s="176"/>
      <c r="F1950" s="176"/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76"/>
      <c r="T1950" s="176"/>
      <c r="U1950" s="176"/>
      <c r="V1950" s="176"/>
      <c r="W1950" s="176"/>
      <c r="X1950" s="176"/>
      <c r="Y1950" s="176"/>
    </row>
    <row r="1951" spans="1:25">
      <c r="A1951" s="91"/>
      <c r="B1951" s="176"/>
      <c r="C1951" s="176"/>
      <c r="D1951" s="176"/>
      <c r="E1951" s="176"/>
      <c r="F1951" s="176"/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76"/>
      <c r="T1951" s="176"/>
      <c r="U1951" s="176"/>
      <c r="V1951" s="176"/>
      <c r="W1951" s="176"/>
      <c r="X1951" s="176"/>
      <c r="Y1951" s="176"/>
    </row>
    <row r="1952" spans="1:25">
      <c r="A1952" s="91"/>
      <c r="B1952" s="176"/>
      <c r="C1952" s="176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76"/>
      <c r="T1952" s="176"/>
      <c r="U1952" s="176"/>
      <c r="V1952" s="176"/>
      <c r="W1952" s="176"/>
      <c r="X1952" s="176"/>
      <c r="Y1952" s="176"/>
    </row>
    <row r="1953" spans="1:25">
      <c r="A1953" s="91"/>
      <c r="B1953" s="176"/>
      <c r="C1953" s="176"/>
      <c r="D1953" s="176"/>
      <c r="E1953" s="176"/>
      <c r="F1953" s="176"/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76"/>
      <c r="T1953" s="176"/>
      <c r="U1953" s="176"/>
      <c r="V1953" s="176"/>
      <c r="W1953" s="176"/>
      <c r="X1953" s="176"/>
      <c r="Y1953" s="176"/>
    </row>
    <row r="1954" spans="1:25">
      <c r="A1954" s="91"/>
      <c r="B1954" s="176"/>
      <c r="C1954" s="176"/>
      <c r="D1954" s="176"/>
      <c r="E1954" s="176"/>
      <c r="F1954" s="176"/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76"/>
      <c r="T1954" s="176"/>
      <c r="U1954" s="176"/>
      <c r="V1954" s="176"/>
      <c r="W1954" s="176"/>
      <c r="X1954" s="176"/>
      <c r="Y1954" s="176"/>
    </row>
    <row r="1955" spans="1:25">
      <c r="A1955" s="91"/>
      <c r="B1955" s="176"/>
      <c r="C1955" s="176"/>
      <c r="D1955" s="176"/>
      <c r="E1955" s="176"/>
      <c r="F1955" s="176"/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76"/>
      <c r="T1955" s="176"/>
      <c r="U1955" s="176"/>
      <c r="V1955" s="176"/>
      <c r="W1955" s="176"/>
      <c r="X1955" s="176"/>
      <c r="Y1955" s="176"/>
    </row>
    <row r="1956" spans="1:25">
      <c r="A1956" s="91"/>
      <c r="B1956" s="176"/>
      <c r="C1956" s="176"/>
      <c r="D1956" s="176"/>
      <c r="E1956" s="176"/>
      <c r="F1956" s="176"/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76"/>
      <c r="T1956" s="176"/>
      <c r="U1956" s="176"/>
      <c r="V1956" s="176"/>
      <c r="W1956" s="176"/>
      <c r="X1956" s="176"/>
      <c r="Y1956" s="176"/>
    </row>
    <row r="1957" spans="1:25">
      <c r="A1957" s="91"/>
      <c r="B1957" s="176"/>
      <c r="C1957" s="176"/>
      <c r="D1957" s="176"/>
      <c r="E1957" s="176"/>
      <c r="F1957" s="176"/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76"/>
      <c r="T1957" s="176"/>
      <c r="U1957" s="176"/>
      <c r="V1957" s="176"/>
      <c r="W1957" s="176"/>
      <c r="X1957" s="176"/>
      <c r="Y1957" s="176"/>
    </row>
    <row r="1958" spans="1:25">
      <c r="A1958" s="91"/>
      <c r="B1958" s="176"/>
      <c r="C1958" s="176"/>
      <c r="D1958" s="176"/>
      <c r="E1958" s="176"/>
      <c r="F1958" s="176"/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76"/>
      <c r="T1958" s="176"/>
      <c r="U1958" s="176"/>
      <c r="V1958" s="176"/>
      <c r="W1958" s="176"/>
      <c r="X1958" s="176"/>
      <c r="Y1958" s="176"/>
    </row>
    <row r="1959" spans="1:25">
      <c r="A1959" s="91"/>
      <c r="B1959" s="176"/>
      <c r="C1959" s="176"/>
      <c r="D1959" s="176"/>
      <c r="E1959" s="176"/>
      <c r="F1959" s="176"/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76"/>
      <c r="T1959" s="176"/>
      <c r="U1959" s="176"/>
      <c r="V1959" s="176"/>
      <c r="W1959" s="176"/>
      <c r="X1959" s="176"/>
      <c r="Y1959" s="176"/>
    </row>
    <row r="1960" spans="1:25">
      <c r="A1960" s="91"/>
      <c r="B1960" s="176"/>
      <c r="C1960" s="176"/>
      <c r="D1960" s="176"/>
      <c r="E1960" s="176"/>
      <c r="F1960" s="176"/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76"/>
      <c r="T1960" s="176"/>
      <c r="U1960" s="176"/>
      <c r="V1960" s="176"/>
      <c r="W1960" s="176"/>
      <c r="X1960" s="176"/>
      <c r="Y1960" s="176"/>
    </row>
    <row r="1961" spans="1:25">
      <c r="A1961" s="91"/>
      <c r="B1961" s="176"/>
      <c r="C1961" s="176"/>
      <c r="D1961" s="176"/>
      <c r="E1961" s="176"/>
      <c r="F1961" s="176"/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76"/>
      <c r="T1961" s="176"/>
      <c r="U1961" s="176"/>
      <c r="V1961" s="176"/>
      <c r="W1961" s="176"/>
      <c r="X1961" s="176"/>
      <c r="Y1961" s="176"/>
    </row>
    <row r="1962" spans="1:25">
      <c r="A1962" s="91"/>
      <c r="B1962" s="176"/>
      <c r="C1962" s="176"/>
      <c r="D1962" s="176"/>
      <c r="E1962" s="176"/>
      <c r="F1962" s="176"/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76"/>
      <c r="T1962" s="176"/>
      <c r="U1962" s="176"/>
      <c r="V1962" s="176"/>
      <c r="W1962" s="176"/>
      <c r="X1962" s="176"/>
      <c r="Y1962" s="176"/>
    </row>
    <row r="1963" spans="1:25">
      <c r="A1963" s="91"/>
      <c r="B1963" s="176"/>
      <c r="C1963" s="176"/>
      <c r="D1963" s="176"/>
      <c r="E1963" s="176"/>
      <c r="F1963" s="176"/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76"/>
      <c r="T1963" s="176"/>
      <c r="U1963" s="176"/>
      <c r="V1963" s="176"/>
      <c r="W1963" s="176"/>
      <c r="X1963" s="176"/>
      <c r="Y1963" s="176"/>
    </row>
    <row r="1964" spans="1:25">
      <c r="A1964" s="91"/>
      <c r="B1964" s="176"/>
      <c r="C1964" s="176"/>
      <c r="D1964" s="176"/>
      <c r="E1964" s="176"/>
      <c r="F1964" s="176"/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76"/>
      <c r="T1964" s="176"/>
      <c r="U1964" s="176"/>
      <c r="V1964" s="176"/>
      <c r="W1964" s="176"/>
      <c r="X1964" s="176"/>
      <c r="Y1964" s="176"/>
    </row>
    <row r="1965" spans="1:25">
      <c r="A1965" s="91"/>
      <c r="B1965" s="176"/>
      <c r="C1965" s="176"/>
      <c r="D1965" s="176"/>
      <c r="E1965" s="176"/>
      <c r="F1965" s="176"/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76"/>
      <c r="T1965" s="176"/>
      <c r="U1965" s="176"/>
      <c r="V1965" s="176"/>
      <c r="W1965" s="176"/>
      <c r="X1965" s="176"/>
      <c r="Y1965" s="176"/>
    </row>
    <row r="1966" spans="1:25">
      <c r="A1966" s="91"/>
      <c r="B1966" s="176"/>
      <c r="C1966" s="176"/>
      <c r="D1966" s="176"/>
      <c r="E1966" s="176"/>
      <c r="F1966" s="176"/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76"/>
      <c r="T1966" s="176"/>
      <c r="U1966" s="176"/>
      <c r="V1966" s="176"/>
      <c r="W1966" s="176"/>
      <c r="X1966" s="176"/>
      <c r="Y1966" s="176"/>
    </row>
    <row r="1967" spans="1:25">
      <c r="A1967" s="91"/>
      <c r="B1967" s="176"/>
      <c r="C1967" s="176"/>
      <c r="D1967" s="176"/>
      <c r="E1967" s="176"/>
      <c r="F1967" s="176"/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76"/>
      <c r="T1967" s="176"/>
      <c r="U1967" s="176"/>
      <c r="V1967" s="176"/>
      <c r="W1967" s="176"/>
      <c r="X1967" s="176"/>
      <c r="Y1967" s="176"/>
    </row>
    <row r="1968" spans="1:25">
      <c r="A1968" s="91"/>
      <c r="B1968" s="176"/>
      <c r="C1968" s="176"/>
      <c r="D1968" s="176"/>
      <c r="E1968" s="176"/>
      <c r="F1968" s="176"/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76"/>
      <c r="T1968" s="176"/>
      <c r="U1968" s="176"/>
      <c r="V1968" s="176"/>
      <c r="W1968" s="176"/>
      <c r="X1968" s="176"/>
      <c r="Y1968" s="176"/>
    </row>
    <row r="1969" spans="1:25">
      <c r="A1969" s="91"/>
      <c r="B1969" s="176"/>
      <c r="C1969" s="176"/>
      <c r="D1969" s="176"/>
      <c r="E1969" s="176"/>
      <c r="F1969" s="176"/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76"/>
      <c r="T1969" s="176"/>
      <c r="U1969" s="176"/>
      <c r="V1969" s="176"/>
      <c r="W1969" s="176"/>
      <c r="X1969" s="176"/>
      <c r="Y1969" s="176"/>
    </row>
    <row r="1970" spans="1:25">
      <c r="A1970" s="91"/>
      <c r="B1970" s="176"/>
      <c r="C1970" s="176"/>
      <c r="D1970" s="176"/>
      <c r="E1970" s="176"/>
      <c r="F1970" s="176"/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76"/>
      <c r="T1970" s="176"/>
      <c r="U1970" s="176"/>
      <c r="V1970" s="176"/>
      <c r="W1970" s="176"/>
      <c r="X1970" s="176"/>
      <c r="Y1970" s="176"/>
    </row>
    <row r="1971" spans="1:25">
      <c r="A1971" s="91"/>
      <c r="B1971" s="176"/>
      <c r="C1971" s="176"/>
      <c r="D1971" s="176"/>
      <c r="E1971" s="176"/>
      <c r="F1971" s="176"/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76"/>
      <c r="T1971" s="176"/>
      <c r="U1971" s="176"/>
      <c r="V1971" s="176"/>
      <c r="W1971" s="176"/>
      <c r="X1971" s="176"/>
      <c r="Y1971" s="176"/>
    </row>
    <row r="1972" spans="1:25">
      <c r="A1972" s="91"/>
      <c r="B1972" s="176"/>
      <c r="C1972" s="176"/>
      <c r="D1972" s="176"/>
      <c r="E1972" s="176"/>
      <c r="F1972" s="176"/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76"/>
      <c r="T1972" s="176"/>
      <c r="U1972" s="176"/>
      <c r="V1972" s="176"/>
      <c r="W1972" s="176"/>
      <c r="X1972" s="176"/>
      <c r="Y1972" s="176"/>
    </row>
    <row r="1973" spans="1:25">
      <c r="A1973" s="91"/>
      <c r="B1973" s="176"/>
      <c r="C1973" s="176"/>
      <c r="D1973" s="176"/>
      <c r="E1973" s="176"/>
      <c r="F1973" s="176"/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76"/>
      <c r="T1973" s="176"/>
      <c r="U1973" s="176"/>
      <c r="V1973" s="176"/>
      <c r="W1973" s="176"/>
      <c r="X1973" s="176"/>
      <c r="Y1973" s="176"/>
    </row>
    <row r="1974" spans="1:25">
      <c r="A1974" s="91"/>
      <c r="B1974" s="176"/>
      <c r="C1974" s="176"/>
      <c r="D1974" s="176"/>
      <c r="E1974" s="176"/>
      <c r="F1974" s="176"/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76"/>
      <c r="T1974" s="176"/>
      <c r="U1974" s="176"/>
      <c r="V1974" s="176"/>
      <c r="W1974" s="176"/>
      <c r="X1974" s="176"/>
      <c r="Y1974" s="176"/>
    </row>
    <row r="1975" spans="1:25">
      <c r="A1975" s="91"/>
      <c r="B1975" s="176"/>
      <c r="C1975" s="176"/>
      <c r="D1975" s="176"/>
      <c r="E1975" s="176"/>
      <c r="F1975" s="176"/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76"/>
      <c r="T1975" s="176"/>
      <c r="U1975" s="176"/>
      <c r="V1975" s="176"/>
      <c r="W1975" s="176"/>
      <c r="X1975" s="176"/>
      <c r="Y1975" s="176"/>
    </row>
    <row r="1976" spans="1:25">
      <c r="A1976" s="91"/>
      <c r="B1976" s="176"/>
      <c r="C1976" s="176"/>
      <c r="D1976" s="176"/>
      <c r="E1976" s="176"/>
      <c r="F1976" s="176"/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76"/>
      <c r="T1976" s="176"/>
      <c r="U1976" s="176"/>
      <c r="V1976" s="176"/>
      <c r="W1976" s="176"/>
      <c r="X1976" s="176"/>
      <c r="Y1976" s="176"/>
    </row>
    <row r="1977" spans="1:25">
      <c r="A1977" s="91"/>
      <c r="B1977" s="176"/>
      <c r="C1977" s="176"/>
      <c r="D1977" s="176"/>
      <c r="E1977" s="176"/>
      <c r="F1977" s="176"/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76"/>
      <c r="T1977" s="176"/>
      <c r="U1977" s="176"/>
      <c r="V1977" s="176"/>
      <c r="W1977" s="176"/>
      <c r="X1977" s="176"/>
      <c r="Y1977" s="176"/>
    </row>
    <row r="1978" spans="1:25">
      <c r="A1978" s="91"/>
      <c r="B1978" s="176"/>
      <c r="C1978" s="176"/>
      <c r="D1978" s="176"/>
      <c r="E1978" s="176"/>
      <c r="F1978" s="176"/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76"/>
      <c r="T1978" s="176"/>
      <c r="U1978" s="176"/>
      <c r="V1978" s="176"/>
      <c r="W1978" s="176"/>
      <c r="X1978" s="176"/>
      <c r="Y1978" s="176"/>
    </row>
    <row r="1979" spans="1:25">
      <c r="A1979" s="91"/>
      <c r="B1979" s="176"/>
      <c r="C1979" s="176"/>
      <c r="D1979" s="176"/>
      <c r="E1979" s="176"/>
      <c r="F1979" s="176"/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76"/>
      <c r="T1979" s="176"/>
      <c r="U1979" s="176"/>
      <c r="V1979" s="176"/>
      <c r="W1979" s="176"/>
      <c r="X1979" s="176"/>
      <c r="Y1979" s="176"/>
    </row>
    <row r="1980" spans="1:25">
      <c r="A1980" s="91"/>
      <c r="B1980" s="176"/>
      <c r="C1980" s="176"/>
      <c r="D1980" s="176"/>
      <c r="E1980" s="176"/>
      <c r="F1980" s="176"/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76"/>
      <c r="T1980" s="176"/>
      <c r="U1980" s="176"/>
      <c r="V1980" s="176"/>
      <c r="W1980" s="176"/>
      <c r="X1980" s="176"/>
      <c r="Y1980" s="176"/>
    </row>
    <row r="1981" spans="1:25">
      <c r="A1981" s="91"/>
      <c r="B1981" s="176"/>
      <c r="C1981" s="176"/>
      <c r="D1981" s="176"/>
      <c r="E1981" s="176"/>
      <c r="F1981" s="176"/>
      <c r="G1981" s="176"/>
      <c r="H1981" s="176"/>
      <c r="I1981" s="176"/>
      <c r="J1981" s="176"/>
      <c r="K1981" s="176"/>
      <c r="L1981" s="176"/>
      <c r="M1981" s="176"/>
      <c r="N1981" s="176"/>
      <c r="O1981" s="176"/>
      <c r="P1981" s="176"/>
      <c r="Q1981" s="176"/>
      <c r="R1981" s="176"/>
      <c r="S1981" s="176"/>
      <c r="T1981" s="176"/>
      <c r="U1981" s="176"/>
      <c r="V1981" s="176"/>
      <c r="W1981" s="176"/>
      <c r="X1981" s="176"/>
      <c r="Y1981" s="176"/>
    </row>
    <row r="1982" spans="1:25">
      <c r="A1982" s="91"/>
      <c r="B1982" s="176"/>
      <c r="C1982" s="176"/>
      <c r="D1982" s="176"/>
      <c r="E1982" s="176"/>
      <c r="F1982" s="176"/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76"/>
      <c r="T1982" s="176"/>
      <c r="U1982" s="176"/>
      <c r="V1982" s="176"/>
      <c r="W1982" s="176"/>
      <c r="X1982" s="176"/>
      <c r="Y1982" s="176"/>
    </row>
    <row r="1983" spans="1:25">
      <c r="A1983" s="91"/>
      <c r="B1983" s="176"/>
      <c r="C1983" s="176"/>
      <c r="D1983" s="176"/>
      <c r="E1983" s="176"/>
      <c r="F1983" s="176"/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76"/>
      <c r="T1983" s="176"/>
      <c r="U1983" s="176"/>
      <c r="V1983" s="176"/>
      <c r="W1983" s="176"/>
      <c r="X1983" s="176"/>
      <c r="Y1983" s="176"/>
    </row>
    <row r="1984" spans="1:25">
      <c r="A1984" s="91"/>
      <c r="B1984" s="176"/>
      <c r="C1984" s="176"/>
      <c r="D1984" s="176"/>
      <c r="E1984" s="176"/>
      <c r="F1984" s="176"/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76"/>
      <c r="T1984" s="176"/>
      <c r="U1984" s="176"/>
      <c r="V1984" s="176"/>
      <c r="W1984" s="176"/>
      <c r="X1984" s="176"/>
      <c r="Y1984" s="176"/>
    </row>
    <row r="1985" spans="1:25">
      <c r="A1985" s="91"/>
      <c r="B1985" s="176"/>
      <c r="C1985" s="176"/>
      <c r="D1985" s="176"/>
      <c r="E1985" s="176"/>
      <c r="F1985" s="176"/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76"/>
      <c r="T1985" s="176"/>
      <c r="U1985" s="176"/>
      <c r="V1985" s="176"/>
      <c r="W1985" s="176"/>
      <c r="X1985" s="176"/>
      <c r="Y1985" s="176"/>
    </row>
    <row r="1986" spans="1:25">
      <c r="A1986" s="91"/>
      <c r="B1986" s="176"/>
      <c r="C1986" s="176"/>
      <c r="D1986" s="176"/>
      <c r="E1986" s="176"/>
      <c r="F1986" s="176"/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76"/>
      <c r="T1986" s="176"/>
      <c r="U1986" s="176"/>
      <c r="V1986" s="176"/>
      <c r="W1986" s="176"/>
      <c r="X1986" s="176"/>
      <c r="Y1986" s="176"/>
    </row>
    <row r="1987" spans="1:25">
      <c r="A1987" s="91"/>
      <c r="B1987" s="176"/>
      <c r="C1987" s="176"/>
      <c r="D1987" s="176"/>
      <c r="E1987" s="176"/>
      <c r="F1987" s="176"/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76"/>
      <c r="T1987" s="176"/>
      <c r="U1987" s="176"/>
      <c r="V1987" s="176"/>
      <c r="W1987" s="176"/>
      <c r="X1987" s="176"/>
      <c r="Y1987" s="176"/>
    </row>
    <row r="1988" spans="1:25">
      <c r="A1988" s="91"/>
      <c r="B1988" s="176"/>
      <c r="C1988" s="176"/>
      <c r="D1988" s="176"/>
      <c r="E1988" s="176"/>
      <c r="F1988" s="176"/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76"/>
      <c r="T1988" s="176"/>
      <c r="U1988" s="176"/>
      <c r="V1988" s="176"/>
      <c r="W1988" s="176"/>
      <c r="X1988" s="176"/>
      <c r="Y1988" s="176"/>
    </row>
    <row r="1989" spans="1:25">
      <c r="A1989" s="91"/>
      <c r="B1989" s="176"/>
      <c r="C1989" s="176"/>
      <c r="D1989" s="176"/>
      <c r="E1989" s="176"/>
      <c r="F1989" s="176"/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76"/>
      <c r="T1989" s="176"/>
      <c r="U1989" s="176"/>
      <c r="V1989" s="176"/>
      <c r="W1989" s="176"/>
      <c r="X1989" s="176"/>
      <c r="Y1989" s="176"/>
    </row>
    <row r="1990" spans="1:25">
      <c r="A1990" s="91"/>
      <c r="B1990" s="176"/>
      <c r="C1990" s="176"/>
      <c r="D1990" s="176"/>
      <c r="E1990" s="176"/>
      <c r="F1990" s="176"/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76"/>
      <c r="T1990" s="176"/>
      <c r="U1990" s="176"/>
      <c r="V1990" s="176"/>
      <c r="W1990" s="176"/>
      <c r="X1990" s="176"/>
      <c r="Y1990" s="176"/>
    </row>
    <row r="1991" spans="1:25">
      <c r="A1991" s="91"/>
      <c r="B1991" s="176"/>
      <c r="C1991" s="176"/>
      <c r="D1991" s="176"/>
      <c r="E1991" s="176"/>
      <c r="F1991" s="176"/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76"/>
      <c r="T1991" s="176"/>
      <c r="U1991" s="176"/>
      <c r="V1991" s="176"/>
      <c r="W1991" s="176"/>
      <c r="X1991" s="176"/>
      <c r="Y1991" s="176"/>
    </row>
    <row r="1992" spans="1:25">
      <c r="A1992" s="91"/>
      <c r="B1992" s="176"/>
      <c r="C1992" s="176"/>
      <c r="D1992" s="176"/>
      <c r="E1992" s="176"/>
      <c r="F1992" s="176"/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76"/>
      <c r="T1992" s="176"/>
      <c r="U1992" s="176"/>
      <c r="V1992" s="176"/>
      <c r="W1992" s="176"/>
      <c r="X1992" s="176"/>
      <c r="Y1992" s="176"/>
    </row>
    <row r="1993" spans="1:25">
      <c r="A1993" s="91"/>
      <c r="B1993" s="176"/>
      <c r="C1993" s="176"/>
      <c r="D1993" s="176"/>
      <c r="E1993" s="176"/>
      <c r="F1993" s="176"/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76"/>
      <c r="T1993" s="176"/>
      <c r="U1993" s="176"/>
      <c r="V1993" s="176"/>
      <c r="W1993" s="176"/>
      <c r="X1993" s="176"/>
      <c r="Y1993" s="176"/>
    </row>
    <row r="1994" spans="1:25">
      <c r="A1994" s="91"/>
      <c r="B1994" s="176"/>
      <c r="C1994" s="176"/>
      <c r="D1994" s="176"/>
      <c r="E1994" s="176"/>
      <c r="F1994" s="176"/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76"/>
      <c r="T1994" s="176"/>
      <c r="U1994" s="176"/>
      <c r="V1994" s="176"/>
      <c r="W1994" s="176"/>
      <c r="X1994" s="176"/>
      <c r="Y1994" s="176"/>
    </row>
    <row r="1995" spans="1:25">
      <c r="A1995" s="91"/>
      <c r="B1995" s="176"/>
      <c r="C1995" s="176"/>
      <c r="D1995" s="176"/>
      <c r="E1995" s="176"/>
      <c r="F1995" s="176"/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76"/>
      <c r="T1995" s="176"/>
      <c r="U1995" s="176"/>
      <c r="V1995" s="176"/>
      <c r="W1995" s="176"/>
      <c r="X1995" s="176"/>
      <c r="Y1995" s="176"/>
    </row>
    <row r="1996" spans="1:25">
      <c r="A1996" s="91"/>
      <c r="B1996" s="176"/>
      <c r="C1996" s="176"/>
      <c r="D1996" s="176"/>
      <c r="E1996" s="176"/>
      <c r="F1996" s="176"/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76"/>
      <c r="T1996" s="176"/>
      <c r="U1996" s="176"/>
      <c r="V1996" s="176"/>
      <c r="W1996" s="176"/>
      <c r="X1996" s="176"/>
      <c r="Y1996" s="176"/>
    </row>
    <row r="1997" spans="1:25">
      <c r="A1997" s="91"/>
      <c r="B1997" s="176"/>
      <c r="C1997" s="176"/>
      <c r="D1997" s="176"/>
      <c r="E1997" s="176"/>
      <c r="F1997" s="176"/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76"/>
      <c r="T1997" s="176"/>
      <c r="U1997" s="176"/>
      <c r="V1997" s="176"/>
      <c r="W1997" s="176"/>
      <c r="X1997" s="176"/>
      <c r="Y1997" s="176"/>
    </row>
    <row r="1998" spans="1:25">
      <c r="A1998" s="91"/>
      <c r="B1998" s="176"/>
      <c r="C1998" s="176"/>
      <c r="D1998" s="176"/>
      <c r="E1998" s="176"/>
      <c r="F1998" s="176"/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76"/>
      <c r="T1998" s="176"/>
      <c r="U1998" s="176"/>
      <c r="V1998" s="176"/>
      <c r="W1998" s="176"/>
      <c r="X1998" s="176"/>
      <c r="Y1998" s="176"/>
    </row>
    <row r="1999" spans="1:25">
      <c r="A1999" s="91"/>
      <c r="B1999" s="176"/>
      <c r="C1999" s="176"/>
      <c r="D1999" s="176"/>
      <c r="E1999" s="176"/>
      <c r="F1999" s="176"/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76"/>
      <c r="T1999" s="176"/>
      <c r="U1999" s="176"/>
      <c r="V1999" s="176"/>
      <c r="W1999" s="176"/>
      <c r="X1999" s="176"/>
      <c r="Y1999" s="176"/>
    </row>
    <row r="2000" spans="1:25">
      <c r="A2000" s="91"/>
      <c r="B2000" s="176"/>
      <c r="C2000" s="176"/>
      <c r="D2000" s="176"/>
      <c r="E2000" s="176"/>
      <c r="F2000" s="176"/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76"/>
      <c r="T2000" s="176"/>
      <c r="U2000" s="176"/>
      <c r="V2000" s="176"/>
      <c r="W2000" s="176"/>
      <c r="X2000" s="176"/>
      <c r="Y2000" s="176"/>
    </row>
    <row r="2001" spans="1:25">
      <c r="A2001" s="91"/>
      <c r="B2001" s="176"/>
      <c r="C2001" s="176"/>
      <c r="D2001" s="176"/>
      <c r="E2001" s="176"/>
      <c r="F2001" s="176"/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76"/>
      <c r="T2001" s="176"/>
      <c r="U2001" s="176"/>
      <c r="V2001" s="176"/>
      <c r="W2001" s="176"/>
      <c r="X2001" s="176"/>
      <c r="Y2001" s="176"/>
    </row>
    <row r="2002" spans="1:25">
      <c r="A2002" s="91"/>
      <c r="B2002" s="176"/>
      <c r="C2002" s="176"/>
      <c r="D2002" s="176"/>
      <c r="E2002" s="176"/>
      <c r="F2002" s="176"/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76"/>
      <c r="T2002" s="176"/>
      <c r="U2002" s="176"/>
      <c r="V2002" s="176"/>
      <c r="W2002" s="176"/>
      <c r="X2002" s="176"/>
      <c r="Y2002" s="176"/>
    </row>
    <row r="2003" spans="1:25">
      <c r="A2003" s="91"/>
      <c r="B2003" s="176"/>
      <c r="C2003" s="176"/>
      <c r="D2003" s="176"/>
      <c r="E2003" s="176"/>
      <c r="F2003" s="176"/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76"/>
      <c r="T2003" s="176"/>
      <c r="U2003" s="176"/>
      <c r="V2003" s="176"/>
      <c r="W2003" s="176"/>
      <c r="X2003" s="176"/>
      <c r="Y2003" s="176"/>
    </row>
    <row r="2004" spans="1:25">
      <c r="A2004" s="91"/>
      <c r="B2004" s="176"/>
      <c r="C2004" s="176"/>
      <c r="D2004" s="176"/>
      <c r="E2004" s="176"/>
      <c r="F2004" s="176"/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76"/>
      <c r="T2004" s="176"/>
      <c r="U2004" s="176"/>
      <c r="V2004" s="176"/>
      <c r="W2004" s="176"/>
      <c r="X2004" s="176"/>
      <c r="Y2004" s="176"/>
    </row>
    <row r="2005" spans="1:25">
      <c r="A2005" s="91"/>
      <c r="B2005" s="176"/>
      <c r="C2005" s="176"/>
      <c r="D2005" s="176"/>
      <c r="E2005" s="176"/>
      <c r="F2005" s="176"/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76"/>
      <c r="T2005" s="176"/>
      <c r="U2005" s="176"/>
      <c r="V2005" s="176"/>
      <c r="W2005" s="176"/>
      <c r="X2005" s="176"/>
      <c r="Y2005" s="176"/>
    </row>
    <row r="2006" spans="1:25">
      <c r="A2006" s="91"/>
      <c r="B2006" s="176"/>
      <c r="C2006" s="176"/>
      <c r="D2006" s="176"/>
      <c r="E2006" s="176"/>
      <c r="F2006" s="176"/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76"/>
      <c r="T2006" s="176"/>
      <c r="U2006" s="176"/>
      <c r="V2006" s="176"/>
      <c r="W2006" s="176"/>
      <c r="X2006" s="176"/>
      <c r="Y2006" s="176"/>
    </row>
    <row r="2007" spans="1:25">
      <c r="A2007" s="91"/>
      <c r="B2007" s="176"/>
      <c r="C2007" s="176"/>
      <c r="D2007" s="176"/>
      <c r="E2007" s="176"/>
      <c r="F2007" s="176"/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76"/>
      <c r="T2007" s="176"/>
      <c r="U2007" s="176"/>
      <c r="V2007" s="176"/>
      <c r="W2007" s="176"/>
      <c r="X2007" s="176"/>
      <c r="Y2007" s="176"/>
    </row>
    <row r="2008" spans="1:25">
      <c r="A2008" s="91"/>
      <c r="B2008" s="176"/>
      <c r="C2008" s="176"/>
      <c r="D2008" s="176"/>
      <c r="E2008" s="176"/>
      <c r="F2008" s="176"/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76"/>
      <c r="T2008" s="176"/>
      <c r="U2008" s="176"/>
      <c r="V2008" s="176"/>
      <c r="W2008" s="176"/>
      <c r="X2008" s="176"/>
      <c r="Y2008" s="176"/>
    </row>
    <row r="2009" spans="1:25">
      <c r="A2009" s="91"/>
      <c r="B2009" s="176"/>
      <c r="C2009" s="176"/>
      <c r="D2009" s="176"/>
      <c r="E2009" s="176"/>
      <c r="F2009" s="176"/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76"/>
      <c r="T2009" s="176"/>
      <c r="U2009" s="176"/>
      <c r="V2009" s="176"/>
      <c r="W2009" s="176"/>
      <c r="X2009" s="176"/>
      <c r="Y2009" s="176"/>
    </row>
    <row r="2010" spans="1:25">
      <c r="A2010" s="91"/>
      <c r="B2010" s="176"/>
      <c r="C2010" s="176"/>
      <c r="D2010" s="176"/>
      <c r="E2010" s="176"/>
      <c r="F2010" s="176"/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76"/>
      <c r="T2010" s="176"/>
      <c r="U2010" s="176"/>
      <c r="V2010" s="176"/>
      <c r="W2010" s="176"/>
      <c r="X2010" s="176"/>
      <c r="Y2010" s="176"/>
    </row>
    <row r="2011" spans="1:25">
      <c r="A2011" s="91"/>
      <c r="B2011" s="176"/>
      <c r="C2011" s="176"/>
      <c r="D2011" s="176"/>
      <c r="E2011" s="176"/>
      <c r="F2011" s="176"/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76"/>
      <c r="T2011" s="176"/>
      <c r="U2011" s="176"/>
      <c r="V2011" s="176"/>
      <c r="W2011" s="176"/>
      <c r="X2011" s="176"/>
      <c r="Y2011" s="176"/>
    </row>
    <row r="2012" spans="1:25">
      <c r="A2012" s="91"/>
      <c r="B2012" s="176"/>
      <c r="C2012" s="176"/>
      <c r="D2012" s="176"/>
      <c r="E2012" s="176"/>
      <c r="F2012" s="176"/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76"/>
      <c r="T2012" s="176"/>
      <c r="U2012" s="176"/>
      <c r="V2012" s="176"/>
      <c r="W2012" s="176"/>
      <c r="X2012" s="176"/>
      <c r="Y2012" s="176"/>
    </row>
    <row r="2013" spans="1:25">
      <c r="A2013" s="91"/>
      <c r="B2013" s="176"/>
      <c r="C2013" s="176"/>
      <c r="D2013" s="176"/>
      <c r="E2013" s="176"/>
      <c r="F2013" s="176"/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76"/>
      <c r="T2013" s="176"/>
      <c r="U2013" s="176"/>
      <c r="V2013" s="176"/>
      <c r="W2013" s="176"/>
      <c r="X2013" s="176"/>
      <c r="Y2013" s="176"/>
    </row>
    <row r="2014" spans="1:25">
      <c r="A2014" s="91"/>
      <c r="B2014" s="176"/>
      <c r="C2014" s="176"/>
      <c r="D2014" s="176"/>
      <c r="E2014" s="176"/>
      <c r="F2014" s="176"/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76"/>
      <c r="T2014" s="176"/>
      <c r="U2014" s="176"/>
      <c r="V2014" s="176"/>
      <c r="W2014" s="176"/>
      <c r="X2014" s="176"/>
      <c r="Y2014" s="176"/>
    </row>
    <row r="2015" spans="1:25">
      <c r="A2015" s="91"/>
      <c r="B2015" s="176"/>
      <c r="C2015" s="176"/>
      <c r="D2015" s="176"/>
      <c r="E2015" s="176"/>
      <c r="F2015" s="176"/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76"/>
      <c r="T2015" s="176"/>
      <c r="U2015" s="176"/>
      <c r="V2015" s="176"/>
      <c r="W2015" s="176"/>
      <c r="X2015" s="176"/>
      <c r="Y2015" s="176"/>
    </row>
    <row r="2016" spans="1:25">
      <c r="A2016" s="91"/>
      <c r="B2016" s="176"/>
      <c r="C2016" s="176"/>
      <c r="D2016" s="176"/>
      <c r="E2016" s="176"/>
      <c r="F2016" s="176"/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76"/>
      <c r="T2016" s="176"/>
      <c r="U2016" s="176"/>
      <c r="V2016" s="176"/>
      <c r="W2016" s="176"/>
      <c r="X2016" s="176"/>
      <c r="Y2016" s="176"/>
    </row>
    <row r="2017" spans="1:25">
      <c r="A2017" s="91"/>
      <c r="B2017" s="176"/>
      <c r="C2017" s="176"/>
      <c r="D2017" s="176"/>
      <c r="E2017" s="176"/>
      <c r="F2017" s="176"/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76"/>
      <c r="T2017" s="176"/>
      <c r="U2017" s="176"/>
      <c r="V2017" s="176"/>
      <c r="W2017" s="176"/>
      <c r="X2017" s="176"/>
      <c r="Y2017" s="176"/>
    </row>
    <row r="2018" spans="1:25">
      <c r="A2018" s="91"/>
      <c r="B2018" s="176"/>
      <c r="C2018" s="176"/>
      <c r="D2018" s="176"/>
      <c r="E2018" s="176"/>
      <c r="F2018" s="176"/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76"/>
      <c r="T2018" s="176"/>
      <c r="U2018" s="176"/>
      <c r="V2018" s="176"/>
      <c r="W2018" s="176"/>
      <c r="X2018" s="176"/>
      <c r="Y2018" s="176"/>
    </row>
    <row r="2019" spans="1:25">
      <c r="A2019" s="91"/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</row>
    <row r="2020" spans="1:25">
      <c r="A2020" s="91"/>
      <c r="B2020" s="176"/>
      <c r="C2020" s="176"/>
      <c r="D2020" s="176"/>
      <c r="E2020" s="176"/>
      <c r="F2020" s="176"/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76"/>
      <c r="T2020" s="176"/>
      <c r="U2020" s="176"/>
      <c r="V2020" s="176"/>
      <c r="W2020" s="176"/>
      <c r="X2020" s="176"/>
      <c r="Y2020" s="176"/>
    </row>
    <row r="2021" spans="1:25">
      <c r="A2021" s="91"/>
      <c r="B2021" s="176"/>
      <c r="C2021" s="176"/>
      <c r="D2021" s="176"/>
      <c r="E2021" s="176"/>
      <c r="F2021" s="176"/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76"/>
      <c r="T2021" s="176"/>
      <c r="U2021" s="176"/>
      <c r="V2021" s="176"/>
      <c r="W2021" s="176"/>
      <c r="X2021" s="176"/>
      <c r="Y2021" s="176"/>
    </row>
    <row r="2022" spans="1:25">
      <c r="A2022" s="91"/>
      <c r="B2022" s="176"/>
      <c r="C2022" s="176"/>
      <c r="D2022" s="176"/>
      <c r="E2022" s="176"/>
      <c r="F2022" s="176"/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76"/>
      <c r="T2022" s="176"/>
      <c r="U2022" s="176"/>
      <c r="V2022" s="176"/>
      <c r="W2022" s="176"/>
      <c r="X2022" s="176"/>
      <c r="Y2022" s="176"/>
    </row>
    <row r="2023" spans="1:25">
      <c r="A2023" s="91"/>
      <c r="B2023" s="176"/>
      <c r="C2023" s="176"/>
      <c r="D2023" s="176"/>
      <c r="E2023" s="176"/>
      <c r="F2023" s="176"/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76"/>
      <c r="T2023" s="176"/>
      <c r="U2023" s="176"/>
      <c r="V2023" s="176"/>
      <c r="W2023" s="176"/>
      <c r="X2023" s="176"/>
      <c r="Y2023" s="176"/>
    </row>
    <row r="2024" spans="1:25">
      <c r="A2024" s="91"/>
      <c r="B2024" s="176"/>
      <c r="C2024" s="176"/>
      <c r="D2024" s="176"/>
      <c r="E2024" s="176"/>
      <c r="F2024" s="176"/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76"/>
      <c r="T2024" s="176"/>
      <c r="U2024" s="176"/>
      <c r="V2024" s="176"/>
      <c r="W2024" s="176"/>
      <c r="X2024" s="176"/>
      <c r="Y2024" s="176"/>
    </row>
    <row r="2025" spans="1:25">
      <c r="A2025" s="91"/>
      <c r="B2025" s="176"/>
      <c r="C2025" s="176"/>
      <c r="D2025" s="176"/>
      <c r="E2025" s="176"/>
      <c r="F2025" s="176"/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76"/>
      <c r="T2025" s="176"/>
      <c r="U2025" s="176"/>
      <c r="V2025" s="176"/>
      <c r="W2025" s="176"/>
      <c r="X2025" s="176"/>
      <c r="Y2025" s="176"/>
    </row>
    <row r="2026" spans="1:25">
      <c r="A2026" s="91"/>
      <c r="B2026" s="176"/>
      <c r="C2026" s="176"/>
      <c r="D2026" s="176"/>
      <c r="E2026" s="176"/>
      <c r="F2026" s="176"/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76"/>
      <c r="T2026" s="176"/>
      <c r="U2026" s="176"/>
      <c r="V2026" s="176"/>
      <c r="W2026" s="176"/>
      <c r="X2026" s="176"/>
      <c r="Y2026" s="176"/>
    </row>
    <row r="2027" spans="1:25">
      <c r="A2027" s="91"/>
      <c r="B2027" s="176"/>
      <c r="C2027" s="176"/>
      <c r="D2027" s="176"/>
      <c r="E2027" s="176"/>
      <c r="F2027" s="176"/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76"/>
      <c r="T2027" s="176"/>
      <c r="U2027" s="176"/>
      <c r="V2027" s="176"/>
      <c r="W2027" s="176"/>
      <c r="X2027" s="176"/>
      <c r="Y2027" s="176"/>
    </row>
    <row r="2028" spans="1:25">
      <c r="A2028" s="91"/>
      <c r="B2028" s="176"/>
      <c r="C2028" s="176"/>
      <c r="D2028" s="176"/>
      <c r="E2028" s="176"/>
      <c r="F2028" s="176"/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76"/>
      <c r="T2028" s="176"/>
      <c r="U2028" s="176"/>
      <c r="V2028" s="176"/>
      <c r="W2028" s="176"/>
      <c r="X2028" s="176"/>
      <c r="Y2028" s="176"/>
    </row>
    <row r="2029" spans="1:25">
      <c r="A2029" s="91"/>
      <c r="B2029" s="176"/>
      <c r="C2029" s="176"/>
      <c r="D2029" s="176"/>
      <c r="E2029" s="176"/>
      <c r="F2029" s="176"/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76"/>
      <c r="T2029" s="176"/>
      <c r="U2029" s="176"/>
      <c r="V2029" s="176"/>
      <c r="W2029" s="176"/>
      <c r="X2029" s="176"/>
      <c r="Y2029" s="176"/>
    </row>
    <row r="2030" spans="1:25">
      <c r="A2030" s="91"/>
      <c r="B2030" s="176"/>
      <c r="C2030" s="176"/>
      <c r="D2030" s="176"/>
      <c r="E2030" s="176"/>
      <c r="F2030" s="176"/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76"/>
      <c r="T2030" s="176"/>
      <c r="U2030" s="176"/>
      <c r="V2030" s="176"/>
      <c r="W2030" s="176"/>
      <c r="X2030" s="176"/>
      <c r="Y2030" s="176"/>
    </row>
    <row r="2031" spans="1:25">
      <c r="A2031" s="91"/>
      <c r="B2031" s="176"/>
      <c r="C2031" s="176"/>
      <c r="D2031" s="176"/>
      <c r="E2031" s="176"/>
      <c r="F2031" s="176"/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76"/>
      <c r="T2031" s="176"/>
      <c r="U2031" s="176"/>
      <c r="V2031" s="176"/>
      <c r="W2031" s="176"/>
      <c r="X2031" s="176"/>
      <c r="Y2031" s="176"/>
    </row>
    <row r="2032" spans="1:25">
      <c r="A2032" s="91"/>
      <c r="B2032" s="176"/>
      <c r="C2032" s="176"/>
      <c r="D2032" s="176"/>
      <c r="E2032" s="176"/>
      <c r="F2032" s="176"/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76"/>
      <c r="T2032" s="176"/>
      <c r="U2032" s="176"/>
      <c r="V2032" s="176"/>
      <c r="W2032" s="176"/>
      <c r="X2032" s="176"/>
      <c r="Y2032" s="176"/>
    </row>
    <row r="2033" spans="1:25">
      <c r="A2033" s="91"/>
      <c r="B2033" s="176"/>
      <c r="C2033" s="176"/>
      <c r="D2033" s="176"/>
      <c r="E2033" s="176"/>
      <c r="F2033" s="176"/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76"/>
      <c r="T2033" s="176"/>
      <c r="U2033" s="176"/>
      <c r="V2033" s="176"/>
      <c r="W2033" s="176"/>
      <c r="X2033" s="176"/>
      <c r="Y2033" s="176"/>
    </row>
    <row r="2034" spans="1:25">
      <c r="A2034" s="91"/>
      <c r="B2034" s="176"/>
      <c r="C2034" s="176"/>
      <c r="D2034" s="176"/>
      <c r="E2034" s="176"/>
      <c r="F2034" s="176"/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76"/>
      <c r="T2034" s="176"/>
      <c r="U2034" s="176"/>
      <c r="V2034" s="176"/>
      <c r="W2034" s="176"/>
      <c r="X2034" s="176"/>
      <c r="Y2034" s="176"/>
    </row>
    <row r="2035" spans="1:25">
      <c r="A2035" s="91"/>
      <c r="B2035" s="176"/>
      <c r="C2035" s="176"/>
      <c r="D2035" s="176"/>
      <c r="E2035" s="176"/>
      <c r="F2035" s="176"/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76"/>
      <c r="T2035" s="176"/>
      <c r="U2035" s="176"/>
      <c r="V2035" s="176"/>
      <c r="W2035" s="176"/>
      <c r="X2035" s="176"/>
      <c r="Y2035" s="176"/>
    </row>
    <row r="2036" spans="1:25">
      <c r="A2036" s="91"/>
      <c r="B2036" s="176"/>
      <c r="C2036" s="176"/>
      <c r="D2036" s="176"/>
      <c r="E2036" s="176"/>
      <c r="F2036" s="176"/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76"/>
      <c r="T2036" s="176"/>
      <c r="U2036" s="176"/>
      <c r="V2036" s="176"/>
      <c r="W2036" s="176"/>
      <c r="X2036" s="176"/>
      <c r="Y2036" s="176"/>
    </row>
    <row r="2037" spans="1:25">
      <c r="A2037" s="91"/>
      <c r="B2037" s="176"/>
      <c r="C2037" s="176"/>
      <c r="D2037" s="176"/>
      <c r="E2037" s="176"/>
      <c r="F2037" s="176"/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76"/>
      <c r="T2037" s="176"/>
      <c r="U2037" s="176"/>
      <c r="V2037" s="176"/>
      <c r="W2037" s="176"/>
      <c r="X2037" s="176"/>
      <c r="Y2037" s="176"/>
    </row>
    <row r="2038" spans="1:25">
      <c r="A2038" s="91"/>
      <c r="B2038" s="176"/>
      <c r="C2038" s="176"/>
      <c r="D2038" s="176"/>
      <c r="E2038" s="176"/>
      <c r="F2038" s="176"/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76"/>
      <c r="T2038" s="176"/>
      <c r="U2038" s="176"/>
      <c r="V2038" s="176"/>
      <c r="W2038" s="176"/>
      <c r="X2038" s="176"/>
      <c r="Y2038" s="176"/>
    </row>
    <row r="2039" spans="1:25">
      <c r="A2039" s="91"/>
      <c r="B2039" s="176"/>
      <c r="C2039" s="176"/>
      <c r="D2039" s="176"/>
      <c r="E2039" s="176"/>
      <c r="F2039" s="176"/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76"/>
      <c r="T2039" s="176"/>
      <c r="U2039" s="176"/>
      <c r="V2039" s="176"/>
      <c r="W2039" s="176"/>
      <c r="X2039" s="176"/>
      <c r="Y2039" s="176"/>
    </row>
    <row r="2040" spans="1:25">
      <c r="A2040" s="91"/>
      <c r="B2040" s="176"/>
      <c r="C2040" s="176"/>
      <c r="D2040" s="176"/>
      <c r="E2040" s="176"/>
      <c r="F2040" s="176"/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76"/>
      <c r="T2040" s="176"/>
      <c r="U2040" s="176"/>
      <c r="V2040" s="176"/>
      <c r="W2040" s="176"/>
      <c r="X2040" s="176"/>
      <c r="Y2040" s="176"/>
    </row>
    <row r="2041" spans="1:25">
      <c r="A2041" s="91"/>
      <c r="B2041" s="176"/>
      <c r="C2041" s="176"/>
      <c r="D2041" s="176"/>
      <c r="E2041" s="176"/>
      <c r="F2041" s="176"/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76"/>
      <c r="T2041" s="176"/>
      <c r="U2041" s="176"/>
      <c r="V2041" s="176"/>
      <c r="W2041" s="176"/>
      <c r="X2041" s="176"/>
      <c r="Y2041" s="176"/>
    </row>
    <row r="2042" spans="1:25">
      <c r="A2042" s="91"/>
      <c r="B2042" s="176"/>
      <c r="C2042" s="176"/>
      <c r="D2042" s="176"/>
      <c r="E2042" s="176"/>
      <c r="F2042" s="176"/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76"/>
      <c r="T2042" s="176"/>
      <c r="U2042" s="176"/>
      <c r="V2042" s="176"/>
      <c r="W2042" s="176"/>
      <c r="X2042" s="176"/>
      <c r="Y2042" s="176"/>
    </row>
    <row r="2043" spans="1:25">
      <c r="A2043" s="91"/>
      <c r="B2043" s="176"/>
      <c r="C2043" s="176"/>
      <c r="D2043" s="176"/>
      <c r="E2043" s="176"/>
      <c r="F2043" s="176"/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76"/>
      <c r="T2043" s="176"/>
      <c r="U2043" s="176"/>
      <c r="V2043" s="176"/>
      <c r="W2043" s="176"/>
      <c r="X2043" s="176"/>
      <c r="Y2043" s="176"/>
    </row>
    <row r="2044" spans="1:25">
      <c r="A2044" s="91"/>
      <c r="B2044" s="176"/>
      <c r="C2044" s="176"/>
      <c r="D2044" s="176"/>
      <c r="E2044" s="176"/>
      <c r="F2044" s="176"/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76"/>
      <c r="T2044" s="176"/>
      <c r="U2044" s="176"/>
      <c r="V2044" s="176"/>
      <c r="W2044" s="176"/>
      <c r="X2044" s="176"/>
      <c r="Y2044" s="176"/>
    </row>
    <row r="2045" spans="1:25">
      <c r="A2045" s="91"/>
      <c r="B2045" s="176"/>
      <c r="C2045" s="176"/>
      <c r="D2045" s="176"/>
      <c r="E2045" s="176"/>
      <c r="F2045" s="176"/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76"/>
      <c r="T2045" s="176"/>
      <c r="U2045" s="176"/>
      <c r="V2045" s="176"/>
      <c r="W2045" s="176"/>
      <c r="X2045" s="176"/>
      <c r="Y2045" s="176"/>
    </row>
    <row r="2046" spans="1:25">
      <c r="A2046" s="91"/>
      <c r="B2046" s="176"/>
      <c r="C2046" s="176"/>
      <c r="D2046" s="176"/>
      <c r="E2046" s="176"/>
      <c r="F2046" s="176"/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76"/>
      <c r="T2046" s="176"/>
      <c r="U2046" s="176"/>
      <c r="V2046" s="176"/>
      <c r="W2046" s="176"/>
      <c r="X2046" s="176"/>
      <c r="Y2046" s="176"/>
    </row>
    <row r="2047" spans="1:25">
      <c r="A2047" s="91"/>
      <c r="B2047" s="176"/>
      <c r="C2047" s="176"/>
      <c r="D2047" s="176"/>
      <c r="E2047" s="176"/>
      <c r="F2047" s="176"/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76"/>
      <c r="T2047" s="176"/>
      <c r="U2047" s="176"/>
      <c r="V2047" s="176"/>
      <c r="W2047" s="176"/>
      <c r="X2047" s="176"/>
      <c r="Y2047" s="176"/>
    </row>
    <row r="2048" spans="1:25">
      <c r="A2048" s="91"/>
      <c r="B2048" s="176"/>
      <c r="C2048" s="176"/>
      <c r="D2048" s="176"/>
      <c r="E2048" s="176"/>
      <c r="F2048" s="176"/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76"/>
      <c r="T2048" s="176"/>
      <c r="U2048" s="176"/>
      <c r="V2048" s="176"/>
      <c r="W2048" s="176"/>
      <c r="X2048" s="176"/>
      <c r="Y2048" s="176"/>
    </row>
    <row r="2049" spans="1:25">
      <c r="A2049" s="91"/>
      <c r="B2049" s="176"/>
      <c r="C2049" s="176"/>
      <c r="D2049" s="176"/>
      <c r="E2049" s="176"/>
      <c r="F2049" s="176"/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76"/>
      <c r="T2049" s="176"/>
      <c r="U2049" s="176"/>
      <c r="V2049" s="176"/>
      <c r="W2049" s="176"/>
      <c r="X2049" s="176"/>
      <c r="Y2049" s="176"/>
    </row>
    <row r="2050" spans="1:25">
      <c r="A2050" s="91"/>
      <c r="B2050" s="176"/>
      <c r="C2050" s="176"/>
      <c r="D2050" s="176"/>
      <c r="E2050" s="176"/>
      <c r="F2050" s="176"/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76"/>
      <c r="T2050" s="176"/>
      <c r="U2050" s="176"/>
      <c r="V2050" s="176"/>
      <c r="W2050" s="176"/>
      <c r="X2050" s="176"/>
      <c r="Y2050" s="176"/>
    </row>
    <row r="2051" spans="1:25">
      <c r="A2051" s="91"/>
      <c r="B2051" s="176"/>
      <c r="C2051" s="176"/>
      <c r="D2051" s="176"/>
      <c r="E2051" s="176"/>
      <c r="F2051" s="176"/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76"/>
      <c r="T2051" s="176"/>
      <c r="U2051" s="176"/>
      <c r="V2051" s="176"/>
      <c r="W2051" s="176"/>
      <c r="X2051" s="176"/>
      <c r="Y2051" s="176"/>
    </row>
    <row r="2052" spans="1:25">
      <c r="A2052" s="91"/>
      <c r="B2052" s="176"/>
      <c r="C2052" s="176"/>
      <c r="D2052" s="176"/>
      <c r="E2052" s="176"/>
      <c r="F2052" s="176"/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76"/>
      <c r="T2052" s="176"/>
      <c r="U2052" s="176"/>
      <c r="V2052" s="176"/>
      <c r="W2052" s="176"/>
      <c r="X2052" s="176"/>
      <c r="Y2052" s="176"/>
    </row>
    <row r="2053" spans="1:25">
      <c r="A2053" s="91"/>
      <c r="B2053" s="176"/>
      <c r="C2053" s="176"/>
      <c r="D2053" s="176"/>
      <c r="E2053" s="176"/>
      <c r="F2053" s="176"/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76"/>
      <c r="T2053" s="176"/>
      <c r="U2053" s="176"/>
      <c r="V2053" s="176"/>
      <c r="W2053" s="176"/>
      <c r="X2053" s="176"/>
      <c r="Y2053" s="176"/>
    </row>
    <row r="2054" spans="1:25">
      <c r="A2054" s="91"/>
      <c r="B2054" s="176"/>
      <c r="C2054" s="176"/>
      <c r="D2054" s="176"/>
      <c r="E2054" s="176"/>
      <c r="F2054" s="176"/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76"/>
      <c r="T2054" s="176"/>
      <c r="U2054" s="176"/>
      <c r="V2054" s="176"/>
      <c r="W2054" s="176"/>
      <c r="X2054" s="176"/>
      <c r="Y2054" s="176"/>
    </row>
    <row r="2055" spans="1:25">
      <c r="A2055" s="91"/>
      <c r="B2055" s="176"/>
      <c r="C2055" s="176"/>
      <c r="D2055" s="176"/>
      <c r="E2055" s="176"/>
      <c r="F2055" s="176"/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76"/>
      <c r="T2055" s="176"/>
      <c r="U2055" s="176"/>
      <c r="V2055" s="176"/>
      <c r="W2055" s="176"/>
      <c r="X2055" s="176"/>
      <c r="Y2055" s="176"/>
    </row>
    <row r="2056" spans="1:25">
      <c r="A2056" s="91"/>
      <c r="B2056" s="176"/>
      <c r="C2056" s="176"/>
      <c r="D2056" s="176"/>
      <c r="E2056" s="176"/>
      <c r="F2056" s="176"/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76"/>
      <c r="T2056" s="176"/>
      <c r="U2056" s="176"/>
      <c r="V2056" s="176"/>
      <c r="W2056" s="176"/>
      <c r="X2056" s="176"/>
      <c r="Y2056" s="176"/>
    </row>
    <row r="2057" spans="1:25">
      <c r="A2057" s="91"/>
      <c r="B2057" s="176"/>
      <c r="C2057" s="176"/>
      <c r="D2057" s="176"/>
      <c r="E2057" s="176"/>
      <c r="F2057" s="176"/>
      <c r="G2057" s="176"/>
      <c r="H2057" s="176"/>
      <c r="I2057" s="176"/>
      <c r="J2057" s="176"/>
      <c r="K2057" s="176"/>
      <c r="L2057" s="176"/>
      <c r="M2057" s="176"/>
      <c r="N2057" s="176"/>
      <c r="O2057" s="176"/>
      <c r="P2057" s="176"/>
      <c r="Q2057" s="176"/>
      <c r="R2057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91"/>
      <c r="B2058" s="176"/>
      <c r="C2058" s="176"/>
      <c r="D2058" s="176"/>
      <c r="E2058" s="176"/>
      <c r="F2058" s="176"/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76"/>
      <c r="T2058" s="176"/>
      <c r="U2058" s="176"/>
      <c r="V2058" s="176"/>
      <c r="W2058" s="176"/>
      <c r="X2058" s="176"/>
      <c r="Y2058" s="176"/>
    </row>
    <row r="2059" spans="1:25">
      <c r="A2059" s="91"/>
      <c r="B2059" s="176"/>
      <c r="C2059" s="176"/>
      <c r="D2059" s="176"/>
      <c r="E2059" s="176"/>
      <c r="F2059" s="176"/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76"/>
      <c r="T2059" s="176"/>
      <c r="U2059" s="176"/>
      <c r="V2059" s="176"/>
      <c r="W2059" s="176"/>
      <c r="X2059" s="176"/>
      <c r="Y2059" s="176"/>
    </row>
    <row r="2060" spans="1:25">
      <c r="A2060" s="91"/>
      <c r="B2060" s="176"/>
      <c r="C2060" s="176"/>
      <c r="D2060" s="176"/>
      <c r="E2060" s="176"/>
      <c r="F2060" s="176"/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76"/>
      <c r="T2060" s="176"/>
      <c r="U2060" s="176"/>
      <c r="V2060" s="176"/>
      <c r="W2060" s="176"/>
      <c r="X2060" s="176"/>
      <c r="Y2060" s="176"/>
    </row>
    <row r="2061" spans="1:25">
      <c r="A2061" s="91"/>
      <c r="B2061" s="176"/>
      <c r="C2061" s="176"/>
      <c r="D2061" s="176"/>
      <c r="E2061" s="176"/>
      <c r="F2061" s="176"/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76"/>
      <c r="T2061" s="176"/>
      <c r="U2061" s="176"/>
      <c r="V2061" s="176"/>
      <c r="W2061" s="176"/>
      <c r="X2061" s="176"/>
      <c r="Y2061" s="176"/>
    </row>
    <row r="2062" spans="1:25">
      <c r="A2062" s="91"/>
      <c r="B2062" s="176"/>
      <c r="C2062" s="176"/>
      <c r="D2062" s="176"/>
      <c r="E2062" s="176"/>
      <c r="F2062" s="176"/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76"/>
      <c r="T2062" s="176"/>
      <c r="U2062" s="176"/>
      <c r="V2062" s="176"/>
      <c r="W2062" s="176"/>
      <c r="X2062" s="176"/>
      <c r="Y2062" s="176"/>
    </row>
    <row r="2063" spans="1:25">
      <c r="A2063" s="91"/>
      <c r="B2063" s="176"/>
      <c r="C2063" s="176"/>
      <c r="D2063" s="176"/>
      <c r="E2063" s="176"/>
      <c r="F2063" s="176"/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76"/>
      <c r="T2063" s="176"/>
      <c r="U2063" s="176"/>
      <c r="V2063" s="176"/>
      <c r="W2063" s="176"/>
      <c r="X2063" s="176"/>
      <c r="Y2063" s="176"/>
    </row>
    <row r="2064" spans="1:25">
      <c r="A2064" s="91"/>
      <c r="B2064" s="176"/>
      <c r="C2064" s="176"/>
      <c r="D2064" s="176"/>
      <c r="E2064" s="176"/>
      <c r="F2064" s="176"/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76"/>
      <c r="T2064" s="176"/>
      <c r="U2064" s="176"/>
      <c r="V2064" s="176"/>
      <c r="W2064" s="176"/>
      <c r="X2064" s="176"/>
      <c r="Y2064" s="176"/>
    </row>
    <row r="2065" spans="1:25">
      <c r="A2065" s="91"/>
      <c r="B2065" s="176"/>
      <c r="C2065" s="176"/>
      <c r="D2065" s="176"/>
      <c r="E2065" s="176"/>
      <c r="F2065" s="176"/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76"/>
      <c r="T2065" s="176"/>
      <c r="U2065" s="176"/>
      <c r="V2065" s="176"/>
      <c r="W2065" s="176"/>
      <c r="X2065" s="176"/>
      <c r="Y2065" s="176"/>
    </row>
    <row r="2066" spans="1:25">
      <c r="A2066" s="91"/>
      <c r="B2066" s="176"/>
      <c r="C2066" s="176"/>
      <c r="D2066" s="176"/>
      <c r="E2066" s="176"/>
      <c r="F2066" s="176"/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76"/>
      <c r="T2066" s="176"/>
      <c r="U2066" s="176"/>
      <c r="V2066" s="176"/>
      <c r="W2066" s="176"/>
      <c r="X2066" s="176"/>
      <c r="Y2066" s="176"/>
    </row>
    <row r="2067" spans="1:25">
      <c r="A2067" s="91"/>
      <c r="B2067" s="176"/>
      <c r="C2067" s="176"/>
      <c r="D2067" s="176"/>
      <c r="E2067" s="176"/>
      <c r="F2067" s="176"/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76"/>
      <c r="T2067" s="176"/>
      <c r="U2067" s="176"/>
      <c r="V2067" s="176"/>
      <c r="W2067" s="176"/>
      <c r="X2067" s="176"/>
      <c r="Y2067" s="176"/>
    </row>
    <row r="2068" spans="1:25">
      <c r="A2068" s="91"/>
      <c r="B2068" s="176"/>
      <c r="C2068" s="176"/>
      <c r="D2068" s="176"/>
      <c r="E2068" s="176"/>
      <c r="F2068" s="176"/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76"/>
      <c r="T2068" s="176"/>
      <c r="U2068" s="176"/>
      <c r="V2068" s="176"/>
      <c r="W2068" s="176"/>
      <c r="X2068" s="176"/>
      <c r="Y2068" s="176"/>
    </row>
    <row r="2069" spans="1:25">
      <c r="A2069" s="91"/>
      <c r="B2069" s="176"/>
      <c r="C2069" s="176"/>
      <c r="D2069" s="176"/>
      <c r="E2069" s="176"/>
      <c r="F2069" s="176"/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76"/>
      <c r="T2069" s="176"/>
      <c r="U2069" s="176"/>
      <c r="V2069" s="176"/>
      <c r="W2069" s="176"/>
      <c r="X2069" s="176"/>
      <c r="Y2069" s="176"/>
    </row>
    <row r="2070" spans="1:25">
      <c r="A2070" s="91"/>
      <c r="B2070" s="176"/>
      <c r="C2070" s="176"/>
      <c r="D2070" s="176"/>
      <c r="E2070" s="176"/>
      <c r="F2070" s="176"/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76"/>
      <c r="T2070" s="176"/>
      <c r="U2070" s="176"/>
      <c r="V2070" s="176"/>
      <c r="W2070" s="176"/>
      <c r="X2070" s="176"/>
      <c r="Y2070" s="176"/>
    </row>
    <row r="2071" spans="1:25">
      <c r="A2071" s="91"/>
      <c r="B2071" s="176"/>
      <c r="C2071" s="176"/>
      <c r="D2071" s="176"/>
      <c r="E2071" s="176"/>
      <c r="F2071" s="176"/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76"/>
      <c r="T2071" s="176"/>
      <c r="U2071" s="176"/>
      <c r="V2071" s="176"/>
      <c r="W2071" s="176"/>
      <c r="X2071" s="176"/>
      <c r="Y2071" s="176"/>
    </row>
    <row r="2072" spans="1:25">
      <c r="A2072" s="91"/>
      <c r="B2072" s="176"/>
      <c r="C2072" s="176"/>
      <c r="D2072" s="176"/>
      <c r="E2072" s="176"/>
      <c r="F2072" s="176"/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76"/>
      <c r="T2072" s="176"/>
      <c r="U2072" s="176"/>
      <c r="V2072" s="176"/>
      <c r="W2072" s="176"/>
      <c r="X2072" s="176"/>
      <c r="Y2072" s="176"/>
    </row>
    <row r="2073" spans="1:25">
      <c r="A2073" s="91"/>
      <c r="B2073" s="176"/>
      <c r="C2073" s="176"/>
      <c r="D2073" s="176"/>
      <c r="E2073" s="176"/>
      <c r="F2073" s="176"/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76"/>
      <c r="T2073" s="176"/>
      <c r="U2073" s="176"/>
      <c r="V2073" s="176"/>
      <c r="W2073" s="176"/>
      <c r="X2073" s="176"/>
      <c r="Y2073" s="176"/>
    </row>
    <row r="2074" spans="1:25">
      <c r="A2074" s="91"/>
      <c r="B2074" s="176"/>
      <c r="C2074" s="176"/>
      <c r="D2074" s="176"/>
      <c r="E2074" s="176"/>
      <c r="F2074" s="176"/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76"/>
      <c r="T2074" s="176"/>
      <c r="U2074" s="176"/>
      <c r="V2074" s="176"/>
      <c r="W2074" s="176"/>
      <c r="X2074" s="176"/>
      <c r="Y2074" s="176"/>
    </row>
    <row r="2075" spans="1:25">
      <c r="A2075" s="91"/>
      <c r="B2075" s="176"/>
      <c r="C2075" s="176"/>
      <c r="D2075" s="176"/>
      <c r="E2075" s="176"/>
      <c r="F2075" s="176"/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76"/>
      <c r="T2075" s="176"/>
      <c r="U2075" s="176"/>
      <c r="V2075" s="176"/>
      <c r="W2075" s="176"/>
      <c r="X2075" s="176"/>
      <c r="Y2075" s="176"/>
    </row>
    <row r="2076" spans="1:25">
      <c r="A2076" s="91"/>
      <c r="B2076" s="176"/>
      <c r="C2076" s="176"/>
      <c r="D2076" s="176"/>
      <c r="E2076" s="176"/>
      <c r="F2076" s="176"/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76"/>
      <c r="T2076" s="176"/>
      <c r="U2076" s="176"/>
      <c r="V2076" s="176"/>
      <c r="W2076" s="176"/>
      <c r="X2076" s="176"/>
      <c r="Y2076" s="176"/>
    </row>
    <row r="2077" spans="1:25">
      <c r="A2077" s="91"/>
      <c r="B2077" s="176"/>
      <c r="C2077" s="176"/>
      <c r="D2077" s="176"/>
      <c r="E2077" s="176"/>
      <c r="F2077" s="176"/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76"/>
      <c r="T2077" s="176"/>
      <c r="U2077" s="176"/>
      <c r="V2077" s="176"/>
      <c r="W2077" s="176"/>
      <c r="X2077" s="176"/>
      <c r="Y2077" s="176"/>
    </row>
    <row r="2078" spans="1:25">
      <c r="A2078" s="91"/>
      <c r="B2078" s="176"/>
      <c r="C2078" s="176"/>
      <c r="D2078" s="176"/>
      <c r="E2078" s="176"/>
      <c r="F2078" s="176"/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76"/>
      <c r="T2078" s="176"/>
      <c r="U2078" s="176"/>
      <c r="V2078" s="176"/>
      <c r="W2078" s="176"/>
      <c r="X2078" s="176"/>
      <c r="Y2078" s="176"/>
    </row>
    <row r="2079" spans="1:25">
      <c r="A2079" s="91"/>
      <c r="B2079" s="176"/>
      <c r="C2079" s="176"/>
      <c r="D2079" s="176"/>
      <c r="E2079" s="176"/>
      <c r="F2079" s="176"/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76"/>
      <c r="T2079" s="176"/>
      <c r="U2079" s="176"/>
      <c r="V2079" s="176"/>
      <c r="W2079" s="176"/>
      <c r="X2079" s="176"/>
      <c r="Y2079" s="176"/>
    </row>
    <row r="2080" spans="1:25">
      <c r="A2080" s="91"/>
      <c r="B2080" s="176"/>
      <c r="C2080" s="176"/>
      <c r="D2080" s="176"/>
      <c r="E2080" s="176"/>
      <c r="F2080" s="176"/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76"/>
      <c r="T2080" s="176"/>
      <c r="U2080" s="176"/>
      <c r="V2080" s="176"/>
      <c r="W2080" s="176"/>
      <c r="X2080" s="176"/>
      <c r="Y2080" s="176"/>
    </row>
    <row r="2081" spans="1:25">
      <c r="A2081" s="91"/>
      <c r="B2081" s="176"/>
      <c r="C2081" s="176"/>
      <c r="D2081" s="176"/>
      <c r="E2081" s="176"/>
      <c r="F2081" s="176"/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76"/>
      <c r="T2081" s="176"/>
      <c r="U2081" s="176"/>
      <c r="V2081" s="176"/>
      <c r="W2081" s="176"/>
      <c r="X2081" s="176"/>
      <c r="Y2081" s="176"/>
    </row>
    <row r="2082" spans="1:25">
      <c r="A2082" s="91"/>
      <c r="B2082" s="176"/>
      <c r="C2082" s="176"/>
      <c r="D2082" s="176"/>
      <c r="E2082" s="176"/>
      <c r="F2082" s="176"/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76"/>
      <c r="T2082" s="176"/>
      <c r="U2082" s="176"/>
      <c r="V2082" s="176"/>
      <c r="W2082" s="176"/>
      <c r="X2082" s="176"/>
      <c r="Y2082" s="176"/>
    </row>
    <row r="2083" spans="1:25">
      <c r="A2083" s="91"/>
      <c r="B2083" s="176"/>
      <c r="C2083" s="176"/>
      <c r="D2083" s="176"/>
      <c r="E2083" s="176"/>
      <c r="F2083" s="176"/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76"/>
      <c r="T2083" s="176"/>
      <c r="U2083" s="176"/>
      <c r="V2083" s="176"/>
      <c r="W2083" s="176"/>
      <c r="X2083" s="176"/>
      <c r="Y2083" s="176"/>
    </row>
    <row r="2084" spans="1:25">
      <c r="A2084" s="91"/>
      <c r="B2084" s="176"/>
      <c r="C2084" s="176"/>
      <c r="D2084" s="176"/>
      <c r="E2084" s="176"/>
      <c r="F2084" s="176"/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76"/>
      <c r="T2084" s="176"/>
      <c r="U2084" s="176"/>
      <c r="V2084" s="176"/>
      <c r="W2084" s="176"/>
      <c r="X2084" s="176"/>
      <c r="Y2084" s="176"/>
    </row>
    <row r="2085" spans="1:25">
      <c r="A2085" s="91"/>
      <c r="B2085" s="176"/>
      <c r="C2085" s="176"/>
      <c r="D2085" s="176"/>
      <c r="E2085" s="176"/>
      <c r="F2085" s="176"/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76"/>
      <c r="T2085" s="176"/>
      <c r="U2085" s="176"/>
      <c r="V2085" s="176"/>
      <c r="W2085" s="176"/>
      <c r="X2085" s="176"/>
      <c r="Y2085" s="176"/>
    </row>
    <row r="2086" spans="1:25">
      <c r="A2086" s="91"/>
      <c r="B2086" s="176"/>
      <c r="C2086" s="176"/>
      <c r="D2086" s="176"/>
      <c r="E2086" s="176"/>
      <c r="F2086" s="176"/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76"/>
      <c r="T2086" s="176"/>
      <c r="U2086" s="176"/>
      <c r="V2086" s="176"/>
      <c r="W2086" s="176"/>
      <c r="X2086" s="176"/>
      <c r="Y2086" s="176"/>
    </row>
    <row r="2087" spans="1:25">
      <c r="A2087" s="91"/>
      <c r="B2087" s="176"/>
      <c r="C2087" s="176"/>
      <c r="D2087" s="176"/>
      <c r="E2087" s="176"/>
      <c r="F2087" s="176"/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76"/>
      <c r="T2087" s="176"/>
      <c r="U2087" s="176"/>
      <c r="V2087" s="176"/>
      <c r="W2087" s="176"/>
      <c r="X2087" s="176"/>
      <c r="Y2087" s="176"/>
    </row>
    <row r="2088" spans="1:25">
      <c r="A2088" s="91"/>
      <c r="B2088" s="176"/>
      <c r="C2088" s="176"/>
      <c r="D2088" s="176"/>
      <c r="E2088" s="176"/>
      <c r="F2088" s="176"/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76"/>
      <c r="T2088" s="176"/>
      <c r="U2088" s="176"/>
      <c r="V2088" s="176"/>
      <c r="W2088" s="176"/>
      <c r="X2088" s="176"/>
      <c r="Y2088" s="176"/>
    </row>
    <row r="2089" spans="1:25">
      <c r="A2089" s="91"/>
      <c r="B2089" s="176"/>
      <c r="C2089" s="176"/>
      <c r="D2089" s="176"/>
      <c r="E2089" s="176"/>
      <c r="F2089" s="176"/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176"/>
    </row>
    <row r="2090" spans="1:25">
      <c r="A2090" s="91"/>
      <c r="B2090" s="176"/>
      <c r="C2090" s="176"/>
      <c r="D2090" s="176"/>
      <c r="E2090" s="176"/>
      <c r="F2090" s="176"/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76"/>
      <c r="T2090" s="176"/>
      <c r="U2090" s="176"/>
      <c r="V2090" s="176"/>
      <c r="W2090" s="176"/>
      <c r="X2090" s="176"/>
      <c r="Y2090" s="176"/>
    </row>
    <row r="2091" spans="1:25">
      <c r="A2091" s="91"/>
      <c r="B2091" s="176"/>
      <c r="C2091" s="176"/>
      <c r="D2091" s="176"/>
      <c r="E2091" s="176"/>
      <c r="F2091" s="176"/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76"/>
      <c r="T2091" s="176"/>
      <c r="U2091" s="176"/>
      <c r="V2091" s="176"/>
      <c r="W2091" s="176"/>
      <c r="X2091" s="176"/>
      <c r="Y2091" s="176"/>
    </row>
    <row r="2092" spans="1:25">
      <c r="A2092" s="91"/>
      <c r="B2092" s="176"/>
      <c r="C2092" s="176"/>
      <c r="D2092" s="176"/>
      <c r="E2092" s="176"/>
      <c r="F2092" s="176"/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76"/>
      <c r="T2092" s="176"/>
      <c r="U2092" s="176"/>
      <c r="V2092" s="176"/>
      <c r="W2092" s="176"/>
      <c r="X2092" s="176"/>
      <c r="Y2092" s="176"/>
    </row>
    <row r="2093" spans="1:25">
      <c r="A2093" s="91"/>
      <c r="B2093" s="176"/>
      <c r="C2093" s="176"/>
      <c r="D2093" s="176"/>
      <c r="E2093" s="176"/>
      <c r="F2093" s="176"/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76"/>
      <c r="T2093" s="176"/>
      <c r="U2093" s="176"/>
      <c r="V2093" s="176"/>
      <c r="W2093" s="176"/>
      <c r="X2093" s="176"/>
      <c r="Y2093" s="176"/>
    </row>
    <row r="2094" spans="1:25">
      <c r="A2094" s="91"/>
      <c r="B2094" s="176"/>
      <c r="C2094" s="176"/>
      <c r="D2094" s="176"/>
      <c r="E2094" s="176"/>
      <c r="F2094" s="176"/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76"/>
      <c r="T2094" s="176"/>
      <c r="U2094" s="176"/>
      <c r="V2094" s="176"/>
      <c r="W2094" s="176"/>
      <c r="X2094" s="176"/>
      <c r="Y2094" s="176"/>
    </row>
    <row r="2095" spans="1:25">
      <c r="A2095" s="91"/>
      <c r="B2095" s="176"/>
      <c r="C2095" s="176"/>
      <c r="D2095" s="176"/>
      <c r="E2095" s="176"/>
      <c r="F2095" s="176"/>
      <c r="G2095" s="176"/>
      <c r="H2095" s="176"/>
      <c r="I2095" s="176"/>
      <c r="J2095" s="176"/>
      <c r="K2095" s="176"/>
      <c r="L2095" s="176"/>
      <c r="M2095" s="176"/>
      <c r="N2095" s="176"/>
      <c r="O2095" s="176"/>
      <c r="P2095" s="176"/>
      <c r="Q2095" s="176"/>
      <c r="R2095" s="176"/>
      <c r="S2095" s="176"/>
      <c r="T2095" s="176"/>
      <c r="U2095" s="176"/>
      <c r="V2095" s="176"/>
      <c r="W2095" s="176"/>
      <c r="X2095" s="176"/>
      <c r="Y2095" s="176"/>
    </row>
    <row r="2096" spans="1:25">
      <c r="A2096" s="91"/>
      <c r="B2096" s="176"/>
      <c r="C2096" s="176"/>
      <c r="D2096" s="176"/>
      <c r="E2096" s="176"/>
      <c r="F2096" s="176"/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76"/>
      <c r="T2096" s="176"/>
      <c r="U2096" s="176"/>
      <c r="V2096" s="176"/>
      <c r="W2096" s="176"/>
      <c r="X2096" s="176"/>
      <c r="Y2096" s="176"/>
    </row>
    <row r="2097" spans="1:25">
      <c r="A2097" s="91"/>
      <c r="B2097" s="176"/>
      <c r="C2097" s="176"/>
      <c r="D2097" s="176"/>
      <c r="E2097" s="176"/>
      <c r="F2097" s="176"/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76"/>
      <c r="T2097" s="176"/>
      <c r="U2097" s="176"/>
      <c r="V2097" s="176"/>
      <c r="W2097" s="176"/>
      <c r="X2097" s="176"/>
      <c r="Y2097" s="176"/>
    </row>
    <row r="2098" spans="1:25">
      <c r="A2098" s="91"/>
      <c r="B2098" s="176"/>
      <c r="C2098" s="176"/>
      <c r="D2098" s="176"/>
      <c r="E2098" s="176"/>
      <c r="F2098" s="176"/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76"/>
      <c r="T2098" s="176"/>
      <c r="U2098" s="176"/>
      <c r="V2098" s="176"/>
      <c r="W2098" s="176"/>
      <c r="X2098" s="176"/>
      <c r="Y2098" s="176"/>
    </row>
    <row r="2099" spans="1:25">
      <c r="A2099" s="91"/>
      <c r="B2099" s="176"/>
      <c r="C2099" s="176"/>
      <c r="D2099" s="176"/>
      <c r="E2099" s="176"/>
      <c r="F2099" s="176"/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76"/>
      <c r="T2099" s="176"/>
      <c r="U2099" s="176"/>
      <c r="V2099" s="176"/>
      <c r="W2099" s="176"/>
      <c r="X2099" s="176"/>
      <c r="Y2099" s="176"/>
    </row>
    <row r="2100" spans="1:25">
      <c r="A2100" s="91"/>
      <c r="B2100" s="176"/>
      <c r="C2100" s="176"/>
      <c r="D2100" s="176"/>
      <c r="E2100" s="176"/>
      <c r="F2100" s="176"/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76"/>
      <c r="T2100" s="176"/>
      <c r="U2100" s="176"/>
      <c r="V2100" s="176"/>
      <c r="W2100" s="176"/>
      <c r="X2100" s="176"/>
      <c r="Y2100" s="176"/>
    </row>
    <row r="2101" spans="1:25">
      <c r="A2101" s="91"/>
      <c r="B2101" s="176"/>
      <c r="C2101" s="176"/>
      <c r="D2101" s="176"/>
      <c r="E2101" s="176"/>
      <c r="F2101" s="176"/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76"/>
      <c r="T2101" s="176"/>
      <c r="U2101" s="176"/>
      <c r="V2101" s="176"/>
      <c r="W2101" s="176"/>
      <c r="X2101" s="176"/>
      <c r="Y2101" s="176"/>
    </row>
    <row r="2102" spans="1:25">
      <c r="A2102" s="91"/>
      <c r="B2102" s="176"/>
      <c r="C2102" s="176"/>
      <c r="D2102" s="176"/>
      <c r="E2102" s="176"/>
      <c r="F2102" s="176"/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76"/>
      <c r="T2102" s="176"/>
      <c r="U2102" s="176"/>
      <c r="V2102" s="176"/>
      <c r="W2102" s="176"/>
      <c r="X2102" s="176"/>
      <c r="Y2102" s="176"/>
    </row>
    <row r="2103" spans="1:25">
      <c r="A2103" s="91"/>
      <c r="B2103" s="176"/>
      <c r="C2103" s="176"/>
      <c r="D2103" s="176"/>
      <c r="E2103" s="176"/>
      <c r="F2103" s="176"/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76"/>
      <c r="T2103" s="176"/>
      <c r="U2103" s="176"/>
      <c r="V2103" s="176"/>
      <c r="W2103" s="176"/>
      <c r="X2103" s="176"/>
      <c r="Y2103" s="176"/>
    </row>
    <row r="2104" spans="1:25">
      <c r="A2104" s="91"/>
      <c r="B2104" s="176"/>
      <c r="C2104" s="176"/>
      <c r="D2104" s="176"/>
      <c r="E2104" s="176"/>
      <c r="F2104" s="176"/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76"/>
      <c r="T2104" s="176"/>
      <c r="U2104" s="176"/>
      <c r="V2104" s="176"/>
      <c r="W2104" s="176"/>
      <c r="X2104" s="176"/>
      <c r="Y2104" s="176"/>
    </row>
    <row r="2105" spans="1:25">
      <c r="A2105" s="91"/>
      <c r="B2105" s="176"/>
      <c r="C2105" s="176"/>
      <c r="D2105" s="176"/>
      <c r="E2105" s="176"/>
      <c r="F2105" s="176"/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76"/>
      <c r="T2105" s="176"/>
      <c r="U2105" s="176"/>
      <c r="V2105" s="176"/>
      <c r="W2105" s="176"/>
      <c r="X2105" s="176"/>
      <c r="Y2105" s="176"/>
    </row>
    <row r="2106" spans="1:25">
      <c r="A2106" s="91"/>
      <c r="B2106" s="176"/>
      <c r="C2106" s="176"/>
      <c r="D2106" s="176"/>
      <c r="E2106" s="176"/>
      <c r="F2106" s="176"/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76"/>
      <c r="T2106" s="176"/>
      <c r="U2106" s="176"/>
      <c r="V2106" s="176"/>
      <c r="W2106" s="176"/>
      <c r="X2106" s="176"/>
      <c r="Y2106" s="176"/>
    </row>
    <row r="2107" spans="1:25">
      <c r="A2107" s="91"/>
      <c r="B2107" s="176"/>
      <c r="C2107" s="176"/>
      <c r="D2107" s="176"/>
      <c r="E2107" s="176"/>
      <c r="F2107" s="176"/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76"/>
      <c r="T2107" s="176"/>
      <c r="U2107" s="176"/>
      <c r="V2107" s="176"/>
      <c r="W2107" s="176"/>
      <c r="X2107" s="176"/>
      <c r="Y2107" s="176"/>
    </row>
    <row r="2108" spans="1:25">
      <c r="A2108" s="91"/>
      <c r="B2108" s="176"/>
      <c r="C2108" s="176"/>
      <c r="D2108" s="176"/>
      <c r="E2108" s="176"/>
      <c r="F2108" s="176"/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76"/>
      <c r="T2108" s="176"/>
      <c r="U2108" s="176"/>
      <c r="V2108" s="176"/>
      <c r="W2108" s="176"/>
      <c r="X2108" s="176"/>
      <c r="Y2108" s="176"/>
    </row>
    <row r="2109" spans="1:25">
      <c r="A2109" s="91"/>
      <c r="B2109" s="176"/>
      <c r="C2109" s="176"/>
      <c r="D2109" s="176"/>
      <c r="E2109" s="176"/>
      <c r="F2109" s="176"/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76"/>
      <c r="T2109" s="176"/>
      <c r="U2109" s="176"/>
      <c r="V2109" s="176"/>
      <c r="W2109" s="176"/>
      <c r="X2109" s="176"/>
      <c r="Y2109" s="176"/>
    </row>
    <row r="2110" spans="1:25">
      <c r="A2110" s="91"/>
      <c r="B2110" s="176"/>
      <c r="C2110" s="176"/>
      <c r="D2110" s="176"/>
      <c r="E2110" s="176"/>
      <c r="F2110" s="176"/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76"/>
      <c r="T2110" s="176"/>
      <c r="U2110" s="176"/>
      <c r="V2110" s="176"/>
      <c r="W2110" s="176"/>
      <c r="X2110" s="176"/>
      <c r="Y2110" s="176"/>
    </row>
    <row r="2111" spans="1:25">
      <c r="A2111" s="91"/>
      <c r="B2111" s="176"/>
      <c r="C2111" s="176"/>
      <c r="D2111" s="176"/>
      <c r="E2111" s="176"/>
      <c r="F2111" s="176"/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76"/>
      <c r="T2111" s="176"/>
      <c r="U2111" s="176"/>
      <c r="V2111" s="176"/>
      <c r="W2111" s="176"/>
      <c r="X2111" s="176"/>
      <c r="Y2111" s="176"/>
    </row>
    <row r="2112" spans="1:25">
      <c r="A2112" s="91"/>
      <c r="B2112" s="176"/>
      <c r="C2112" s="176"/>
      <c r="D2112" s="176"/>
      <c r="E2112" s="176"/>
      <c r="F2112" s="176"/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76"/>
      <c r="T2112" s="176"/>
      <c r="U2112" s="176"/>
      <c r="V2112" s="176"/>
      <c r="W2112" s="176"/>
      <c r="X2112" s="176"/>
      <c r="Y2112" s="176"/>
    </row>
    <row r="2113" spans="1:25">
      <c r="A2113" s="91"/>
      <c r="B2113" s="176"/>
      <c r="C2113" s="176"/>
      <c r="D2113" s="176"/>
      <c r="E2113" s="176"/>
      <c r="F2113" s="176"/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76"/>
      <c r="T2113" s="176"/>
      <c r="U2113" s="176"/>
      <c r="V2113" s="176"/>
      <c r="W2113" s="176"/>
      <c r="X2113" s="176"/>
      <c r="Y2113" s="176"/>
    </row>
    <row r="2114" spans="1:25">
      <c r="A2114" s="91"/>
      <c r="B2114" s="176"/>
      <c r="C2114" s="176"/>
      <c r="D2114" s="176"/>
      <c r="E2114" s="176"/>
      <c r="F2114" s="176"/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76"/>
      <c r="T2114" s="176"/>
      <c r="U2114" s="176"/>
      <c r="V2114" s="176"/>
      <c r="W2114" s="176"/>
      <c r="X2114" s="176"/>
      <c r="Y2114" s="176"/>
    </row>
    <row r="2115" spans="1:25">
      <c r="A2115" s="91"/>
      <c r="B2115" s="176"/>
      <c r="C2115" s="176"/>
      <c r="D2115" s="176"/>
      <c r="E2115" s="176"/>
      <c r="F2115" s="176"/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76"/>
      <c r="T2115" s="176"/>
      <c r="U2115" s="176"/>
      <c r="V2115" s="176"/>
      <c r="W2115" s="176"/>
      <c r="X2115" s="176"/>
      <c r="Y2115" s="176"/>
    </row>
    <row r="2116" spans="1:25">
      <c r="A2116" s="91"/>
      <c r="B2116" s="176"/>
      <c r="C2116" s="176"/>
      <c r="D2116" s="176"/>
      <c r="E2116" s="176"/>
      <c r="F2116" s="176"/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76"/>
      <c r="T2116" s="176"/>
      <c r="U2116" s="176"/>
      <c r="V2116" s="176"/>
      <c r="W2116" s="176"/>
      <c r="X2116" s="176"/>
      <c r="Y2116" s="176"/>
    </row>
    <row r="2117" spans="1:25">
      <c r="A2117" s="91"/>
      <c r="B2117" s="176"/>
      <c r="C2117" s="176"/>
      <c r="D2117" s="176"/>
      <c r="E2117" s="176"/>
      <c r="F2117" s="176"/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76"/>
      <c r="T2117" s="176"/>
      <c r="U2117" s="176"/>
      <c r="V2117" s="176"/>
      <c r="W2117" s="176"/>
      <c r="X2117" s="176"/>
      <c r="Y2117" s="176"/>
    </row>
    <row r="2118" spans="1:25">
      <c r="A2118" s="91"/>
      <c r="B2118" s="176"/>
      <c r="C2118" s="176"/>
      <c r="D2118" s="176"/>
      <c r="E2118" s="176"/>
      <c r="F2118" s="176"/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76"/>
      <c r="T2118" s="176"/>
      <c r="U2118" s="176"/>
      <c r="V2118" s="176"/>
      <c r="W2118" s="176"/>
      <c r="X2118" s="176"/>
      <c r="Y2118" s="176"/>
    </row>
    <row r="2119" spans="1:25">
      <c r="A2119" s="91"/>
      <c r="B2119" s="176"/>
      <c r="C2119" s="176"/>
      <c r="D2119" s="176"/>
      <c r="E2119" s="176"/>
      <c r="F2119" s="176"/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76"/>
      <c r="T2119" s="176"/>
      <c r="U2119" s="176"/>
      <c r="V2119" s="176"/>
      <c r="W2119" s="176"/>
      <c r="X2119" s="176"/>
      <c r="Y2119" s="176"/>
    </row>
    <row r="2120" spans="1:25">
      <c r="A2120" s="91"/>
      <c r="B2120" s="176"/>
      <c r="C2120" s="176"/>
      <c r="D2120" s="176"/>
      <c r="E2120" s="176"/>
      <c r="F2120" s="176"/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76"/>
      <c r="T2120" s="176"/>
      <c r="U2120" s="176"/>
      <c r="V2120" s="176"/>
      <c r="W2120" s="176"/>
      <c r="X2120" s="176"/>
      <c r="Y2120" s="176"/>
    </row>
    <row r="2121" spans="1:25">
      <c r="A2121" s="91"/>
      <c r="B2121" s="176"/>
      <c r="C2121" s="176"/>
      <c r="D2121" s="176"/>
      <c r="E2121" s="176"/>
      <c r="F2121" s="176"/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76"/>
      <c r="T2121" s="176"/>
      <c r="U2121" s="176"/>
      <c r="V2121" s="176"/>
      <c r="W2121" s="176"/>
      <c r="X2121" s="176"/>
      <c r="Y2121" s="176"/>
    </row>
    <row r="2122" spans="1:25">
      <c r="A2122" s="91"/>
      <c r="B2122" s="176"/>
      <c r="C2122" s="176"/>
      <c r="D2122" s="176"/>
      <c r="E2122" s="176"/>
      <c r="F2122" s="176"/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76"/>
      <c r="T2122" s="176"/>
      <c r="U2122" s="176"/>
      <c r="V2122" s="176"/>
      <c r="W2122" s="176"/>
      <c r="X2122" s="176"/>
      <c r="Y2122" s="176"/>
    </row>
    <row r="2123" spans="1:25">
      <c r="A2123" s="91"/>
      <c r="B2123" s="176"/>
      <c r="C2123" s="176"/>
      <c r="D2123" s="176"/>
      <c r="E2123" s="176"/>
      <c r="F2123" s="176"/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76"/>
      <c r="T2123" s="176"/>
      <c r="U2123" s="176"/>
      <c r="V2123" s="176"/>
      <c r="W2123" s="176"/>
      <c r="X2123" s="176"/>
      <c r="Y2123" s="176"/>
    </row>
    <row r="2124" spans="1:25">
      <c r="A2124" s="91"/>
      <c r="B2124" s="176"/>
      <c r="C2124" s="176"/>
      <c r="D2124" s="176"/>
      <c r="E2124" s="176"/>
      <c r="F2124" s="176"/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76"/>
      <c r="T2124" s="176"/>
      <c r="U2124" s="176"/>
      <c r="V2124" s="176"/>
      <c r="W2124" s="176"/>
      <c r="X2124" s="176"/>
      <c r="Y2124" s="176"/>
    </row>
    <row r="2125" spans="1:25">
      <c r="A2125" s="91"/>
      <c r="B2125" s="176"/>
      <c r="C2125" s="176"/>
      <c r="D2125" s="176"/>
      <c r="E2125" s="176"/>
      <c r="F2125" s="176"/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76"/>
      <c r="T2125" s="176"/>
      <c r="U2125" s="176"/>
      <c r="V2125" s="176"/>
      <c r="W2125" s="176"/>
      <c r="X2125" s="176"/>
      <c r="Y2125" s="176"/>
    </row>
    <row r="2126" spans="1:25">
      <c r="A2126" s="91"/>
      <c r="B2126" s="176"/>
      <c r="C2126" s="176"/>
      <c r="D2126" s="176"/>
      <c r="E2126" s="176"/>
      <c r="F2126" s="176"/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76"/>
      <c r="T2126" s="176"/>
      <c r="U2126" s="176"/>
      <c r="V2126" s="176"/>
      <c r="W2126" s="176"/>
      <c r="X2126" s="176"/>
      <c r="Y2126" s="176"/>
    </row>
    <row r="2127" spans="1:25">
      <c r="A2127" s="91"/>
      <c r="B2127" s="176"/>
      <c r="C2127" s="176"/>
      <c r="D2127" s="176"/>
      <c r="E2127" s="176"/>
      <c r="F2127" s="176"/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76"/>
      <c r="T2127" s="176"/>
      <c r="U2127" s="176"/>
      <c r="V2127" s="176"/>
      <c r="W2127" s="176"/>
      <c r="X2127" s="176"/>
      <c r="Y2127" s="176"/>
    </row>
    <row r="2128" spans="1:25">
      <c r="A2128" s="91"/>
      <c r="B2128" s="176"/>
      <c r="C2128" s="176"/>
      <c r="D2128" s="176"/>
      <c r="E2128" s="176"/>
      <c r="F2128" s="176"/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76"/>
      <c r="T2128" s="176"/>
      <c r="U2128" s="176"/>
      <c r="V2128" s="176"/>
      <c r="W2128" s="176"/>
      <c r="X2128" s="176"/>
      <c r="Y2128" s="176"/>
    </row>
    <row r="2129" spans="1:25">
      <c r="A2129" s="91"/>
      <c r="B2129" s="176"/>
      <c r="C2129" s="176"/>
      <c r="D2129" s="176"/>
      <c r="E2129" s="176"/>
      <c r="F2129" s="176"/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76"/>
      <c r="T2129" s="176"/>
      <c r="U2129" s="176"/>
      <c r="V2129" s="176"/>
      <c r="W2129" s="176"/>
      <c r="X2129" s="176"/>
      <c r="Y2129" s="176"/>
    </row>
    <row r="2130" spans="1:25">
      <c r="A2130" s="91"/>
      <c r="B2130" s="176"/>
      <c r="C2130" s="176"/>
      <c r="D2130" s="176"/>
      <c r="E2130" s="176"/>
      <c r="F2130" s="176"/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76"/>
      <c r="T2130" s="176"/>
      <c r="U2130" s="176"/>
      <c r="V2130" s="176"/>
      <c r="W2130" s="176"/>
      <c r="X2130" s="176"/>
      <c r="Y2130" s="176"/>
    </row>
    <row r="2131" spans="1:25">
      <c r="A2131" s="91"/>
      <c r="B2131" s="176"/>
      <c r="C2131" s="176"/>
      <c r="D2131" s="176"/>
      <c r="E2131" s="176"/>
      <c r="F2131" s="176"/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76"/>
      <c r="T2131" s="176"/>
      <c r="U2131" s="176"/>
      <c r="V2131" s="176"/>
      <c r="W2131" s="176"/>
      <c r="X2131" s="176"/>
      <c r="Y2131" s="176"/>
    </row>
    <row r="2132" spans="1:25">
      <c r="A2132" s="91"/>
      <c r="B2132" s="176"/>
      <c r="C2132" s="176"/>
      <c r="D2132" s="176"/>
      <c r="E2132" s="176"/>
      <c r="F2132" s="176"/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76"/>
      <c r="T2132" s="176"/>
      <c r="U2132" s="176"/>
      <c r="V2132" s="176"/>
      <c r="W2132" s="176"/>
      <c r="X2132" s="176"/>
      <c r="Y2132" s="176"/>
    </row>
    <row r="2133" spans="1:25">
      <c r="A2133" s="91"/>
      <c r="B2133" s="176"/>
      <c r="C2133" s="176"/>
      <c r="D2133" s="176"/>
      <c r="E2133" s="176"/>
      <c r="F2133" s="176"/>
      <c r="G2133" s="176"/>
      <c r="H2133" s="176"/>
      <c r="I2133" s="176"/>
      <c r="J2133" s="176"/>
      <c r="K2133" s="176"/>
      <c r="L2133" s="176"/>
      <c r="M2133" s="176"/>
      <c r="N2133" s="176"/>
      <c r="O2133" s="176"/>
      <c r="P2133" s="176"/>
      <c r="Q2133" s="176"/>
      <c r="R2133" s="176"/>
      <c r="S2133" s="176"/>
      <c r="T2133" s="176"/>
      <c r="U2133" s="176"/>
      <c r="V2133" s="176"/>
      <c r="W2133" s="176"/>
      <c r="X2133" s="176"/>
      <c r="Y2133" s="176"/>
    </row>
    <row r="2134" spans="1:25">
      <c r="A2134" s="91"/>
      <c r="B2134" s="176"/>
      <c r="C2134" s="176"/>
      <c r="D2134" s="176"/>
      <c r="E2134" s="176"/>
      <c r="F2134" s="176"/>
      <c r="G2134" s="176"/>
      <c r="H2134" s="176"/>
      <c r="I2134" s="176"/>
      <c r="J2134" s="176"/>
      <c r="K2134" s="176"/>
      <c r="L2134" s="176"/>
      <c r="M2134" s="176"/>
      <c r="N2134" s="176"/>
      <c r="O2134" s="176"/>
      <c r="P2134" s="176"/>
      <c r="Q2134" s="176"/>
      <c r="R2134" s="176"/>
      <c r="S2134" s="176"/>
      <c r="T2134" s="176"/>
      <c r="U2134" s="176"/>
      <c r="V2134" s="176"/>
      <c r="W2134" s="176"/>
      <c r="X2134" s="176"/>
      <c r="Y2134" s="176"/>
    </row>
    <row r="2135" spans="1:25">
      <c r="A2135" s="91"/>
      <c r="B2135" s="176"/>
      <c r="C2135" s="176"/>
      <c r="D2135" s="176"/>
      <c r="E2135" s="176"/>
      <c r="F2135" s="176"/>
      <c r="G2135" s="176"/>
      <c r="H2135" s="176"/>
      <c r="I2135" s="176"/>
      <c r="J2135" s="176"/>
      <c r="K2135" s="176"/>
      <c r="L2135" s="176"/>
      <c r="M2135" s="176"/>
      <c r="N2135" s="176"/>
      <c r="O2135" s="176"/>
      <c r="P2135" s="176"/>
      <c r="Q2135" s="176"/>
      <c r="R2135" s="176"/>
      <c r="S2135" s="176"/>
      <c r="T2135" s="176"/>
      <c r="U2135" s="176"/>
      <c r="V2135" s="176"/>
      <c r="W2135" s="176"/>
      <c r="X2135" s="176"/>
      <c r="Y2135" s="176"/>
    </row>
    <row r="2136" spans="1:25">
      <c r="A2136" s="91"/>
      <c r="B2136" s="176"/>
      <c r="C2136" s="176"/>
      <c r="D2136" s="176"/>
      <c r="E2136" s="176"/>
      <c r="F2136" s="176"/>
      <c r="G2136" s="176"/>
      <c r="H2136" s="176"/>
      <c r="I2136" s="176"/>
      <c r="J2136" s="176"/>
      <c r="K2136" s="176"/>
      <c r="L2136" s="176"/>
      <c r="M2136" s="176"/>
      <c r="N2136" s="176"/>
      <c r="O2136" s="176"/>
      <c r="P2136" s="176"/>
      <c r="Q2136" s="176"/>
      <c r="R2136" s="176"/>
      <c r="S2136" s="176"/>
      <c r="T2136" s="176"/>
      <c r="U2136" s="176"/>
      <c r="V2136" s="176"/>
      <c r="W2136" s="176"/>
      <c r="X2136" s="176"/>
      <c r="Y2136" s="176"/>
    </row>
    <row r="2137" spans="1:25">
      <c r="A2137" s="91"/>
      <c r="B2137" s="176"/>
      <c r="C2137" s="176"/>
      <c r="D2137" s="176"/>
      <c r="E2137" s="176"/>
      <c r="F2137" s="176"/>
      <c r="G2137" s="176"/>
      <c r="H2137" s="176"/>
      <c r="I2137" s="176"/>
      <c r="J2137" s="176"/>
      <c r="K2137" s="176"/>
      <c r="L2137" s="176"/>
      <c r="M2137" s="176"/>
      <c r="N2137" s="176"/>
      <c r="O2137" s="176"/>
      <c r="P2137" s="176"/>
      <c r="Q2137" s="176"/>
      <c r="R2137" s="176"/>
      <c r="S2137" s="176"/>
      <c r="T2137" s="176"/>
      <c r="U2137" s="176"/>
      <c r="V2137" s="176"/>
      <c r="W2137" s="176"/>
      <c r="X2137" s="176"/>
      <c r="Y2137" s="176"/>
    </row>
    <row r="2138" spans="1:25">
      <c r="A2138" s="91"/>
      <c r="B2138" s="176"/>
      <c r="C2138" s="176"/>
      <c r="D2138" s="176"/>
      <c r="E2138" s="176"/>
      <c r="F2138" s="176"/>
      <c r="G2138" s="176"/>
      <c r="H2138" s="176"/>
      <c r="I2138" s="176"/>
      <c r="J2138" s="176"/>
      <c r="K2138" s="176"/>
      <c r="L2138" s="176"/>
      <c r="M2138" s="176"/>
      <c r="N2138" s="176"/>
      <c r="O2138" s="176"/>
      <c r="P2138" s="176"/>
      <c r="Q2138" s="176"/>
      <c r="R2138" s="176"/>
      <c r="S2138" s="176"/>
      <c r="T2138" s="176"/>
      <c r="U2138" s="176"/>
      <c r="V2138" s="176"/>
      <c r="W2138" s="176"/>
      <c r="X2138" s="176"/>
      <c r="Y2138" s="176"/>
    </row>
    <row r="2139" spans="1:25">
      <c r="A2139" s="91"/>
      <c r="B2139" s="176"/>
      <c r="C2139" s="176"/>
      <c r="D2139" s="176"/>
      <c r="E2139" s="176"/>
      <c r="F2139" s="176"/>
      <c r="G2139" s="176"/>
      <c r="H2139" s="176"/>
      <c r="I2139" s="176"/>
      <c r="J2139" s="176"/>
      <c r="K2139" s="176"/>
      <c r="L2139" s="176"/>
      <c r="M2139" s="176"/>
      <c r="N2139" s="176"/>
      <c r="O2139" s="176"/>
      <c r="P2139" s="176"/>
      <c r="Q2139" s="176"/>
      <c r="R2139" s="176"/>
      <c r="S2139" s="176"/>
      <c r="T2139" s="176"/>
      <c r="U2139" s="176"/>
      <c r="V2139" s="176"/>
      <c r="W2139" s="176"/>
      <c r="X2139" s="176"/>
      <c r="Y2139" s="176"/>
    </row>
    <row r="2140" spans="1:25">
      <c r="A2140" s="91"/>
      <c r="B2140" s="176"/>
      <c r="C2140" s="176"/>
      <c r="D2140" s="176"/>
      <c r="E2140" s="176"/>
      <c r="F2140" s="176"/>
      <c r="G2140" s="176"/>
      <c r="H2140" s="176"/>
      <c r="I2140" s="176"/>
      <c r="J2140" s="176"/>
      <c r="K2140" s="176"/>
      <c r="L2140" s="176"/>
      <c r="M2140" s="176"/>
      <c r="N2140" s="176"/>
      <c r="O2140" s="176"/>
      <c r="P2140" s="176"/>
      <c r="Q2140" s="176"/>
      <c r="R2140" s="176"/>
      <c r="S2140" s="176"/>
      <c r="T2140" s="176"/>
      <c r="U2140" s="176"/>
      <c r="V2140" s="176"/>
      <c r="W2140" s="176"/>
      <c r="X2140" s="176"/>
      <c r="Y2140" s="176"/>
    </row>
    <row r="2141" spans="1:25">
      <c r="A2141" s="91"/>
      <c r="B2141" s="176"/>
      <c r="C2141" s="176"/>
      <c r="D2141" s="176"/>
      <c r="E2141" s="176"/>
      <c r="F2141" s="176"/>
      <c r="G2141" s="176"/>
      <c r="H2141" s="176"/>
      <c r="I2141" s="176"/>
      <c r="J2141" s="176"/>
      <c r="K2141" s="176"/>
      <c r="L2141" s="176"/>
      <c r="M2141" s="176"/>
      <c r="N2141" s="176"/>
      <c r="O2141" s="176"/>
      <c r="P2141" s="176"/>
      <c r="Q2141" s="176"/>
      <c r="R2141" s="176"/>
      <c r="S2141" s="176"/>
      <c r="T2141" s="176"/>
      <c r="U2141" s="176"/>
      <c r="V2141" s="176"/>
      <c r="W2141" s="176"/>
      <c r="X2141" s="176"/>
      <c r="Y2141" s="176"/>
    </row>
    <row r="2142" spans="1:25">
      <c r="A2142" s="91"/>
      <c r="B2142" s="176"/>
      <c r="C2142" s="176"/>
      <c r="D2142" s="176"/>
      <c r="E2142" s="176"/>
      <c r="F2142" s="176"/>
      <c r="G2142" s="176"/>
      <c r="H2142" s="176"/>
      <c r="I2142" s="176"/>
      <c r="J2142" s="176"/>
      <c r="K2142" s="176"/>
      <c r="L2142" s="176"/>
      <c r="M2142" s="176"/>
      <c r="N2142" s="176"/>
      <c r="O2142" s="176"/>
      <c r="P2142" s="176"/>
      <c r="Q2142" s="176"/>
      <c r="R2142" s="176"/>
      <c r="S2142" s="176"/>
      <c r="T2142" s="176"/>
      <c r="U2142" s="176"/>
      <c r="V2142" s="176"/>
      <c r="W2142" s="176"/>
      <c r="X2142" s="176"/>
      <c r="Y2142" s="176"/>
    </row>
    <row r="2143" spans="1:25">
      <c r="A2143" s="91"/>
      <c r="B2143" s="176"/>
      <c r="C2143" s="176"/>
      <c r="D2143" s="176"/>
      <c r="E2143" s="176"/>
      <c r="F2143" s="176"/>
      <c r="G2143" s="176"/>
      <c r="H2143" s="176"/>
      <c r="I2143" s="176"/>
      <c r="J2143" s="176"/>
      <c r="K2143" s="176"/>
      <c r="L2143" s="176"/>
      <c r="M2143" s="176"/>
      <c r="N2143" s="176"/>
      <c r="O2143" s="176"/>
      <c r="P2143" s="176"/>
      <c r="Q2143" s="176"/>
      <c r="R2143" s="176"/>
      <c r="S2143" s="176"/>
      <c r="T2143" s="176"/>
      <c r="U2143" s="176"/>
      <c r="V2143" s="176"/>
      <c r="W2143" s="176"/>
      <c r="X2143" s="176"/>
      <c r="Y2143" s="176"/>
    </row>
    <row r="2144" spans="1:25">
      <c r="A2144" s="91"/>
      <c r="B2144" s="176"/>
      <c r="C2144" s="176"/>
      <c r="D2144" s="176"/>
      <c r="E2144" s="176"/>
      <c r="F2144" s="176"/>
      <c r="G2144" s="176"/>
      <c r="H2144" s="176"/>
      <c r="I2144" s="176"/>
      <c r="J2144" s="176"/>
      <c r="K2144" s="176"/>
      <c r="L2144" s="176"/>
      <c r="M2144" s="176"/>
      <c r="N2144" s="176"/>
      <c r="O2144" s="176"/>
      <c r="P2144" s="176"/>
      <c r="Q2144" s="176"/>
      <c r="R2144" s="176"/>
      <c r="S2144" s="176"/>
      <c r="T2144" s="176"/>
      <c r="U2144" s="176"/>
      <c r="V2144" s="176"/>
      <c r="W2144" s="176"/>
      <c r="X2144" s="176"/>
      <c r="Y2144" s="176"/>
    </row>
    <row r="2145" spans="1:25">
      <c r="A2145" s="91"/>
      <c r="B2145" s="176"/>
      <c r="C2145" s="176"/>
      <c r="D2145" s="176"/>
      <c r="E2145" s="176"/>
      <c r="F2145" s="176"/>
      <c r="G2145" s="176"/>
      <c r="H2145" s="176"/>
      <c r="I2145" s="176"/>
      <c r="J2145" s="176"/>
      <c r="K2145" s="176"/>
      <c r="L2145" s="176"/>
      <c r="M2145" s="176"/>
      <c r="N2145" s="176"/>
      <c r="O2145" s="176"/>
      <c r="P2145" s="176"/>
      <c r="Q2145" s="176"/>
      <c r="R2145" s="176"/>
      <c r="S2145" s="176"/>
      <c r="T2145" s="176"/>
      <c r="U2145" s="176"/>
      <c r="V2145" s="176"/>
      <c r="W2145" s="176"/>
      <c r="X2145" s="176"/>
      <c r="Y2145" s="176"/>
    </row>
    <row r="2146" spans="1:25">
      <c r="A2146" s="91"/>
      <c r="B2146" s="176"/>
      <c r="C2146" s="176"/>
      <c r="D2146" s="176"/>
      <c r="E2146" s="176"/>
      <c r="F2146" s="176"/>
      <c r="G2146" s="176"/>
      <c r="H2146" s="176"/>
      <c r="I2146" s="176"/>
      <c r="J2146" s="176"/>
      <c r="K2146" s="176"/>
      <c r="L2146" s="176"/>
      <c r="M2146" s="176"/>
      <c r="N2146" s="176"/>
      <c r="O2146" s="176"/>
      <c r="P2146" s="176"/>
      <c r="Q2146" s="176"/>
      <c r="R2146" s="176"/>
      <c r="S2146" s="176"/>
      <c r="T2146" s="176"/>
      <c r="U2146" s="176"/>
      <c r="V2146" s="176"/>
      <c r="W2146" s="176"/>
      <c r="X2146" s="176"/>
      <c r="Y2146" s="176"/>
    </row>
    <row r="2147" spans="1:25">
      <c r="A2147" s="91"/>
      <c r="B2147" s="176"/>
      <c r="C2147" s="176"/>
      <c r="D2147" s="176"/>
      <c r="E2147" s="176"/>
      <c r="F2147" s="176"/>
      <c r="G2147" s="176"/>
      <c r="H2147" s="176"/>
      <c r="I2147" s="176"/>
      <c r="J2147" s="176"/>
      <c r="K2147" s="176"/>
      <c r="L2147" s="176"/>
      <c r="M2147" s="176"/>
      <c r="N2147" s="176"/>
      <c r="O2147" s="176"/>
      <c r="P2147" s="176"/>
      <c r="Q2147" s="176"/>
      <c r="R2147" s="176"/>
      <c r="S2147" s="176"/>
      <c r="T2147" s="176"/>
      <c r="U2147" s="176"/>
      <c r="V2147" s="176"/>
      <c r="W2147" s="176"/>
      <c r="X2147" s="176"/>
      <c r="Y2147" s="176"/>
    </row>
    <row r="2148" spans="1:25">
      <c r="A2148" s="91"/>
      <c r="B2148" s="176"/>
      <c r="C2148" s="176"/>
      <c r="D2148" s="176"/>
      <c r="E2148" s="176"/>
      <c r="F2148" s="176"/>
      <c r="G2148" s="176"/>
      <c r="H2148" s="176"/>
      <c r="I2148" s="176"/>
      <c r="J2148" s="176"/>
      <c r="K2148" s="176"/>
      <c r="L2148" s="176"/>
      <c r="M2148" s="176"/>
      <c r="N2148" s="176"/>
      <c r="O2148" s="176"/>
      <c r="P2148" s="176"/>
      <c r="Q2148" s="176"/>
      <c r="R2148" s="176"/>
      <c r="S2148" s="176"/>
      <c r="T2148" s="176"/>
      <c r="U2148" s="176"/>
      <c r="V2148" s="176"/>
      <c r="W2148" s="176"/>
      <c r="X2148" s="176"/>
      <c r="Y2148" s="176"/>
    </row>
    <row r="2149" spans="1:25">
      <c r="A2149" s="91"/>
      <c r="B2149" s="176"/>
      <c r="C2149" s="176"/>
      <c r="D2149" s="176"/>
      <c r="E2149" s="176"/>
      <c r="F2149" s="176"/>
      <c r="G2149" s="176"/>
      <c r="H2149" s="176"/>
      <c r="I2149" s="176"/>
      <c r="J2149" s="176"/>
      <c r="K2149" s="176"/>
      <c r="L2149" s="176"/>
      <c r="M2149" s="176"/>
      <c r="N2149" s="176"/>
      <c r="O2149" s="176"/>
      <c r="P2149" s="176"/>
      <c r="Q2149" s="176"/>
      <c r="R2149" s="176"/>
      <c r="S2149" s="176"/>
      <c r="T2149" s="176"/>
      <c r="U2149" s="176"/>
      <c r="V2149" s="176"/>
      <c r="W2149" s="176"/>
      <c r="X2149" s="176"/>
      <c r="Y2149" s="176"/>
    </row>
    <row r="2150" spans="1:25">
      <c r="A2150" s="91"/>
      <c r="B2150" s="176"/>
      <c r="C2150" s="176"/>
      <c r="D2150" s="176"/>
      <c r="E2150" s="176"/>
      <c r="F2150" s="176"/>
      <c r="G2150" s="176"/>
      <c r="H2150" s="176"/>
      <c r="I2150" s="176"/>
      <c r="J2150" s="176"/>
      <c r="K2150" s="176"/>
      <c r="L2150" s="176"/>
      <c r="M2150" s="176"/>
      <c r="N2150" s="176"/>
      <c r="O2150" s="176"/>
      <c r="P2150" s="176"/>
      <c r="Q2150" s="176"/>
      <c r="R2150" s="176"/>
      <c r="S2150" s="176"/>
      <c r="T2150" s="176"/>
      <c r="U2150" s="176"/>
      <c r="V2150" s="176"/>
      <c r="W2150" s="176"/>
      <c r="X2150" s="176"/>
      <c r="Y2150" s="176"/>
    </row>
    <row r="2151" spans="1:25">
      <c r="A2151" s="91"/>
      <c r="B2151" s="176"/>
      <c r="C2151" s="176"/>
      <c r="D2151" s="176"/>
      <c r="E2151" s="176"/>
      <c r="F2151" s="176"/>
      <c r="G2151" s="176"/>
      <c r="H2151" s="176"/>
      <c r="I2151" s="176"/>
      <c r="J2151" s="176"/>
      <c r="K2151" s="176"/>
      <c r="L2151" s="176"/>
      <c r="M2151" s="176"/>
      <c r="N2151" s="176"/>
      <c r="O2151" s="176"/>
      <c r="P2151" s="176"/>
      <c r="Q2151" s="176"/>
      <c r="R2151" s="176"/>
      <c r="S2151" s="176"/>
      <c r="T2151" s="176"/>
      <c r="U2151" s="176"/>
      <c r="V2151" s="176"/>
      <c r="W2151" s="176"/>
      <c r="X2151" s="176"/>
      <c r="Y2151" s="176"/>
    </row>
    <row r="2152" spans="1:25">
      <c r="A2152" s="91"/>
      <c r="B2152" s="176"/>
      <c r="C2152" s="176"/>
      <c r="D2152" s="176"/>
      <c r="E2152" s="176"/>
      <c r="F2152" s="176"/>
      <c r="G2152" s="176"/>
      <c r="H2152" s="176"/>
      <c r="I2152" s="176"/>
      <c r="J2152" s="176"/>
      <c r="K2152" s="176"/>
      <c r="L2152" s="176"/>
      <c r="M2152" s="176"/>
      <c r="N2152" s="176"/>
      <c r="O2152" s="176"/>
      <c r="P2152" s="176"/>
      <c r="Q2152" s="176"/>
      <c r="R2152" s="176"/>
      <c r="S2152" s="176"/>
      <c r="T2152" s="176"/>
      <c r="U2152" s="176"/>
      <c r="V2152" s="176"/>
      <c r="W2152" s="176"/>
      <c r="X2152" s="176"/>
      <c r="Y2152" s="176"/>
    </row>
    <row r="2153" spans="1:25">
      <c r="A2153" s="91"/>
      <c r="B2153" s="176"/>
      <c r="C2153" s="176"/>
      <c r="D2153" s="176"/>
      <c r="E2153" s="176"/>
      <c r="F2153" s="176"/>
      <c r="G2153" s="176"/>
      <c r="H2153" s="176"/>
      <c r="I2153" s="176"/>
      <c r="J2153" s="176"/>
      <c r="K2153" s="176"/>
      <c r="L2153" s="176"/>
      <c r="M2153" s="176"/>
      <c r="N2153" s="176"/>
      <c r="O2153" s="176"/>
      <c r="P2153" s="176"/>
      <c r="Q2153" s="176"/>
      <c r="R2153" s="176"/>
      <c r="S2153" s="176"/>
      <c r="T2153" s="176"/>
      <c r="U2153" s="176"/>
      <c r="V2153" s="176"/>
      <c r="W2153" s="176"/>
      <c r="X2153" s="176"/>
      <c r="Y2153" s="176"/>
    </row>
    <row r="2154" spans="1:25">
      <c r="A2154" s="91"/>
      <c r="B2154" s="176"/>
      <c r="C2154" s="176"/>
      <c r="D2154" s="176"/>
      <c r="E2154" s="176"/>
      <c r="F2154" s="176"/>
      <c r="G2154" s="176"/>
      <c r="H2154" s="176"/>
      <c r="I2154" s="176"/>
      <c r="J2154" s="176"/>
      <c r="K2154" s="176"/>
      <c r="L2154" s="176"/>
      <c r="M2154" s="176"/>
      <c r="N2154" s="176"/>
      <c r="O2154" s="176"/>
      <c r="P2154" s="176"/>
      <c r="Q2154" s="176"/>
      <c r="R2154" s="176"/>
      <c r="S2154" s="176"/>
      <c r="T2154" s="176"/>
      <c r="U2154" s="176"/>
      <c r="V2154" s="176"/>
      <c r="W2154" s="176"/>
      <c r="X2154" s="176"/>
      <c r="Y2154" s="176"/>
    </row>
    <row r="2155" spans="1:25">
      <c r="A2155" s="91"/>
      <c r="B2155" s="176"/>
      <c r="C2155" s="176"/>
      <c r="D2155" s="176"/>
      <c r="E2155" s="176"/>
      <c r="F2155" s="176"/>
      <c r="G2155" s="176"/>
      <c r="H2155" s="176"/>
      <c r="I2155" s="176"/>
      <c r="J2155" s="176"/>
      <c r="K2155" s="176"/>
      <c r="L2155" s="176"/>
      <c r="M2155" s="176"/>
      <c r="N2155" s="176"/>
      <c r="O2155" s="176"/>
      <c r="P2155" s="176"/>
      <c r="Q2155" s="176"/>
      <c r="R2155" s="176"/>
      <c r="S2155" s="176"/>
      <c r="T2155" s="176"/>
      <c r="U2155" s="176"/>
      <c r="V2155" s="176"/>
      <c r="W2155" s="176"/>
      <c r="X2155" s="176"/>
      <c r="Y2155" s="176"/>
    </row>
    <row r="2156" spans="1:25">
      <c r="A2156" s="91"/>
      <c r="B2156" s="176"/>
      <c r="C2156" s="176"/>
      <c r="D2156" s="176"/>
      <c r="E2156" s="176"/>
      <c r="F2156" s="176"/>
      <c r="G2156" s="176"/>
      <c r="H2156" s="176"/>
      <c r="I2156" s="176"/>
      <c r="J2156" s="176"/>
      <c r="K2156" s="176"/>
      <c r="L2156" s="176"/>
      <c r="M2156" s="176"/>
      <c r="N2156" s="176"/>
      <c r="O2156" s="176"/>
      <c r="P2156" s="176"/>
      <c r="Q2156" s="176"/>
      <c r="R2156" s="176"/>
      <c r="S2156" s="176"/>
      <c r="T2156" s="176"/>
      <c r="U2156" s="176"/>
      <c r="V2156" s="176"/>
      <c r="W2156" s="176"/>
      <c r="X2156" s="176"/>
      <c r="Y2156" s="176"/>
    </row>
    <row r="2157" spans="1:25">
      <c r="A2157" s="91"/>
      <c r="B2157" s="176"/>
      <c r="C2157" s="176"/>
      <c r="D2157" s="176"/>
      <c r="E2157" s="176"/>
      <c r="F2157" s="176"/>
      <c r="G2157" s="176"/>
      <c r="H2157" s="176"/>
      <c r="I2157" s="176"/>
      <c r="J2157" s="176"/>
      <c r="K2157" s="176"/>
      <c r="L2157" s="176"/>
      <c r="M2157" s="176"/>
      <c r="N2157" s="176"/>
      <c r="O2157" s="176"/>
      <c r="P2157" s="176"/>
      <c r="Q2157" s="176"/>
      <c r="R2157" s="176"/>
      <c r="S2157" s="176"/>
      <c r="T2157" s="176"/>
      <c r="U2157" s="176"/>
      <c r="V2157" s="176"/>
      <c r="W2157" s="176"/>
      <c r="X2157" s="176"/>
      <c r="Y2157" s="176"/>
    </row>
    <row r="2158" spans="1:25">
      <c r="A2158" s="91"/>
      <c r="B2158" s="176"/>
      <c r="C2158" s="176"/>
      <c r="D2158" s="176"/>
      <c r="E2158" s="176"/>
      <c r="F2158" s="176"/>
      <c r="G2158" s="176"/>
      <c r="H2158" s="176"/>
      <c r="I2158" s="176"/>
      <c r="J2158" s="176"/>
      <c r="K2158" s="176"/>
      <c r="L2158" s="176"/>
      <c r="M2158" s="176"/>
      <c r="N2158" s="176"/>
      <c r="O2158" s="176"/>
      <c r="P2158" s="176"/>
      <c r="Q2158" s="176"/>
      <c r="R2158" s="176"/>
      <c r="S2158" s="176"/>
      <c r="T2158" s="176"/>
      <c r="U2158" s="176"/>
      <c r="V2158" s="176"/>
      <c r="W2158" s="176"/>
      <c r="X2158" s="176"/>
      <c r="Y2158" s="176"/>
    </row>
    <row r="2159" spans="1:25">
      <c r="A2159" s="91"/>
      <c r="B2159" s="176"/>
      <c r="C2159" s="176"/>
      <c r="D2159" s="176"/>
      <c r="E2159" s="176"/>
      <c r="F2159" s="176"/>
      <c r="G2159" s="176"/>
      <c r="H2159" s="176"/>
      <c r="I2159" s="176"/>
      <c r="J2159" s="176"/>
      <c r="K2159" s="176"/>
      <c r="L2159" s="176"/>
      <c r="M2159" s="176"/>
      <c r="N2159" s="176"/>
      <c r="O2159" s="176"/>
      <c r="P2159" s="176"/>
      <c r="Q2159" s="176"/>
      <c r="R2159" s="176"/>
      <c r="S2159" s="176"/>
      <c r="T2159" s="176"/>
      <c r="U2159" s="176"/>
      <c r="V2159" s="176"/>
      <c r="W2159" s="176"/>
      <c r="X2159" s="176"/>
      <c r="Y2159" s="176"/>
    </row>
    <row r="2160" spans="1:25">
      <c r="A2160" s="91"/>
      <c r="B2160" s="176"/>
      <c r="C2160" s="176"/>
      <c r="D2160" s="176"/>
      <c r="E2160" s="176"/>
      <c r="F2160" s="176"/>
      <c r="G2160" s="176"/>
      <c r="H2160" s="176"/>
      <c r="I2160" s="176"/>
      <c r="J2160" s="176"/>
      <c r="K2160" s="176"/>
      <c r="L2160" s="176"/>
      <c r="M2160" s="176"/>
      <c r="N2160" s="176"/>
      <c r="O2160" s="176"/>
      <c r="P2160" s="176"/>
      <c r="Q2160" s="176"/>
      <c r="R2160" s="176"/>
      <c r="S2160" s="176"/>
      <c r="T2160" s="176"/>
      <c r="U2160" s="176"/>
      <c r="V2160" s="176"/>
      <c r="W2160" s="176"/>
      <c r="X2160" s="176"/>
      <c r="Y2160" s="176"/>
    </row>
    <row r="2161" spans="1:25">
      <c r="A2161" s="91"/>
      <c r="B2161" s="176"/>
      <c r="C2161" s="176"/>
      <c r="D2161" s="176"/>
      <c r="E2161" s="176"/>
      <c r="F2161" s="176"/>
      <c r="G2161" s="176"/>
      <c r="H2161" s="176"/>
      <c r="I2161" s="176"/>
      <c r="J2161" s="176"/>
      <c r="K2161" s="176"/>
      <c r="L2161" s="176"/>
      <c r="M2161" s="176"/>
      <c r="N2161" s="176"/>
      <c r="O2161" s="176"/>
      <c r="P2161" s="176"/>
      <c r="Q2161" s="176"/>
      <c r="R2161" s="176"/>
      <c r="S2161" s="176"/>
      <c r="T2161" s="176"/>
      <c r="U2161" s="176"/>
      <c r="V2161" s="176"/>
      <c r="W2161" s="176"/>
      <c r="X2161" s="176"/>
      <c r="Y2161" s="176"/>
    </row>
    <row r="2162" spans="1:25">
      <c r="A2162" s="91"/>
      <c r="B2162" s="176"/>
      <c r="C2162" s="176"/>
      <c r="D2162" s="176"/>
      <c r="E2162" s="176"/>
      <c r="F2162" s="176"/>
      <c r="G2162" s="176"/>
      <c r="H2162" s="176"/>
      <c r="I2162" s="176"/>
      <c r="J2162" s="176"/>
      <c r="K2162" s="176"/>
      <c r="L2162" s="176"/>
      <c r="M2162" s="176"/>
      <c r="N2162" s="176"/>
      <c r="O2162" s="176"/>
      <c r="P2162" s="176"/>
      <c r="Q2162" s="176"/>
      <c r="R2162" s="176"/>
      <c r="S2162" s="176"/>
      <c r="T2162" s="176"/>
      <c r="U2162" s="176"/>
      <c r="V2162" s="176"/>
      <c r="W2162" s="176"/>
      <c r="X2162" s="176"/>
      <c r="Y2162" s="176"/>
    </row>
    <row r="2163" spans="1:25">
      <c r="A2163" s="91"/>
      <c r="B2163" s="176"/>
      <c r="C2163" s="176"/>
      <c r="D2163" s="176"/>
      <c r="E2163" s="176"/>
      <c r="F2163" s="176"/>
      <c r="G2163" s="176"/>
      <c r="H2163" s="176"/>
      <c r="I2163" s="176"/>
      <c r="J2163" s="176"/>
      <c r="K2163" s="176"/>
      <c r="L2163" s="176"/>
      <c r="M2163" s="176"/>
      <c r="N2163" s="176"/>
      <c r="O2163" s="176"/>
      <c r="P2163" s="176"/>
      <c r="Q2163" s="176"/>
      <c r="R2163" s="176"/>
      <c r="S2163" s="176"/>
      <c r="T2163" s="176"/>
      <c r="U2163" s="176"/>
      <c r="V2163" s="176"/>
      <c r="W2163" s="176"/>
      <c r="X2163" s="176"/>
      <c r="Y2163" s="176"/>
    </row>
    <row r="2164" spans="1:25">
      <c r="A2164" s="91"/>
      <c r="B2164" s="176"/>
      <c r="C2164" s="176"/>
      <c r="D2164" s="176"/>
      <c r="E2164" s="176"/>
      <c r="F2164" s="176"/>
      <c r="G2164" s="176"/>
      <c r="H2164" s="176"/>
      <c r="I2164" s="176"/>
      <c r="J2164" s="176"/>
      <c r="K2164" s="176"/>
      <c r="L2164" s="176"/>
      <c r="M2164" s="176"/>
      <c r="N2164" s="176"/>
      <c r="O2164" s="176"/>
      <c r="P2164" s="176"/>
      <c r="Q2164" s="176"/>
      <c r="R2164" s="176"/>
      <c r="S2164" s="176"/>
      <c r="T2164" s="176"/>
      <c r="U2164" s="176"/>
      <c r="V2164" s="176"/>
      <c r="W2164" s="176"/>
      <c r="X2164" s="176"/>
      <c r="Y2164" s="176"/>
    </row>
    <row r="2165" spans="1:25">
      <c r="A2165" s="91"/>
      <c r="B2165" s="176"/>
      <c r="C2165" s="176"/>
      <c r="D2165" s="176"/>
      <c r="E2165" s="176"/>
      <c r="F2165" s="176"/>
      <c r="G2165" s="176"/>
      <c r="H2165" s="176"/>
      <c r="I2165" s="176"/>
      <c r="J2165" s="176"/>
      <c r="K2165" s="176"/>
      <c r="L2165" s="176"/>
      <c r="M2165" s="176"/>
      <c r="N2165" s="176"/>
      <c r="O2165" s="176"/>
      <c r="P2165" s="176"/>
      <c r="Q2165" s="176"/>
      <c r="R2165" s="176"/>
      <c r="S2165" s="176"/>
      <c r="T2165" s="176"/>
      <c r="U2165" s="176"/>
      <c r="V2165" s="176"/>
      <c r="W2165" s="176"/>
      <c r="X2165" s="176"/>
      <c r="Y2165" s="176"/>
    </row>
    <row r="2166" spans="1:25">
      <c r="A2166" s="91"/>
      <c r="B2166" s="176"/>
      <c r="C2166" s="176"/>
      <c r="D2166" s="176"/>
      <c r="E2166" s="176"/>
      <c r="F2166" s="176"/>
      <c r="G2166" s="176"/>
      <c r="H2166" s="176"/>
      <c r="I2166" s="176"/>
      <c r="J2166" s="176"/>
      <c r="K2166" s="176"/>
      <c r="L2166" s="176"/>
      <c r="M2166" s="176"/>
      <c r="N2166" s="176"/>
      <c r="O2166" s="176"/>
      <c r="P2166" s="176"/>
      <c r="Q2166" s="176"/>
      <c r="R2166" s="176"/>
      <c r="S2166" s="176"/>
      <c r="T2166" s="176"/>
      <c r="U2166" s="176"/>
      <c r="V2166" s="176"/>
      <c r="W2166" s="176"/>
      <c r="X2166" s="176"/>
      <c r="Y2166" s="176"/>
    </row>
    <row r="2167" spans="1:25">
      <c r="A2167" s="91"/>
      <c r="B2167" s="176"/>
      <c r="C2167" s="176"/>
      <c r="D2167" s="176"/>
      <c r="E2167" s="176"/>
      <c r="F2167" s="176"/>
      <c r="G2167" s="176"/>
      <c r="H2167" s="176"/>
      <c r="I2167" s="176"/>
      <c r="J2167" s="176"/>
      <c r="K2167" s="176"/>
      <c r="L2167" s="176"/>
      <c r="M2167" s="176"/>
      <c r="N2167" s="176"/>
      <c r="O2167" s="176"/>
      <c r="P2167" s="176"/>
      <c r="Q2167" s="176"/>
      <c r="R2167" s="176"/>
      <c r="S2167" s="176"/>
      <c r="T2167" s="176"/>
      <c r="U2167" s="176"/>
      <c r="V2167" s="176"/>
      <c r="W2167" s="176"/>
      <c r="X2167" s="176"/>
      <c r="Y2167" s="176"/>
    </row>
    <row r="2168" spans="1:25">
      <c r="A2168" s="91"/>
      <c r="B2168" s="176"/>
      <c r="C2168" s="176"/>
      <c r="D2168" s="176"/>
      <c r="E2168" s="176"/>
      <c r="F2168" s="176"/>
      <c r="G2168" s="176"/>
      <c r="H2168" s="176"/>
      <c r="I2168" s="176"/>
      <c r="J2168" s="176"/>
      <c r="K2168" s="176"/>
      <c r="L2168" s="176"/>
      <c r="M2168" s="176"/>
      <c r="N2168" s="176"/>
      <c r="O2168" s="176"/>
      <c r="P2168" s="176"/>
      <c r="Q2168" s="176"/>
      <c r="R2168" s="176"/>
      <c r="S2168" s="176"/>
      <c r="T2168" s="176"/>
      <c r="U2168" s="176"/>
      <c r="V2168" s="176"/>
      <c r="W2168" s="176"/>
      <c r="X2168" s="176"/>
      <c r="Y2168" s="176"/>
    </row>
    <row r="2169" spans="1:25">
      <c r="A2169" s="91"/>
      <c r="B2169" s="176"/>
      <c r="C2169" s="176"/>
      <c r="D2169" s="176"/>
      <c r="E2169" s="176"/>
      <c r="F2169" s="176"/>
      <c r="G2169" s="176"/>
      <c r="H2169" s="176"/>
      <c r="I2169" s="176"/>
      <c r="J2169" s="176"/>
      <c r="K2169" s="176"/>
      <c r="L2169" s="176"/>
      <c r="M2169" s="176"/>
      <c r="N2169" s="176"/>
      <c r="O2169" s="176"/>
      <c r="P2169" s="176"/>
      <c r="Q2169" s="176"/>
      <c r="R2169" s="176"/>
      <c r="S2169" s="176"/>
      <c r="T2169" s="176"/>
      <c r="U2169" s="176"/>
      <c r="V2169" s="176"/>
      <c r="W2169" s="176"/>
      <c r="X2169" s="176"/>
      <c r="Y2169" s="176"/>
    </row>
    <row r="2170" spans="1:25">
      <c r="A2170" s="91"/>
      <c r="B2170" s="176"/>
      <c r="C2170" s="176"/>
      <c r="D2170" s="176"/>
      <c r="E2170" s="176"/>
      <c r="F2170" s="176"/>
      <c r="G2170" s="176"/>
      <c r="H2170" s="176"/>
      <c r="I2170" s="176"/>
      <c r="J2170" s="176"/>
      <c r="K2170" s="176"/>
      <c r="L2170" s="176"/>
      <c r="M2170" s="176"/>
      <c r="N2170" s="176"/>
      <c r="O2170" s="176"/>
      <c r="P2170" s="176"/>
      <c r="Q2170" s="176"/>
      <c r="R2170" s="176"/>
      <c r="S2170" s="176"/>
      <c r="T2170" s="176"/>
      <c r="U2170" s="176"/>
      <c r="V2170" s="176"/>
      <c r="W2170" s="176"/>
      <c r="X2170" s="176"/>
      <c r="Y2170" s="176"/>
    </row>
    <row r="2171" spans="1:25">
      <c r="A2171" s="91"/>
      <c r="B2171" s="176"/>
      <c r="C2171" s="176"/>
      <c r="D2171" s="176"/>
      <c r="E2171" s="176"/>
      <c r="F2171" s="176"/>
      <c r="G2171" s="176"/>
      <c r="H2171" s="176"/>
      <c r="I2171" s="176"/>
      <c r="J2171" s="176"/>
      <c r="K2171" s="176"/>
      <c r="L2171" s="176"/>
      <c r="M2171" s="176"/>
      <c r="N2171" s="176"/>
      <c r="O2171" s="176"/>
      <c r="P2171" s="176"/>
      <c r="Q2171" s="176"/>
      <c r="R2171" s="176"/>
      <c r="S2171" s="176"/>
      <c r="T2171" s="176"/>
      <c r="U2171" s="176"/>
      <c r="V2171" s="176"/>
      <c r="W2171" s="176"/>
      <c r="X2171" s="176"/>
      <c r="Y2171" s="176"/>
    </row>
    <row r="2172" spans="1:25">
      <c r="A2172" s="91"/>
      <c r="B2172" s="176"/>
      <c r="C2172" s="176"/>
      <c r="D2172" s="176"/>
      <c r="E2172" s="176"/>
      <c r="F2172" s="176"/>
      <c r="G2172" s="176"/>
      <c r="H2172" s="176"/>
      <c r="I2172" s="176"/>
      <c r="J2172" s="176"/>
      <c r="K2172" s="176"/>
      <c r="L2172" s="176"/>
      <c r="M2172" s="176"/>
      <c r="N2172" s="176"/>
      <c r="O2172" s="176"/>
      <c r="P2172" s="176"/>
      <c r="Q2172" s="176"/>
      <c r="R2172" s="176"/>
      <c r="S2172" s="176"/>
      <c r="T2172" s="176"/>
      <c r="U2172" s="176"/>
      <c r="V2172" s="176"/>
      <c r="W2172" s="176"/>
      <c r="X2172" s="176"/>
      <c r="Y2172" s="176"/>
    </row>
    <row r="2173" spans="1:25">
      <c r="A2173" s="91"/>
      <c r="B2173" s="176"/>
      <c r="C2173" s="176"/>
      <c r="D2173" s="176"/>
      <c r="E2173" s="176"/>
      <c r="F2173" s="176"/>
      <c r="G2173" s="176"/>
      <c r="H2173" s="176"/>
      <c r="I2173" s="176"/>
      <c r="J2173" s="176"/>
      <c r="K2173" s="176"/>
      <c r="L2173" s="176"/>
      <c r="M2173" s="176"/>
      <c r="N2173" s="176"/>
      <c r="O2173" s="176"/>
      <c r="P2173" s="176"/>
      <c r="Q2173" s="176"/>
      <c r="R2173" s="176"/>
      <c r="S2173" s="176"/>
      <c r="T2173" s="176"/>
      <c r="U2173" s="176"/>
      <c r="V2173" s="176"/>
      <c r="W2173" s="176"/>
      <c r="X2173" s="176"/>
      <c r="Y2173" s="176"/>
    </row>
    <row r="2174" spans="1:25">
      <c r="A2174" s="91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  <c r="L2174" s="176"/>
      <c r="M2174" s="176"/>
      <c r="N2174" s="176"/>
      <c r="O2174" s="176"/>
      <c r="P2174" s="176"/>
      <c r="Q2174" s="176"/>
      <c r="R2174" s="176"/>
      <c r="S2174" s="176"/>
      <c r="T2174" s="176"/>
      <c r="U2174" s="176"/>
      <c r="V2174" s="176"/>
      <c r="W2174" s="176"/>
      <c r="X2174" s="176"/>
      <c r="Y2174" s="176"/>
    </row>
    <row r="2175" spans="1:25">
      <c r="A2175" s="91"/>
      <c r="B2175" s="176"/>
      <c r="C2175" s="176"/>
      <c r="D2175" s="176"/>
      <c r="E2175" s="176"/>
      <c r="F2175" s="176"/>
      <c r="G2175" s="176"/>
      <c r="H2175" s="176"/>
      <c r="I2175" s="176"/>
      <c r="J2175" s="176"/>
      <c r="K2175" s="176"/>
      <c r="L2175" s="176"/>
      <c r="M2175" s="176"/>
      <c r="N2175" s="176"/>
      <c r="O2175" s="176"/>
      <c r="P2175" s="176"/>
      <c r="Q2175" s="176"/>
      <c r="R2175" s="176"/>
      <c r="S2175" s="176"/>
      <c r="T2175" s="176"/>
      <c r="U2175" s="176"/>
      <c r="V2175" s="176"/>
      <c r="W2175" s="176"/>
      <c r="X2175" s="176"/>
      <c r="Y2175" s="176"/>
    </row>
    <row r="2176" spans="1:25">
      <c r="A2176" s="91"/>
      <c r="B2176" s="176"/>
      <c r="C2176" s="176"/>
      <c r="D2176" s="176"/>
      <c r="E2176" s="176"/>
      <c r="F2176" s="176"/>
      <c r="G2176" s="176"/>
      <c r="H2176" s="176"/>
      <c r="I2176" s="176"/>
      <c r="J2176" s="176"/>
      <c r="K2176" s="176"/>
      <c r="L2176" s="176"/>
      <c r="M2176" s="176"/>
      <c r="N2176" s="176"/>
      <c r="O2176" s="176"/>
      <c r="P2176" s="176"/>
      <c r="Q2176" s="176"/>
      <c r="R2176" s="176"/>
      <c r="S2176" s="176"/>
      <c r="T2176" s="176"/>
      <c r="U2176" s="176"/>
      <c r="V2176" s="176"/>
      <c r="W2176" s="176"/>
      <c r="X2176" s="176"/>
      <c r="Y2176" s="176"/>
    </row>
    <row r="2177" spans="1:25">
      <c r="A2177" s="91"/>
      <c r="B2177" s="176"/>
      <c r="C2177" s="176"/>
      <c r="D2177" s="176"/>
      <c r="E2177" s="176"/>
      <c r="F2177" s="176"/>
      <c r="G2177" s="176"/>
      <c r="H2177" s="176"/>
      <c r="I2177" s="176"/>
      <c r="J2177" s="176"/>
      <c r="K2177" s="176"/>
      <c r="L2177" s="176"/>
      <c r="M2177" s="176"/>
      <c r="N2177" s="176"/>
      <c r="O2177" s="176"/>
      <c r="P2177" s="176"/>
      <c r="Q2177" s="176"/>
      <c r="R2177" s="176"/>
      <c r="S2177" s="176"/>
      <c r="T2177" s="176"/>
      <c r="U2177" s="176"/>
      <c r="V2177" s="176"/>
      <c r="W2177" s="176"/>
      <c r="X2177" s="176"/>
      <c r="Y2177" s="176"/>
    </row>
    <row r="2178" spans="1:25">
      <c r="A2178" s="91"/>
      <c r="B2178" s="176"/>
      <c r="C2178" s="176"/>
      <c r="D2178" s="176"/>
      <c r="E2178" s="176"/>
      <c r="F2178" s="176"/>
      <c r="G2178" s="176"/>
      <c r="H2178" s="176"/>
      <c r="I2178" s="176"/>
      <c r="J2178" s="176"/>
      <c r="K2178" s="176"/>
      <c r="L2178" s="176"/>
      <c r="M2178" s="176"/>
      <c r="N2178" s="176"/>
      <c r="O2178" s="176"/>
      <c r="P2178" s="176"/>
      <c r="Q2178" s="176"/>
      <c r="R2178" s="176"/>
      <c r="S2178" s="176"/>
      <c r="T2178" s="176"/>
      <c r="U2178" s="176"/>
      <c r="V2178" s="176"/>
      <c r="W2178" s="176"/>
      <c r="X2178" s="176"/>
      <c r="Y2178" s="176"/>
    </row>
    <row r="2179" spans="1:25">
      <c r="A2179" s="91"/>
      <c r="B2179" s="176"/>
      <c r="C2179" s="176"/>
      <c r="D2179" s="176"/>
      <c r="E2179" s="176"/>
      <c r="F2179" s="176"/>
      <c r="G2179" s="176"/>
      <c r="H2179" s="176"/>
      <c r="I2179" s="176"/>
      <c r="J2179" s="176"/>
      <c r="K2179" s="176"/>
      <c r="L2179" s="176"/>
      <c r="M2179" s="176"/>
      <c r="N2179" s="176"/>
      <c r="O2179" s="176"/>
      <c r="P2179" s="176"/>
      <c r="Q2179" s="176"/>
      <c r="R2179" s="176"/>
      <c r="S2179" s="176"/>
      <c r="T2179" s="176"/>
      <c r="U2179" s="176"/>
      <c r="V2179" s="176"/>
      <c r="W2179" s="176"/>
      <c r="X2179" s="176"/>
      <c r="Y2179" s="176"/>
    </row>
    <row r="2180" spans="1:25">
      <c r="A2180" s="91"/>
      <c r="B2180" s="176"/>
      <c r="C2180" s="176"/>
      <c r="D2180" s="176"/>
      <c r="E2180" s="176"/>
      <c r="F2180" s="176"/>
      <c r="G2180" s="176"/>
      <c r="H2180" s="176"/>
      <c r="I2180" s="176"/>
      <c r="J2180" s="176"/>
      <c r="K2180" s="176"/>
      <c r="L2180" s="176"/>
      <c r="M2180" s="176"/>
      <c r="N2180" s="176"/>
      <c r="O2180" s="176"/>
      <c r="P2180" s="176"/>
      <c r="Q2180" s="176"/>
      <c r="R2180" s="176"/>
      <c r="S2180" s="176"/>
      <c r="T2180" s="176"/>
      <c r="U2180" s="176"/>
      <c r="V2180" s="176"/>
      <c r="W2180" s="176"/>
      <c r="X2180" s="176"/>
      <c r="Y2180" s="176"/>
    </row>
    <row r="2181" spans="1:25">
      <c r="A2181" s="91"/>
      <c r="B2181" s="176"/>
      <c r="C2181" s="176"/>
      <c r="D2181" s="176"/>
      <c r="E2181" s="176"/>
      <c r="F2181" s="176"/>
      <c r="G2181" s="176"/>
      <c r="H2181" s="176"/>
      <c r="I2181" s="176"/>
      <c r="J2181" s="176"/>
      <c r="K2181" s="176"/>
      <c r="L2181" s="176"/>
      <c r="M2181" s="176"/>
      <c r="N2181" s="176"/>
      <c r="O2181" s="176"/>
      <c r="P2181" s="176"/>
      <c r="Q2181" s="176"/>
      <c r="R2181" s="176"/>
      <c r="S2181" s="176"/>
      <c r="T2181" s="176"/>
      <c r="U2181" s="176"/>
      <c r="V2181" s="176"/>
      <c r="W2181" s="176"/>
      <c r="X2181" s="176"/>
      <c r="Y2181" s="176"/>
    </row>
    <row r="2182" spans="1:25">
      <c r="A2182" s="91"/>
      <c r="B2182" s="176"/>
      <c r="C2182" s="176"/>
      <c r="D2182" s="176"/>
      <c r="E2182" s="176"/>
      <c r="F2182" s="176"/>
      <c r="G2182" s="176"/>
      <c r="H2182" s="176"/>
      <c r="I2182" s="176"/>
      <c r="J2182" s="176"/>
      <c r="K2182" s="176"/>
      <c r="L2182" s="176"/>
      <c r="M2182" s="176"/>
      <c r="N2182" s="176"/>
      <c r="O2182" s="176"/>
      <c r="P2182" s="176"/>
      <c r="Q2182" s="176"/>
      <c r="R2182" s="176"/>
      <c r="S2182" s="176"/>
      <c r="T2182" s="176"/>
      <c r="U2182" s="176"/>
      <c r="V2182" s="176"/>
      <c r="W2182" s="176"/>
      <c r="X2182" s="176"/>
      <c r="Y2182" s="176"/>
    </row>
    <row r="2183" spans="1:25">
      <c r="A2183" s="91"/>
      <c r="B2183" s="176"/>
      <c r="C2183" s="176"/>
      <c r="D2183" s="176"/>
      <c r="E2183" s="176"/>
      <c r="F2183" s="176"/>
      <c r="G2183" s="176"/>
      <c r="H2183" s="176"/>
      <c r="I2183" s="176"/>
      <c r="J2183" s="176"/>
      <c r="K2183" s="176"/>
      <c r="L2183" s="176"/>
      <c r="M2183" s="176"/>
      <c r="N2183" s="176"/>
      <c r="O2183" s="176"/>
      <c r="P2183" s="176"/>
      <c r="Q2183" s="176"/>
      <c r="R2183" s="176"/>
      <c r="S2183" s="176"/>
      <c r="T2183" s="176"/>
      <c r="U2183" s="176"/>
      <c r="V2183" s="176"/>
      <c r="W2183" s="176"/>
      <c r="X2183" s="176"/>
      <c r="Y2183" s="176"/>
    </row>
    <row r="2184" spans="1:25">
      <c r="A2184" s="91"/>
      <c r="B2184" s="176"/>
      <c r="C2184" s="176"/>
      <c r="D2184" s="176"/>
      <c r="E2184" s="176"/>
      <c r="F2184" s="176"/>
      <c r="G2184" s="176"/>
      <c r="H2184" s="176"/>
      <c r="I2184" s="176"/>
      <c r="J2184" s="176"/>
      <c r="K2184" s="176"/>
      <c r="L2184" s="176"/>
      <c r="M2184" s="176"/>
      <c r="N2184" s="176"/>
      <c r="O2184" s="176"/>
      <c r="P2184" s="176"/>
      <c r="Q2184" s="176"/>
      <c r="R2184" s="176"/>
      <c r="S2184" s="176"/>
      <c r="T2184" s="176"/>
      <c r="U2184" s="176"/>
      <c r="V2184" s="176"/>
      <c r="W2184" s="176"/>
      <c r="X2184" s="176"/>
      <c r="Y2184" s="176"/>
    </row>
    <row r="2185" spans="1:25">
      <c r="A2185" s="91"/>
      <c r="B2185" s="176"/>
      <c r="C2185" s="176"/>
      <c r="D2185" s="176"/>
      <c r="E2185" s="176"/>
      <c r="F2185" s="176"/>
      <c r="G2185" s="176"/>
      <c r="H2185" s="176"/>
      <c r="I2185" s="176"/>
      <c r="J2185" s="176"/>
      <c r="K2185" s="176"/>
      <c r="L2185" s="176"/>
      <c r="M2185" s="176"/>
      <c r="N2185" s="176"/>
      <c r="O2185" s="176"/>
      <c r="P2185" s="176"/>
      <c r="Q2185" s="176"/>
      <c r="R2185" s="176"/>
      <c r="S2185" s="176"/>
      <c r="T2185" s="176"/>
      <c r="U2185" s="176"/>
      <c r="V2185" s="176"/>
      <c r="W2185" s="176"/>
      <c r="X2185" s="176"/>
      <c r="Y2185" s="176"/>
    </row>
    <row r="2186" spans="1:25">
      <c r="A2186" s="91"/>
      <c r="B2186" s="176"/>
      <c r="C2186" s="176"/>
      <c r="D2186" s="176"/>
      <c r="E2186" s="176"/>
      <c r="F2186" s="176"/>
      <c r="G2186" s="176"/>
      <c r="H2186" s="176"/>
      <c r="I2186" s="176"/>
      <c r="J2186" s="176"/>
      <c r="K2186" s="176"/>
      <c r="L2186" s="176"/>
      <c r="M2186" s="176"/>
      <c r="N2186" s="176"/>
      <c r="O2186" s="176"/>
      <c r="P2186" s="176"/>
      <c r="Q2186" s="176"/>
      <c r="R2186" s="176"/>
      <c r="S2186" s="176"/>
      <c r="T2186" s="176"/>
      <c r="U2186" s="176"/>
      <c r="V2186" s="176"/>
      <c r="W2186" s="176"/>
      <c r="X2186" s="176"/>
      <c r="Y2186" s="176"/>
    </row>
    <row r="2187" spans="1:25">
      <c r="A2187" s="91"/>
      <c r="B2187" s="176"/>
      <c r="C2187" s="176"/>
      <c r="D2187" s="176"/>
      <c r="E2187" s="176"/>
      <c r="F2187" s="176"/>
      <c r="G2187" s="176"/>
      <c r="H2187" s="176"/>
      <c r="I2187" s="176"/>
      <c r="J2187" s="176"/>
      <c r="K2187" s="176"/>
      <c r="L2187" s="176"/>
      <c r="M2187" s="176"/>
      <c r="N2187" s="176"/>
      <c r="O2187" s="176"/>
      <c r="P2187" s="176"/>
      <c r="Q2187" s="176"/>
      <c r="R2187" s="176"/>
      <c r="S2187" s="176"/>
      <c r="T2187" s="176"/>
      <c r="U2187" s="176"/>
      <c r="V2187" s="176"/>
      <c r="W2187" s="176"/>
      <c r="X2187" s="176"/>
      <c r="Y2187" s="176"/>
    </row>
    <row r="2188" spans="1:25">
      <c r="A2188" s="91"/>
      <c r="B2188" s="176"/>
      <c r="C2188" s="176"/>
      <c r="D2188" s="176"/>
      <c r="E2188" s="176"/>
      <c r="F2188" s="176"/>
      <c r="G2188" s="176"/>
      <c r="H2188" s="176"/>
      <c r="I2188" s="176"/>
      <c r="J2188" s="176"/>
      <c r="K2188" s="176"/>
      <c r="L2188" s="176"/>
      <c r="M2188" s="176"/>
      <c r="N2188" s="176"/>
      <c r="O2188" s="176"/>
      <c r="P2188" s="176"/>
      <c r="Q2188" s="176"/>
      <c r="R2188" s="176"/>
      <c r="S2188" s="176"/>
      <c r="T2188" s="176"/>
      <c r="U2188" s="176"/>
      <c r="V2188" s="176"/>
      <c r="W2188" s="176"/>
      <c r="X2188" s="176"/>
      <c r="Y2188" s="176"/>
    </row>
    <row r="2189" spans="1:25">
      <c r="A2189" s="91"/>
      <c r="B2189" s="176"/>
      <c r="C2189" s="176"/>
      <c r="D2189" s="176"/>
      <c r="E2189" s="176"/>
      <c r="F2189" s="176"/>
      <c r="G2189" s="176"/>
      <c r="H2189" s="176"/>
      <c r="I2189" s="176"/>
      <c r="J2189" s="176"/>
      <c r="K2189" s="176"/>
      <c r="L2189" s="176"/>
      <c r="M2189" s="176"/>
      <c r="N2189" s="176"/>
      <c r="O2189" s="176"/>
      <c r="P2189" s="176"/>
      <c r="Q2189" s="176"/>
      <c r="R2189" s="176"/>
      <c r="S2189" s="176"/>
      <c r="T2189" s="176"/>
      <c r="U2189" s="176"/>
      <c r="V2189" s="176"/>
      <c r="W2189" s="176"/>
      <c r="X2189" s="176"/>
      <c r="Y2189" s="176"/>
    </row>
    <row r="2190" spans="1:25">
      <c r="A2190" s="91"/>
      <c r="B2190" s="176"/>
      <c r="C2190" s="176"/>
      <c r="D2190" s="176"/>
      <c r="E2190" s="176"/>
      <c r="F2190" s="176"/>
      <c r="G2190" s="176"/>
      <c r="H2190" s="176"/>
      <c r="I2190" s="176"/>
      <c r="J2190" s="176"/>
      <c r="K2190" s="176"/>
      <c r="L2190" s="176"/>
      <c r="M2190" s="176"/>
      <c r="N2190" s="176"/>
      <c r="O2190" s="176"/>
      <c r="P2190" s="176"/>
      <c r="Q2190" s="176"/>
      <c r="R2190" s="176"/>
      <c r="S2190" s="176"/>
      <c r="T2190" s="176"/>
      <c r="U2190" s="176"/>
      <c r="V2190" s="176"/>
      <c r="W2190" s="176"/>
      <c r="X2190" s="176"/>
      <c r="Y2190" s="176"/>
    </row>
    <row r="2191" spans="1:25">
      <c r="A2191" s="91"/>
      <c r="B2191" s="176"/>
      <c r="C2191" s="176"/>
      <c r="D2191" s="176"/>
      <c r="E2191" s="176"/>
      <c r="F2191" s="176"/>
      <c r="G2191" s="176"/>
      <c r="H2191" s="176"/>
      <c r="I2191" s="176"/>
      <c r="J2191" s="176"/>
      <c r="K2191" s="176"/>
      <c r="L2191" s="176"/>
      <c r="M2191" s="176"/>
      <c r="N2191" s="176"/>
      <c r="O2191" s="176"/>
      <c r="P2191" s="176"/>
      <c r="Q2191" s="176"/>
      <c r="R2191" s="176"/>
      <c r="S2191" s="176"/>
      <c r="T2191" s="176"/>
      <c r="U2191" s="176"/>
      <c r="V2191" s="176"/>
      <c r="W2191" s="176"/>
      <c r="X2191" s="176"/>
      <c r="Y2191" s="176"/>
    </row>
    <row r="2192" spans="1:25">
      <c r="A2192" s="91"/>
      <c r="B2192" s="176"/>
      <c r="C2192" s="176"/>
      <c r="D2192" s="176"/>
      <c r="E2192" s="176"/>
      <c r="F2192" s="176"/>
      <c r="G2192" s="176"/>
      <c r="H2192" s="176"/>
      <c r="I2192" s="176"/>
      <c r="J2192" s="176"/>
      <c r="K2192" s="176"/>
      <c r="L2192" s="176"/>
      <c r="M2192" s="176"/>
      <c r="N2192" s="176"/>
      <c r="O2192" s="176"/>
      <c r="P2192" s="176"/>
      <c r="Q2192" s="176"/>
      <c r="R2192" s="176"/>
      <c r="S2192" s="176"/>
      <c r="T2192" s="176"/>
      <c r="U2192" s="176"/>
      <c r="V2192" s="176"/>
      <c r="W2192" s="176"/>
      <c r="X2192" s="176"/>
      <c r="Y2192" s="176"/>
    </row>
    <row r="2193" spans="1:25">
      <c r="A2193" s="91"/>
      <c r="B2193" s="176"/>
      <c r="C2193" s="176"/>
      <c r="D2193" s="176"/>
      <c r="E2193" s="176"/>
      <c r="F2193" s="176"/>
      <c r="G2193" s="176"/>
      <c r="H2193" s="176"/>
      <c r="I2193" s="176"/>
      <c r="J2193" s="176"/>
      <c r="K2193" s="176"/>
      <c r="L2193" s="176"/>
      <c r="M2193" s="176"/>
      <c r="N2193" s="176"/>
      <c r="O2193" s="176"/>
      <c r="P2193" s="176"/>
      <c r="Q2193" s="176"/>
      <c r="R2193" s="176"/>
      <c r="S2193" s="176"/>
      <c r="T2193" s="176"/>
      <c r="U2193" s="176"/>
      <c r="V2193" s="176"/>
      <c r="W2193" s="176"/>
      <c r="X2193" s="176"/>
      <c r="Y2193" s="176"/>
    </row>
    <row r="2194" spans="1:25">
      <c r="A2194" s="91"/>
      <c r="B2194" s="176"/>
      <c r="C2194" s="176"/>
      <c r="D2194" s="176"/>
      <c r="E2194" s="176"/>
      <c r="F2194" s="176"/>
      <c r="G2194" s="176"/>
      <c r="H2194" s="176"/>
      <c r="I2194" s="176"/>
      <c r="J2194" s="176"/>
      <c r="K2194" s="176"/>
      <c r="L2194" s="176"/>
      <c r="M2194" s="176"/>
      <c r="N2194" s="176"/>
      <c r="O2194" s="176"/>
      <c r="P2194" s="176"/>
      <c r="Q2194" s="176"/>
      <c r="R2194" s="176"/>
      <c r="S2194" s="176"/>
      <c r="T2194" s="176"/>
      <c r="U2194" s="176"/>
      <c r="V2194" s="176"/>
      <c r="W2194" s="176"/>
      <c r="X2194" s="176"/>
      <c r="Y2194" s="176"/>
    </row>
    <row r="2195" spans="1:25">
      <c r="A2195" s="91"/>
      <c r="B2195" s="176"/>
      <c r="C2195" s="176"/>
      <c r="D2195" s="176"/>
      <c r="E2195" s="176"/>
      <c r="F2195" s="176"/>
      <c r="G2195" s="176"/>
      <c r="H2195" s="176"/>
      <c r="I2195" s="176"/>
      <c r="J2195" s="176"/>
      <c r="K2195" s="176"/>
      <c r="L2195" s="176"/>
      <c r="M2195" s="176"/>
      <c r="N2195" s="176"/>
      <c r="O2195" s="176"/>
      <c r="P2195" s="176"/>
      <c r="Q2195" s="176"/>
      <c r="R2195" s="176"/>
      <c r="S2195" s="176"/>
      <c r="T2195" s="176"/>
      <c r="U2195" s="176"/>
      <c r="V2195" s="176"/>
      <c r="W2195" s="176"/>
      <c r="X2195" s="176"/>
      <c r="Y2195" s="176"/>
    </row>
    <row r="2196" spans="1:25">
      <c r="A2196" s="91"/>
      <c r="B2196" s="176"/>
      <c r="C2196" s="176"/>
      <c r="D2196" s="176"/>
      <c r="E2196" s="176"/>
      <c r="F2196" s="176"/>
      <c r="G2196" s="176"/>
      <c r="H2196" s="176"/>
      <c r="I2196" s="176"/>
      <c r="J2196" s="176"/>
      <c r="K2196" s="176"/>
      <c r="L2196" s="176"/>
      <c r="M2196" s="176"/>
      <c r="N2196" s="176"/>
      <c r="O2196" s="176"/>
      <c r="P2196" s="176"/>
      <c r="Q2196" s="176"/>
      <c r="R2196" s="176"/>
      <c r="S2196" s="176"/>
      <c r="T2196" s="176"/>
      <c r="U2196" s="176"/>
      <c r="V2196" s="176"/>
      <c r="W2196" s="176"/>
      <c r="X2196" s="176"/>
      <c r="Y2196" s="176"/>
    </row>
    <row r="2197" spans="1:25">
      <c r="A2197" s="91"/>
      <c r="B2197" s="176"/>
      <c r="C2197" s="176"/>
      <c r="D2197" s="176"/>
      <c r="E2197" s="176"/>
      <c r="F2197" s="176"/>
      <c r="G2197" s="176"/>
      <c r="H2197" s="176"/>
      <c r="I2197" s="176"/>
      <c r="J2197" s="176"/>
      <c r="K2197" s="176"/>
      <c r="L2197" s="176"/>
      <c r="M2197" s="176"/>
      <c r="N2197" s="176"/>
      <c r="O2197" s="176"/>
      <c r="P2197" s="176"/>
      <c r="Q2197" s="176"/>
      <c r="R2197" s="176"/>
      <c r="S2197" s="176"/>
      <c r="T2197" s="176"/>
      <c r="U2197" s="176"/>
      <c r="V2197" s="176"/>
      <c r="W2197" s="176"/>
      <c r="X2197" s="176"/>
      <c r="Y2197" s="176"/>
    </row>
    <row r="2198" spans="1:25">
      <c r="A2198" s="91"/>
      <c r="B2198" s="176"/>
      <c r="C2198" s="176"/>
      <c r="D2198" s="176"/>
      <c r="E2198" s="176"/>
      <c r="F2198" s="176"/>
      <c r="G2198" s="176"/>
      <c r="H2198" s="176"/>
      <c r="I2198" s="176"/>
      <c r="J2198" s="176"/>
      <c r="K2198" s="176"/>
      <c r="L2198" s="176"/>
      <c r="M2198" s="176"/>
      <c r="N2198" s="176"/>
      <c r="O2198" s="176"/>
      <c r="P2198" s="176"/>
      <c r="Q2198" s="176"/>
      <c r="R2198" s="176"/>
      <c r="S2198" s="176"/>
      <c r="T2198" s="176"/>
      <c r="U2198" s="176"/>
      <c r="V2198" s="176"/>
      <c r="W2198" s="176"/>
      <c r="X2198" s="176"/>
      <c r="Y2198" s="176"/>
    </row>
    <row r="2199" spans="1:25">
      <c r="A2199" s="91"/>
      <c r="B2199" s="176"/>
      <c r="C2199" s="176"/>
      <c r="D2199" s="176"/>
      <c r="E2199" s="176"/>
      <c r="F2199" s="176"/>
      <c r="G2199" s="176"/>
      <c r="H2199" s="176"/>
      <c r="I2199" s="176"/>
      <c r="J2199" s="176"/>
      <c r="K2199" s="176"/>
      <c r="L2199" s="176"/>
      <c r="M2199" s="176"/>
      <c r="N2199" s="176"/>
      <c r="O2199" s="176"/>
      <c r="P2199" s="176"/>
      <c r="Q2199" s="176"/>
      <c r="R2199" s="176"/>
      <c r="S2199" s="176"/>
      <c r="T2199" s="176"/>
      <c r="U2199" s="176"/>
      <c r="V2199" s="176"/>
      <c r="W2199" s="176"/>
      <c r="X2199" s="176"/>
      <c r="Y2199" s="176"/>
    </row>
    <row r="2200" spans="1:25">
      <c r="A2200" s="91"/>
      <c r="B2200" s="176"/>
      <c r="C2200" s="176"/>
      <c r="D2200" s="176"/>
      <c r="E2200" s="176"/>
      <c r="F2200" s="176"/>
      <c r="G2200" s="176"/>
      <c r="H2200" s="176"/>
      <c r="I2200" s="176"/>
      <c r="J2200" s="176"/>
      <c r="K2200" s="176"/>
      <c r="L2200" s="176"/>
      <c r="M2200" s="176"/>
      <c r="N2200" s="176"/>
      <c r="O2200" s="176"/>
      <c r="P2200" s="176"/>
      <c r="Q2200" s="176"/>
      <c r="R2200" s="176"/>
      <c r="S2200" s="176"/>
      <c r="T2200" s="176"/>
      <c r="U2200" s="176"/>
      <c r="V2200" s="176"/>
      <c r="W2200" s="176"/>
      <c r="X2200" s="176"/>
      <c r="Y2200" s="176"/>
    </row>
    <row r="2201" spans="1:25">
      <c r="A2201" s="91"/>
      <c r="B2201" s="176"/>
      <c r="C2201" s="176"/>
      <c r="D2201" s="176"/>
      <c r="E2201" s="176"/>
      <c r="F2201" s="176"/>
      <c r="G2201" s="176"/>
      <c r="H2201" s="176"/>
      <c r="I2201" s="176"/>
      <c r="J2201" s="176"/>
      <c r="K2201" s="176"/>
      <c r="L2201" s="176"/>
      <c r="M2201" s="176"/>
      <c r="N2201" s="176"/>
      <c r="O2201" s="176"/>
      <c r="P2201" s="176"/>
      <c r="Q2201" s="176"/>
      <c r="R2201" s="176"/>
      <c r="S2201" s="176"/>
      <c r="T2201" s="176"/>
      <c r="U2201" s="176"/>
      <c r="V2201" s="176"/>
      <c r="W2201" s="176"/>
      <c r="X2201" s="176"/>
      <c r="Y2201" s="176"/>
    </row>
    <row r="2202" spans="1:25">
      <c r="A2202" s="91"/>
      <c r="B2202" s="176"/>
      <c r="C2202" s="176"/>
      <c r="D2202" s="176"/>
      <c r="E2202" s="176"/>
      <c r="F2202" s="176"/>
      <c r="G2202" s="176"/>
      <c r="H2202" s="176"/>
      <c r="I2202" s="176"/>
      <c r="J2202" s="176"/>
      <c r="K2202" s="176"/>
      <c r="L2202" s="176"/>
      <c r="M2202" s="176"/>
      <c r="N2202" s="176"/>
      <c r="O2202" s="176"/>
      <c r="P2202" s="176"/>
      <c r="Q2202" s="176"/>
      <c r="R2202" s="176"/>
      <c r="S2202" s="176"/>
      <c r="T2202" s="176"/>
      <c r="U2202" s="176"/>
      <c r="V2202" s="176"/>
      <c r="W2202" s="176"/>
      <c r="X2202" s="176"/>
      <c r="Y2202" s="176"/>
    </row>
    <row r="2203" spans="1:25">
      <c r="A2203" s="91"/>
      <c r="B2203" s="176"/>
      <c r="C2203" s="176"/>
      <c r="D2203" s="176"/>
      <c r="E2203" s="176"/>
      <c r="F2203" s="176"/>
      <c r="G2203" s="176"/>
      <c r="H2203" s="176"/>
      <c r="I2203" s="176"/>
      <c r="J2203" s="176"/>
      <c r="K2203" s="176"/>
      <c r="L2203" s="176"/>
      <c r="M2203" s="176"/>
      <c r="N2203" s="176"/>
      <c r="O2203" s="176"/>
      <c r="P2203" s="176"/>
      <c r="Q2203" s="176"/>
      <c r="R2203" s="176"/>
      <c r="S2203" s="176"/>
      <c r="T2203" s="176"/>
      <c r="U2203" s="176"/>
      <c r="V2203" s="176"/>
      <c r="W2203" s="176"/>
      <c r="X2203" s="176"/>
      <c r="Y2203" s="176"/>
    </row>
    <row r="2204" spans="1:25">
      <c r="A2204" s="91"/>
      <c r="B2204" s="176"/>
      <c r="C2204" s="176"/>
      <c r="D2204" s="176"/>
      <c r="E2204" s="176"/>
      <c r="F2204" s="176"/>
      <c r="G2204" s="176"/>
      <c r="H2204" s="176"/>
      <c r="I2204" s="176"/>
      <c r="J2204" s="176"/>
      <c r="K2204" s="176"/>
      <c r="L2204" s="176"/>
      <c r="M2204" s="176"/>
      <c r="N2204" s="176"/>
      <c r="O2204" s="176"/>
      <c r="P2204" s="176"/>
      <c r="Q2204" s="176"/>
      <c r="R2204" s="176"/>
      <c r="S2204" s="176"/>
      <c r="T2204" s="176"/>
      <c r="U2204" s="176"/>
      <c r="V2204" s="176"/>
      <c r="W2204" s="176"/>
      <c r="X2204" s="176"/>
      <c r="Y2204" s="176"/>
    </row>
    <row r="2205" spans="1:25">
      <c r="A2205" s="91"/>
      <c r="B2205" s="176"/>
      <c r="C2205" s="176"/>
      <c r="D2205" s="176"/>
      <c r="E2205" s="176"/>
      <c r="F2205" s="176"/>
      <c r="G2205" s="176"/>
      <c r="H2205" s="176"/>
      <c r="I2205" s="176"/>
      <c r="J2205" s="176"/>
      <c r="K2205" s="176"/>
      <c r="L2205" s="176"/>
      <c r="M2205" s="176"/>
      <c r="N2205" s="176"/>
      <c r="O2205" s="176"/>
      <c r="P2205" s="176"/>
      <c r="Q2205" s="176"/>
      <c r="R2205" s="176"/>
      <c r="S2205" s="176"/>
      <c r="T2205" s="176"/>
      <c r="U2205" s="176"/>
      <c r="V2205" s="176"/>
      <c r="W2205" s="176"/>
      <c r="X2205" s="176"/>
      <c r="Y2205" s="176"/>
    </row>
    <row r="2206" spans="1:25">
      <c r="A2206" s="91"/>
      <c r="B2206" s="176"/>
      <c r="C2206" s="176"/>
      <c r="D2206" s="176"/>
      <c r="E2206" s="176"/>
      <c r="F2206" s="176"/>
      <c r="G2206" s="176"/>
      <c r="H2206" s="176"/>
      <c r="I2206" s="176"/>
      <c r="J2206" s="176"/>
      <c r="K2206" s="176"/>
      <c r="L2206" s="176"/>
      <c r="M2206" s="176"/>
      <c r="N2206" s="176"/>
      <c r="O2206" s="176"/>
      <c r="P2206" s="176"/>
      <c r="Q2206" s="176"/>
      <c r="R2206" s="176"/>
      <c r="S2206" s="176"/>
      <c r="T2206" s="176"/>
      <c r="U2206" s="176"/>
      <c r="V2206" s="176"/>
      <c r="W2206" s="176"/>
      <c r="X2206" s="176"/>
      <c r="Y2206" s="176"/>
    </row>
    <row r="2207" spans="1:25">
      <c r="A2207" s="91"/>
      <c r="B2207" s="176"/>
      <c r="C2207" s="176"/>
      <c r="D2207" s="176"/>
      <c r="E2207" s="176"/>
      <c r="F2207" s="176"/>
      <c r="G2207" s="176"/>
      <c r="H2207" s="176"/>
      <c r="I2207" s="176"/>
      <c r="J2207" s="176"/>
      <c r="K2207" s="176"/>
      <c r="L2207" s="176"/>
      <c r="M2207" s="176"/>
      <c r="N2207" s="176"/>
      <c r="O2207" s="176"/>
      <c r="P2207" s="176"/>
      <c r="Q2207" s="176"/>
      <c r="R2207" s="176"/>
      <c r="S2207" s="176"/>
      <c r="T2207" s="176"/>
      <c r="U2207" s="176"/>
      <c r="V2207" s="176"/>
      <c r="W2207" s="176"/>
      <c r="X2207" s="176"/>
      <c r="Y2207" s="176"/>
    </row>
    <row r="2208" spans="1:25">
      <c r="A2208" s="91"/>
      <c r="B2208" s="176"/>
      <c r="C2208" s="176"/>
      <c r="D2208" s="176"/>
      <c r="E2208" s="176"/>
      <c r="F2208" s="176"/>
      <c r="G2208" s="176"/>
      <c r="H2208" s="176"/>
      <c r="I2208" s="176"/>
      <c r="J2208" s="176"/>
      <c r="K2208" s="176"/>
      <c r="L2208" s="176"/>
      <c r="M2208" s="176"/>
      <c r="N2208" s="176"/>
      <c r="O2208" s="176"/>
      <c r="P2208" s="176"/>
      <c r="Q2208" s="176"/>
      <c r="R2208" s="176"/>
      <c r="S2208" s="176"/>
      <c r="T2208" s="176"/>
      <c r="U2208" s="176"/>
      <c r="V2208" s="176"/>
      <c r="W2208" s="176"/>
      <c r="X2208" s="176"/>
      <c r="Y2208" s="176"/>
    </row>
    <row r="2209" spans="1:25">
      <c r="A2209" s="91"/>
      <c r="B2209" s="176"/>
      <c r="C2209" s="176"/>
      <c r="D2209" s="176"/>
      <c r="E2209" s="176"/>
      <c r="F2209" s="176"/>
      <c r="G2209" s="176"/>
      <c r="H2209" s="176"/>
      <c r="I2209" s="176"/>
      <c r="J2209" s="176"/>
      <c r="K2209" s="176"/>
      <c r="L2209" s="176"/>
      <c r="M2209" s="176"/>
      <c r="N2209" s="176"/>
      <c r="O2209" s="176"/>
      <c r="P2209" s="176"/>
      <c r="Q2209" s="176"/>
      <c r="R2209" s="176"/>
      <c r="S2209" s="176"/>
      <c r="T2209" s="176"/>
      <c r="U2209" s="176"/>
      <c r="V2209" s="176"/>
      <c r="W2209" s="176"/>
      <c r="X2209" s="176"/>
      <c r="Y2209" s="176"/>
    </row>
    <row r="2210" spans="1:25">
      <c r="A2210" s="91"/>
      <c r="B2210" s="176"/>
      <c r="C2210" s="176"/>
      <c r="D2210" s="176"/>
      <c r="E2210" s="176"/>
      <c r="F2210" s="176"/>
      <c r="G2210" s="176"/>
      <c r="H2210" s="176"/>
      <c r="I2210" s="176"/>
      <c r="J2210" s="176"/>
      <c r="K2210" s="176"/>
      <c r="L2210" s="176"/>
      <c r="M2210" s="176"/>
      <c r="N2210" s="176"/>
      <c r="O2210" s="176"/>
      <c r="P2210" s="176"/>
      <c r="Q2210" s="176"/>
      <c r="R2210" s="176"/>
      <c r="S2210" s="176"/>
      <c r="T2210" s="176"/>
      <c r="U2210" s="176"/>
      <c r="V2210" s="176"/>
      <c r="W2210" s="176"/>
      <c r="X2210" s="176"/>
      <c r="Y2210" s="176"/>
    </row>
    <row r="2211" spans="1:25">
      <c r="A2211" s="91"/>
      <c r="B2211" s="176"/>
      <c r="C2211" s="176"/>
      <c r="D2211" s="176"/>
      <c r="E2211" s="176"/>
      <c r="F2211" s="176"/>
      <c r="G2211" s="176"/>
      <c r="H2211" s="176"/>
      <c r="I2211" s="176"/>
      <c r="J2211" s="176"/>
      <c r="K2211" s="176"/>
      <c r="L2211" s="176"/>
      <c r="M2211" s="176"/>
      <c r="N2211" s="176"/>
      <c r="O2211" s="176"/>
      <c r="P2211" s="176"/>
      <c r="Q2211" s="176"/>
      <c r="R2211" s="176"/>
      <c r="S2211" s="176"/>
      <c r="T2211" s="176"/>
      <c r="U2211" s="176"/>
      <c r="V2211" s="176"/>
      <c r="W2211" s="176"/>
      <c r="X2211" s="176"/>
      <c r="Y2211" s="176"/>
    </row>
    <row r="2212" spans="1:25">
      <c r="A2212" s="91"/>
      <c r="B2212" s="176"/>
      <c r="C2212" s="176"/>
      <c r="D2212" s="176"/>
      <c r="E2212" s="176"/>
      <c r="F2212" s="176"/>
      <c r="G2212" s="176"/>
      <c r="H2212" s="176"/>
      <c r="I2212" s="176"/>
      <c r="J2212" s="176"/>
      <c r="K2212" s="176"/>
      <c r="L2212" s="176"/>
      <c r="M2212" s="176"/>
      <c r="N2212" s="176"/>
      <c r="O2212" s="176"/>
      <c r="P2212" s="176"/>
      <c r="Q2212" s="176"/>
      <c r="R2212" s="176"/>
      <c r="S2212" s="176"/>
      <c r="T2212" s="176"/>
      <c r="U2212" s="176"/>
      <c r="V2212" s="176"/>
      <c r="W2212" s="176"/>
      <c r="X2212" s="176"/>
      <c r="Y2212" s="176"/>
    </row>
    <row r="2213" spans="1:25">
      <c r="A2213" s="91"/>
      <c r="B2213" s="176"/>
      <c r="C2213" s="176"/>
      <c r="D2213" s="176"/>
      <c r="E2213" s="176"/>
      <c r="F2213" s="176"/>
      <c r="G2213" s="176"/>
      <c r="H2213" s="176"/>
      <c r="I2213" s="176"/>
      <c r="J2213" s="176"/>
      <c r="K2213" s="176"/>
      <c r="L2213" s="176"/>
      <c r="M2213" s="176"/>
      <c r="N2213" s="176"/>
      <c r="O2213" s="176"/>
      <c r="P2213" s="176"/>
      <c r="Q2213" s="176"/>
      <c r="R2213" s="176"/>
      <c r="S2213" s="176"/>
      <c r="T2213" s="176"/>
      <c r="U2213" s="176"/>
      <c r="V2213" s="176"/>
      <c r="W2213" s="176"/>
      <c r="X2213" s="176"/>
      <c r="Y2213" s="176"/>
    </row>
    <row r="2214" spans="1:25">
      <c r="A2214" s="91"/>
      <c r="B2214" s="176"/>
      <c r="C2214" s="176"/>
      <c r="D2214" s="176"/>
      <c r="E2214" s="176"/>
      <c r="F2214" s="176"/>
      <c r="G2214" s="176"/>
      <c r="H2214" s="176"/>
      <c r="I2214" s="176"/>
      <c r="J2214" s="176"/>
      <c r="K2214" s="176"/>
      <c r="L2214" s="176"/>
      <c r="M2214" s="176"/>
      <c r="N2214" s="176"/>
      <c r="O2214" s="176"/>
      <c r="P2214" s="176"/>
      <c r="Q2214" s="176"/>
      <c r="R2214" s="176"/>
      <c r="S2214" s="176"/>
      <c r="T2214" s="176"/>
      <c r="U2214" s="176"/>
      <c r="V2214" s="176"/>
      <c r="W2214" s="176"/>
      <c r="X2214" s="176"/>
      <c r="Y2214" s="176"/>
    </row>
    <row r="2215" spans="1:25">
      <c r="A2215" s="91"/>
      <c r="B2215" s="176"/>
      <c r="C2215" s="176"/>
      <c r="D2215" s="176"/>
      <c r="E2215" s="176"/>
      <c r="F2215" s="176"/>
      <c r="G2215" s="176"/>
      <c r="H2215" s="176"/>
      <c r="I2215" s="176"/>
      <c r="J2215" s="176"/>
      <c r="K2215" s="176"/>
      <c r="L2215" s="176"/>
      <c r="M2215" s="176"/>
      <c r="N2215" s="176"/>
      <c r="O2215" s="176"/>
      <c r="P2215" s="176"/>
      <c r="Q2215" s="176"/>
      <c r="R2215" s="176"/>
      <c r="S2215" s="176"/>
      <c r="T2215" s="176"/>
      <c r="U2215" s="176"/>
      <c r="V2215" s="176"/>
      <c r="W2215" s="176"/>
      <c r="X2215" s="176"/>
      <c r="Y2215" s="176"/>
    </row>
    <row r="2216" spans="1:25">
      <c r="A2216" s="91"/>
      <c r="B2216" s="176"/>
      <c r="C2216" s="176"/>
      <c r="D2216" s="176"/>
      <c r="E2216" s="176"/>
      <c r="F2216" s="176"/>
      <c r="G2216" s="176"/>
      <c r="H2216" s="176"/>
      <c r="I2216" s="176"/>
      <c r="J2216" s="176"/>
      <c r="K2216" s="176"/>
      <c r="L2216" s="176"/>
      <c r="M2216" s="176"/>
      <c r="N2216" s="176"/>
      <c r="O2216" s="176"/>
      <c r="P2216" s="176"/>
      <c r="Q2216" s="176"/>
      <c r="R2216" s="176"/>
      <c r="S2216" s="176"/>
      <c r="T2216" s="176"/>
      <c r="U2216" s="176"/>
      <c r="V2216" s="176"/>
      <c r="W2216" s="176"/>
      <c r="X2216" s="176"/>
      <c r="Y2216" s="176"/>
    </row>
    <row r="2217" spans="1:25">
      <c r="A2217" s="91"/>
      <c r="B2217" s="176"/>
      <c r="C2217" s="176"/>
      <c r="D2217" s="176"/>
      <c r="E2217" s="176"/>
      <c r="F2217" s="176"/>
      <c r="G2217" s="176"/>
      <c r="H2217" s="176"/>
      <c r="I2217" s="176"/>
      <c r="J2217" s="176"/>
      <c r="K2217" s="176"/>
      <c r="L2217" s="176"/>
      <c r="M2217" s="176"/>
      <c r="N2217" s="176"/>
      <c r="O2217" s="176"/>
      <c r="P2217" s="176"/>
      <c r="Q2217" s="176"/>
      <c r="R2217" s="176"/>
      <c r="S2217" s="176"/>
      <c r="T2217" s="176"/>
      <c r="U2217" s="176"/>
      <c r="V2217" s="176"/>
      <c r="W2217" s="176"/>
      <c r="X2217" s="176"/>
      <c r="Y2217" s="176"/>
    </row>
    <row r="2218" spans="1:25">
      <c r="A2218" s="91"/>
      <c r="B2218" s="176"/>
      <c r="C2218" s="176"/>
      <c r="D2218" s="176"/>
      <c r="E2218" s="176"/>
      <c r="F2218" s="176"/>
      <c r="G2218" s="176"/>
      <c r="H2218" s="176"/>
      <c r="I2218" s="176"/>
      <c r="J2218" s="176"/>
      <c r="K2218" s="176"/>
      <c r="L2218" s="176"/>
      <c r="M2218" s="176"/>
      <c r="N2218" s="176"/>
      <c r="O2218" s="176"/>
      <c r="P2218" s="176"/>
      <c r="Q2218" s="176"/>
      <c r="R2218" s="176"/>
      <c r="S2218" s="176"/>
      <c r="T2218" s="176"/>
      <c r="U2218" s="176"/>
      <c r="V2218" s="176"/>
      <c r="W2218" s="176"/>
      <c r="X2218" s="176"/>
      <c r="Y2218" s="176"/>
    </row>
    <row r="2219" spans="1:25">
      <c r="A2219" s="91"/>
      <c r="B2219" s="176"/>
      <c r="C2219" s="176"/>
      <c r="D2219" s="176"/>
      <c r="E2219" s="176"/>
      <c r="F2219" s="176"/>
      <c r="G2219" s="176"/>
      <c r="H2219" s="176"/>
      <c r="I2219" s="176"/>
      <c r="J2219" s="176"/>
      <c r="K2219" s="176"/>
      <c r="L2219" s="176"/>
      <c r="M2219" s="176"/>
      <c r="N2219" s="176"/>
      <c r="O2219" s="176"/>
      <c r="P2219" s="176"/>
      <c r="Q2219" s="176"/>
      <c r="R2219" s="176"/>
      <c r="S2219" s="176"/>
      <c r="T2219" s="176"/>
      <c r="U2219" s="176"/>
      <c r="V2219" s="176"/>
      <c r="W2219" s="176"/>
      <c r="X2219" s="176"/>
      <c r="Y2219" s="176"/>
    </row>
    <row r="2220" spans="1:25">
      <c r="A2220" s="91"/>
      <c r="B2220" s="176"/>
      <c r="C2220" s="176"/>
      <c r="D2220" s="176"/>
      <c r="E2220" s="176"/>
      <c r="F2220" s="176"/>
      <c r="G2220" s="176"/>
      <c r="H2220" s="176"/>
      <c r="I2220" s="176"/>
      <c r="J2220" s="176"/>
      <c r="K2220" s="176"/>
      <c r="L2220" s="176"/>
      <c r="M2220" s="176"/>
      <c r="N2220" s="176"/>
      <c r="O2220" s="176"/>
      <c r="P2220" s="176"/>
      <c r="Q2220" s="176"/>
      <c r="R2220" s="176"/>
      <c r="S2220" s="176"/>
      <c r="T2220" s="176"/>
      <c r="U2220" s="176"/>
      <c r="V2220" s="176"/>
      <c r="W2220" s="176"/>
      <c r="X2220" s="176"/>
      <c r="Y2220" s="176"/>
    </row>
    <row r="2221" spans="1:25">
      <c r="A2221" s="91"/>
      <c r="B2221" s="176"/>
      <c r="C2221" s="176"/>
      <c r="D2221" s="176"/>
      <c r="E2221" s="176"/>
      <c r="F2221" s="176"/>
      <c r="G2221" s="176"/>
      <c r="H2221" s="176"/>
      <c r="I2221" s="176"/>
      <c r="J2221" s="176"/>
      <c r="K2221" s="176"/>
      <c r="L2221" s="176"/>
      <c r="M2221" s="176"/>
      <c r="N2221" s="176"/>
      <c r="O2221" s="176"/>
      <c r="P2221" s="176"/>
      <c r="Q2221" s="176"/>
      <c r="R2221" s="176"/>
      <c r="S2221" s="176"/>
      <c r="T2221" s="176"/>
      <c r="U2221" s="176"/>
      <c r="V2221" s="176"/>
      <c r="W2221" s="176"/>
      <c r="X2221" s="176"/>
      <c r="Y2221" s="176"/>
    </row>
    <row r="2222" spans="1:25">
      <c r="A2222" s="91"/>
      <c r="B2222" s="176"/>
      <c r="C2222" s="176"/>
      <c r="D2222" s="176"/>
      <c r="E2222" s="176"/>
      <c r="F2222" s="176"/>
      <c r="G2222" s="176"/>
      <c r="H2222" s="176"/>
      <c r="I2222" s="176"/>
      <c r="J2222" s="176"/>
      <c r="K2222" s="176"/>
      <c r="L2222" s="176"/>
      <c r="M2222" s="176"/>
      <c r="N2222" s="176"/>
      <c r="O2222" s="176"/>
      <c r="P2222" s="176"/>
      <c r="Q2222" s="176"/>
      <c r="R2222" s="176"/>
      <c r="S2222" s="176"/>
      <c r="T2222" s="176"/>
      <c r="U2222" s="176"/>
      <c r="V2222" s="176"/>
      <c r="W2222" s="176"/>
      <c r="X2222" s="176"/>
      <c r="Y2222" s="176"/>
    </row>
    <row r="2223" spans="1:25">
      <c r="A2223" s="91"/>
      <c r="B2223" s="176"/>
      <c r="C2223" s="176"/>
      <c r="D2223" s="176"/>
      <c r="E2223" s="176"/>
      <c r="F2223" s="176"/>
      <c r="G2223" s="176"/>
      <c r="H2223" s="176"/>
      <c r="I2223" s="176"/>
      <c r="J2223" s="176"/>
      <c r="K2223" s="176"/>
      <c r="L2223" s="176"/>
      <c r="M2223" s="176"/>
      <c r="N2223" s="176"/>
      <c r="O2223" s="176"/>
      <c r="P2223" s="176"/>
      <c r="Q2223" s="176"/>
      <c r="R2223" s="176"/>
      <c r="S2223" s="176"/>
      <c r="T2223" s="176"/>
      <c r="U2223" s="176"/>
      <c r="V2223" s="176"/>
      <c r="W2223" s="176"/>
      <c r="X2223" s="176"/>
      <c r="Y2223" s="176"/>
    </row>
    <row r="2224" spans="1:25">
      <c r="A2224" s="91"/>
      <c r="B2224" s="176"/>
      <c r="C2224" s="176"/>
      <c r="D2224" s="176"/>
      <c r="E2224" s="176"/>
      <c r="F2224" s="176"/>
      <c r="G2224" s="176"/>
      <c r="H2224" s="176"/>
      <c r="I2224" s="176"/>
      <c r="J2224" s="176"/>
      <c r="K2224" s="176"/>
      <c r="L2224" s="176"/>
      <c r="M2224" s="176"/>
      <c r="N2224" s="176"/>
      <c r="O2224" s="176"/>
      <c r="P2224" s="176"/>
      <c r="Q2224" s="176"/>
      <c r="R2224" s="176"/>
      <c r="S2224" s="176"/>
      <c r="T2224" s="176"/>
      <c r="U2224" s="176"/>
      <c r="V2224" s="176"/>
      <c r="W2224" s="176"/>
      <c r="X2224" s="176"/>
      <c r="Y2224" s="176"/>
    </row>
    <row r="2225" spans="1:25">
      <c r="A2225" s="91"/>
      <c r="B2225" s="176"/>
      <c r="C2225" s="176"/>
      <c r="D2225" s="176"/>
      <c r="E2225" s="176"/>
      <c r="F2225" s="176"/>
      <c r="G2225" s="176"/>
      <c r="H2225" s="176"/>
      <c r="I2225" s="176"/>
      <c r="J2225" s="176"/>
      <c r="K2225" s="176"/>
      <c r="L2225" s="176"/>
      <c r="M2225" s="176"/>
      <c r="N2225" s="176"/>
      <c r="O2225" s="176"/>
      <c r="P2225" s="176"/>
      <c r="Q2225" s="176"/>
      <c r="R2225" s="176"/>
      <c r="S2225" s="176"/>
      <c r="T2225" s="176"/>
      <c r="U2225" s="176"/>
      <c r="V2225" s="176"/>
      <c r="W2225" s="176"/>
      <c r="X2225" s="176"/>
      <c r="Y2225" s="176"/>
    </row>
    <row r="2226" spans="1:25">
      <c r="A2226" s="91"/>
      <c r="B2226" s="176"/>
      <c r="C2226" s="176"/>
      <c r="D2226" s="176"/>
      <c r="E2226" s="176"/>
      <c r="F2226" s="176"/>
      <c r="G2226" s="176"/>
      <c r="H2226" s="176"/>
      <c r="I2226" s="176"/>
      <c r="J2226" s="176"/>
      <c r="K2226" s="176"/>
      <c r="L2226" s="176"/>
      <c r="M2226" s="176"/>
      <c r="N2226" s="176"/>
      <c r="O2226" s="176"/>
      <c r="P2226" s="176"/>
      <c r="Q2226" s="176"/>
      <c r="R2226" s="176"/>
      <c r="S2226" s="176"/>
      <c r="T2226" s="176"/>
      <c r="U2226" s="176"/>
      <c r="V2226" s="176"/>
      <c r="W2226" s="176"/>
      <c r="X2226" s="176"/>
      <c r="Y2226" s="176"/>
    </row>
    <row r="2227" spans="1:25">
      <c r="A2227" s="91"/>
      <c r="B2227" s="176"/>
      <c r="C2227" s="176"/>
      <c r="D2227" s="176"/>
      <c r="E2227" s="176"/>
      <c r="F2227" s="176"/>
      <c r="G2227" s="176"/>
      <c r="H2227" s="176"/>
      <c r="I2227" s="176"/>
      <c r="J2227" s="176"/>
      <c r="K2227" s="176"/>
      <c r="L2227" s="176"/>
      <c r="M2227" s="176"/>
      <c r="N2227" s="176"/>
      <c r="O2227" s="176"/>
      <c r="P2227" s="176"/>
      <c r="Q2227" s="176"/>
      <c r="R2227" s="176"/>
      <c r="S2227" s="176"/>
      <c r="T2227" s="176"/>
      <c r="U2227" s="176"/>
      <c r="V2227" s="176"/>
      <c r="W2227" s="176"/>
      <c r="X2227" s="176"/>
      <c r="Y2227" s="176"/>
    </row>
    <row r="2228" spans="1:25">
      <c r="A2228" s="91"/>
      <c r="B2228" s="176"/>
      <c r="C2228" s="176"/>
      <c r="D2228" s="176"/>
      <c r="E2228" s="176"/>
      <c r="F2228" s="176"/>
      <c r="G2228" s="176"/>
      <c r="H2228" s="176"/>
      <c r="I2228" s="176"/>
      <c r="J2228" s="176"/>
      <c r="K2228" s="176"/>
      <c r="L2228" s="176"/>
      <c r="M2228" s="176"/>
      <c r="N2228" s="176"/>
      <c r="O2228" s="176"/>
      <c r="P2228" s="176"/>
      <c r="Q2228" s="176"/>
      <c r="R2228" s="176"/>
      <c r="S2228" s="176"/>
      <c r="T2228" s="176"/>
      <c r="U2228" s="176"/>
      <c r="V2228" s="176"/>
      <c r="W2228" s="176"/>
      <c r="X2228" s="176"/>
      <c r="Y2228" s="176"/>
    </row>
    <row r="2229" spans="1:25">
      <c r="A2229" s="91"/>
      <c r="B2229" s="176"/>
      <c r="C2229" s="176"/>
      <c r="D2229" s="176"/>
      <c r="E2229" s="176"/>
      <c r="F2229" s="176"/>
      <c r="G2229" s="176"/>
      <c r="H2229" s="176"/>
      <c r="I2229" s="176"/>
      <c r="J2229" s="176"/>
      <c r="K2229" s="176"/>
      <c r="L2229" s="176"/>
      <c r="M2229" s="176"/>
      <c r="N2229" s="176"/>
      <c r="O2229" s="176"/>
      <c r="P2229" s="176"/>
      <c r="Q2229" s="176"/>
      <c r="R2229" s="176"/>
      <c r="S2229" s="176"/>
      <c r="T2229" s="176"/>
      <c r="U2229" s="176"/>
      <c r="V2229" s="176"/>
      <c r="W2229" s="176"/>
      <c r="X2229" s="176"/>
      <c r="Y2229" s="176"/>
    </row>
    <row r="2230" spans="1:25">
      <c r="A2230" s="91"/>
      <c r="B2230" s="176"/>
      <c r="C2230" s="176"/>
      <c r="D2230" s="176"/>
      <c r="E2230" s="176"/>
      <c r="F2230" s="176"/>
      <c r="G2230" s="176"/>
      <c r="H2230" s="176"/>
      <c r="I2230" s="176"/>
      <c r="J2230" s="176"/>
      <c r="K2230" s="176"/>
      <c r="L2230" s="176"/>
      <c r="M2230" s="176"/>
      <c r="N2230" s="176"/>
      <c r="O2230" s="176"/>
      <c r="P2230" s="176"/>
      <c r="Q2230" s="176"/>
      <c r="R2230" s="176"/>
      <c r="S2230" s="176"/>
      <c r="T2230" s="176"/>
      <c r="U2230" s="176"/>
      <c r="V2230" s="176"/>
      <c r="W2230" s="176"/>
      <c r="X2230" s="176"/>
      <c r="Y2230" s="176"/>
    </row>
    <row r="2231" spans="1:25">
      <c r="A2231" s="91"/>
      <c r="B2231" s="176"/>
      <c r="C2231" s="176"/>
      <c r="D2231" s="176"/>
      <c r="E2231" s="176"/>
      <c r="F2231" s="176"/>
      <c r="G2231" s="176"/>
      <c r="H2231" s="176"/>
      <c r="I2231" s="176"/>
      <c r="J2231" s="176"/>
      <c r="K2231" s="176"/>
      <c r="L2231" s="176"/>
      <c r="M2231" s="176"/>
      <c r="N2231" s="176"/>
      <c r="O2231" s="176"/>
      <c r="P2231" s="176"/>
      <c r="Q2231" s="176"/>
      <c r="R2231" s="176"/>
      <c r="S2231" s="176"/>
      <c r="T2231" s="176"/>
      <c r="U2231" s="176"/>
      <c r="V2231" s="176"/>
      <c r="W2231" s="176"/>
      <c r="X2231" s="176"/>
      <c r="Y2231" s="176"/>
    </row>
    <row r="2232" spans="1:25">
      <c r="A2232" s="91"/>
      <c r="B2232" s="176"/>
      <c r="C2232" s="176"/>
      <c r="D2232" s="176"/>
      <c r="E2232" s="176"/>
      <c r="F2232" s="176"/>
      <c r="G2232" s="176"/>
      <c r="H2232" s="176"/>
      <c r="I2232" s="176"/>
      <c r="J2232" s="176"/>
      <c r="K2232" s="176"/>
      <c r="L2232" s="176"/>
      <c r="M2232" s="176"/>
      <c r="N2232" s="176"/>
      <c r="O2232" s="176"/>
      <c r="P2232" s="176"/>
      <c r="Q2232" s="176"/>
      <c r="R2232" s="176"/>
      <c r="S2232" s="176"/>
      <c r="T2232" s="176"/>
      <c r="U2232" s="176"/>
      <c r="V2232" s="176"/>
      <c r="W2232" s="176"/>
      <c r="X2232" s="176"/>
      <c r="Y2232" s="176"/>
    </row>
    <row r="2233" spans="1:25">
      <c r="A2233" s="91"/>
      <c r="B2233" s="176"/>
      <c r="C2233" s="176"/>
      <c r="D2233" s="176"/>
      <c r="E2233" s="176"/>
      <c r="F2233" s="176"/>
      <c r="G2233" s="176"/>
      <c r="H2233" s="176"/>
      <c r="I2233" s="176"/>
      <c r="J2233" s="176"/>
      <c r="K2233" s="176"/>
      <c r="L2233" s="176"/>
      <c r="M2233" s="176"/>
      <c r="N2233" s="176"/>
      <c r="O2233" s="176"/>
      <c r="P2233" s="176"/>
      <c r="Q2233" s="176"/>
      <c r="R2233" s="176"/>
      <c r="S2233" s="176"/>
      <c r="T2233" s="176"/>
      <c r="U2233" s="176"/>
      <c r="V2233" s="176"/>
      <c r="W2233" s="176"/>
      <c r="X2233" s="176"/>
      <c r="Y2233" s="176"/>
    </row>
    <row r="2234" spans="1:25">
      <c r="A2234" s="91"/>
      <c r="B2234" s="176"/>
      <c r="C2234" s="176"/>
      <c r="D2234" s="176"/>
      <c r="E2234" s="176"/>
      <c r="F2234" s="176"/>
      <c r="G2234" s="176"/>
      <c r="H2234" s="176"/>
      <c r="I2234" s="176"/>
      <c r="J2234" s="176"/>
      <c r="K2234" s="176"/>
      <c r="L2234" s="176"/>
      <c r="M2234" s="176"/>
      <c r="N2234" s="176"/>
      <c r="O2234" s="176"/>
      <c r="P2234" s="176"/>
      <c r="Q2234" s="176"/>
      <c r="R2234" s="176"/>
      <c r="S2234" s="176"/>
      <c r="T2234" s="176"/>
      <c r="U2234" s="176"/>
      <c r="V2234" s="176"/>
      <c r="W2234" s="176"/>
      <c r="X2234" s="176"/>
      <c r="Y2234" s="176"/>
    </row>
    <row r="2235" spans="1:25">
      <c r="A2235" s="91"/>
      <c r="B2235" s="176"/>
      <c r="C2235" s="176"/>
      <c r="D2235" s="176"/>
      <c r="E2235" s="176"/>
      <c r="F2235" s="176"/>
      <c r="G2235" s="176"/>
      <c r="H2235" s="176"/>
      <c r="I2235" s="176"/>
      <c r="J2235" s="176"/>
      <c r="K2235" s="176"/>
      <c r="L2235" s="176"/>
      <c r="M2235" s="176"/>
      <c r="N2235" s="176"/>
      <c r="O2235" s="176"/>
      <c r="P2235" s="176"/>
      <c r="Q2235" s="176"/>
      <c r="R2235" s="176"/>
      <c r="S2235" s="176"/>
      <c r="T2235" s="176"/>
      <c r="U2235" s="176"/>
      <c r="V2235" s="176"/>
      <c r="W2235" s="176"/>
      <c r="X2235" s="176"/>
      <c r="Y2235" s="176"/>
    </row>
    <row r="2236" spans="1:25">
      <c r="A2236" s="91"/>
      <c r="B2236" s="176"/>
      <c r="C2236" s="176"/>
      <c r="D2236" s="176"/>
      <c r="E2236" s="176"/>
      <c r="F2236" s="176"/>
      <c r="G2236" s="176"/>
      <c r="H2236" s="176"/>
      <c r="I2236" s="176"/>
      <c r="J2236" s="176"/>
      <c r="K2236" s="176"/>
      <c r="L2236" s="176"/>
      <c r="M2236" s="176"/>
      <c r="N2236" s="176"/>
      <c r="O2236" s="176"/>
      <c r="P2236" s="176"/>
      <c r="Q2236" s="176"/>
      <c r="R2236" s="176"/>
      <c r="S2236" s="176"/>
      <c r="T2236" s="176"/>
      <c r="U2236" s="176"/>
      <c r="V2236" s="176"/>
      <c r="W2236" s="176"/>
      <c r="X2236" s="176"/>
      <c r="Y2236" s="176"/>
    </row>
    <row r="2237" spans="1:25">
      <c r="A2237" s="91"/>
      <c r="B2237" s="176"/>
      <c r="C2237" s="176"/>
      <c r="D2237" s="176"/>
      <c r="E2237" s="176"/>
      <c r="F2237" s="176"/>
      <c r="G2237" s="176"/>
      <c r="H2237" s="176"/>
      <c r="I2237" s="176"/>
      <c r="J2237" s="176"/>
      <c r="K2237" s="176"/>
      <c r="L2237" s="176"/>
      <c r="M2237" s="176"/>
      <c r="N2237" s="176"/>
      <c r="O2237" s="176"/>
      <c r="P2237" s="176"/>
      <c r="Q2237" s="176"/>
      <c r="R2237" s="176"/>
      <c r="S2237" s="176"/>
      <c r="T2237" s="176"/>
      <c r="U2237" s="176"/>
      <c r="V2237" s="176"/>
      <c r="W2237" s="176"/>
      <c r="X2237" s="176"/>
      <c r="Y2237" s="176"/>
    </row>
    <row r="2238" spans="1:25">
      <c r="A2238" s="91"/>
      <c r="B2238" s="176"/>
      <c r="C2238" s="176"/>
      <c r="D2238" s="176"/>
      <c r="E2238" s="176"/>
      <c r="F2238" s="176"/>
      <c r="G2238" s="176"/>
      <c r="H2238" s="176"/>
      <c r="I2238" s="176"/>
      <c r="J2238" s="176"/>
      <c r="K2238" s="176"/>
      <c r="L2238" s="176"/>
      <c r="M2238" s="176"/>
      <c r="N2238" s="176"/>
      <c r="O2238" s="176"/>
      <c r="P2238" s="176"/>
      <c r="Q2238" s="176"/>
      <c r="R2238" s="176"/>
      <c r="S2238" s="176"/>
      <c r="T2238" s="176"/>
      <c r="U2238" s="176"/>
      <c r="V2238" s="176"/>
      <c r="W2238" s="176"/>
      <c r="X2238" s="176"/>
      <c r="Y2238" s="176"/>
    </row>
    <row r="2239" spans="1:25">
      <c r="A2239" s="91"/>
      <c r="B2239" s="176"/>
      <c r="C2239" s="176"/>
      <c r="D2239" s="176"/>
      <c r="E2239" s="176"/>
      <c r="F2239" s="176"/>
      <c r="G2239" s="176"/>
      <c r="H2239" s="176"/>
      <c r="I2239" s="176"/>
      <c r="J2239" s="176"/>
      <c r="K2239" s="176"/>
      <c r="L2239" s="176"/>
      <c r="M2239" s="176"/>
      <c r="N2239" s="176"/>
      <c r="O2239" s="176"/>
      <c r="P2239" s="176"/>
      <c r="Q2239" s="176"/>
      <c r="R2239" s="176"/>
      <c r="S2239" s="176"/>
      <c r="T2239" s="176"/>
      <c r="U2239" s="176"/>
      <c r="V2239" s="176"/>
      <c r="W2239" s="176"/>
      <c r="X2239" s="176"/>
      <c r="Y2239" s="176"/>
    </row>
    <row r="2240" spans="1:25">
      <c r="A2240" s="91"/>
      <c r="B2240" s="176"/>
      <c r="C2240" s="176"/>
      <c r="D2240" s="176"/>
      <c r="E2240" s="176"/>
      <c r="F2240" s="176"/>
      <c r="G2240" s="176"/>
      <c r="H2240" s="176"/>
      <c r="I2240" s="176"/>
      <c r="J2240" s="176"/>
      <c r="K2240" s="176"/>
      <c r="L2240" s="176"/>
      <c r="M2240" s="176"/>
      <c r="N2240" s="176"/>
      <c r="O2240" s="176"/>
      <c r="P2240" s="176"/>
      <c r="Q2240" s="176"/>
      <c r="R2240" s="176"/>
      <c r="S2240" s="176"/>
      <c r="T2240" s="176"/>
      <c r="U2240" s="176"/>
      <c r="V2240" s="176"/>
      <c r="W2240" s="176"/>
      <c r="X2240" s="176"/>
      <c r="Y2240" s="176"/>
    </row>
    <row r="2241" spans="1:25">
      <c r="A2241" s="91"/>
      <c r="B2241" s="176"/>
      <c r="C2241" s="176"/>
      <c r="D2241" s="176"/>
      <c r="E2241" s="176"/>
      <c r="F2241" s="176"/>
      <c r="G2241" s="176"/>
      <c r="H2241" s="176"/>
      <c r="I2241" s="176"/>
      <c r="J2241" s="176"/>
      <c r="K2241" s="176"/>
      <c r="L2241" s="176"/>
      <c r="M2241" s="176"/>
      <c r="N2241" s="176"/>
      <c r="O2241" s="176"/>
      <c r="P2241" s="176"/>
      <c r="Q2241" s="176"/>
      <c r="R2241" s="176"/>
      <c r="S2241" s="176"/>
      <c r="T2241" s="176"/>
      <c r="U2241" s="176"/>
      <c r="V2241" s="176"/>
      <c r="W2241" s="176"/>
      <c r="X2241" s="176"/>
      <c r="Y2241" s="176"/>
    </row>
    <row r="2242" spans="1:25">
      <c r="A2242" s="91"/>
      <c r="B2242" s="176"/>
      <c r="C2242" s="176"/>
      <c r="D2242" s="176"/>
      <c r="E2242" s="176"/>
      <c r="F2242" s="176"/>
      <c r="G2242" s="176"/>
      <c r="H2242" s="176"/>
      <c r="I2242" s="176"/>
      <c r="J2242" s="176"/>
      <c r="K2242" s="176"/>
      <c r="L2242" s="176"/>
      <c r="M2242" s="176"/>
      <c r="N2242" s="176"/>
      <c r="O2242" s="176"/>
      <c r="P2242" s="176"/>
      <c r="Q2242" s="176"/>
      <c r="R2242" s="176"/>
      <c r="S2242" s="176"/>
      <c r="T2242" s="176"/>
      <c r="U2242" s="176"/>
      <c r="V2242" s="176"/>
      <c r="W2242" s="176"/>
      <c r="X2242" s="176"/>
      <c r="Y2242" s="176"/>
    </row>
    <row r="2243" spans="1:25">
      <c r="A2243" s="91"/>
      <c r="B2243" s="176"/>
      <c r="C2243" s="176"/>
      <c r="D2243" s="176"/>
      <c r="E2243" s="176"/>
      <c r="F2243" s="176"/>
      <c r="G2243" s="176"/>
      <c r="H2243" s="176"/>
      <c r="I2243" s="176"/>
      <c r="J2243" s="176"/>
      <c r="K2243" s="176"/>
      <c r="L2243" s="176"/>
      <c r="M2243" s="176"/>
      <c r="N2243" s="176"/>
      <c r="O2243" s="176"/>
      <c r="P2243" s="176"/>
      <c r="Q2243" s="176"/>
      <c r="R2243" s="176"/>
      <c r="S2243" s="176"/>
      <c r="T2243" s="176"/>
      <c r="U2243" s="176"/>
      <c r="V2243" s="176"/>
      <c r="W2243" s="176"/>
      <c r="X2243" s="176"/>
      <c r="Y2243" s="176"/>
    </row>
    <row r="2244" spans="1:25">
      <c r="A2244" s="91"/>
      <c r="B2244" s="176"/>
      <c r="C2244" s="176"/>
      <c r="D2244" s="176"/>
      <c r="E2244" s="176"/>
      <c r="F2244" s="176"/>
      <c r="G2244" s="176"/>
      <c r="H2244" s="176"/>
      <c r="I2244" s="176"/>
      <c r="J2244" s="176"/>
      <c r="K2244" s="176"/>
      <c r="L2244" s="176"/>
      <c r="M2244" s="176"/>
      <c r="N2244" s="176"/>
      <c r="O2244" s="176"/>
      <c r="P2244" s="176"/>
      <c r="Q2244" s="176"/>
      <c r="R2244" s="176"/>
      <c r="S2244" s="176"/>
      <c r="T2244" s="176"/>
      <c r="U2244" s="176"/>
      <c r="V2244" s="176"/>
      <c r="W2244" s="176"/>
      <c r="X2244" s="176"/>
      <c r="Y2244" s="176"/>
    </row>
    <row r="2245" spans="1:25">
      <c r="A2245" s="91"/>
      <c r="B2245" s="176"/>
      <c r="C2245" s="176"/>
      <c r="D2245" s="176"/>
      <c r="E2245" s="176"/>
      <c r="F2245" s="176"/>
      <c r="G2245" s="176"/>
      <c r="H2245" s="176"/>
      <c r="I2245" s="176"/>
      <c r="J2245" s="176"/>
      <c r="K2245" s="176"/>
      <c r="L2245" s="176"/>
      <c r="M2245" s="176"/>
      <c r="N2245" s="176"/>
      <c r="O2245" s="176"/>
      <c r="P2245" s="176"/>
      <c r="Q2245" s="176"/>
      <c r="R2245" s="176"/>
      <c r="S2245" s="176"/>
      <c r="T2245" s="176"/>
      <c r="U2245" s="176"/>
      <c r="V2245" s="176"/>
      <c r="W2245" s="176"/>
      <c r="X2245" s="176"/>
      <c r="Y2245" s="176"/>
    </row>
    <row r="2246" spans="1:25">
      <c r="A2246" s="91"/>
      <c r="B2246" s="176"/>
      <c r="C2246" s="176"/>
      <c r="D2246" s="176"/>
      <c r="E2246" s="176"/>
      <c r="F2246" s="176"/>
      <c r="G2246" s="176"/>
      <c r="H2246" s="176"/>
      <c r="I2246" s="176"/>
      <c r="J2246" s="176"/>
      <c r="K2246" s="176"/>
      <c r="L2246" s="176"/>
      <c r="M2246" s="176"/>
      <c r="N2246" s="176"/>
      <c r="O2246" s="176"/>
      <c r="P2246" s="176"/>
      <c r="Q2246" s="176"/>
      <c r="R2246" s="176"/>
      <c r="S2246" s="176"/>
      <c r="T2246" s="176"/>
      <c r="U2246" s="176"/>
      <c r="V2246" s="176"/>
      <c r="W2246" s="176"/>
      <c r="X2246" s="176"/>
      <c r="Y2246" s="176"/>
    </row>
    <row r="2247" spans="1:25">
      <c r="A2247" s="91"/>
      <c r="B2247" s="176"/>
      <c r="C2247" s="176"/>
      <c r="D2247" s="176"/>
      <c r="E2247" s="176"/>
      <c r="F2247" s="176"/>
      <c r="G2247" s="176"/>
      <c r="H2247" s="176"/>
      <c r="I2247" s="176"/>
      <c r="J2247" s="176"/>
      <c r="K2247" s="176"/>
      <c r="L2247" s="176"/>
      <c r="M2247" s="176"/>
      <c r="N2247" s="176"/>
      <c r="O2247" s="176"/>
      <c r="P2247" s="176"/>
      <c r="Q2247" s="176"/>
      <c r="R2247" s="176"/>
      <c r="S2247" s="176"/>
      <c r="T2247" s="176"/>
      <c r="U2247" s="176"/>
      <c r="V2247" s="176"/>
      <c r="W2247" s="176"/>
      <c r="X2247" s="176"/>
      <c r="Y2247" s="176"/>
    </row>
    <row r="2248" spans="1:25">
      <c r="A2248" s="91"/>
      <c r="B2248" s="176"/>
      <c r="C2248" s="176"/>
      <c r="D2248" s="176"/>
      <c r="E2248" s="176"/>
      <c r="F2248" s="176"/>
      <c r="G2248" s="176"/>
      <c r="H2248" s="176"/>
      <c r="I2248" s="176"/>
      <c r="J2248" s="176"/>
      <c r="K2248" s="176"/>
      <c r="L2248" s="176"/>
      <c r="M2248" s="176"/>
      <c r="N2248" s="176"/>
      <c r="O2248" s="176"/>
      <c r="P2248" s="176"/>
      <c r="Q2248" s="176"/>
      <c r="R2248" s="176"/>
      <c r="S2248" s="176"/>
      <c r="T2248" s="176"/>
      <c r="U2248" s="176"/>
      <c r="V2248" s="176"/>
      <c r="W2248" s="176"/>
      <c r="X2248" s="176"/>
      <c r="Y2248" s="176"/>
    </row>
    <row r="2249" spans="1:25">
      <c r="A2249" s="91"/>
      <c r="B2249" s="176"/>
      <c r="C2249" s="176"/>
      <c r="D2249" s="176"/>
      <c r="E2249" s="176"/>
      <c r="F2249" s="176"/>
      <c r="G2249" s="176"/>
      <c r="H2249" s="176"/>
      <c r="I2249" s="176"/>
      <c r="J2249" s="176"/>
      <c r="K2249" s="176"/>
      <c r="L2249" s="176"/>
      <c r="M2249" s="176"/>
      <c r="N2249" s="176"/>
      <c r="O2249" s="176"/>
      <c r="P2249" s="176"/>
      <c r="Q2249" s="176"/>
      <c r="R2249" s="176"/>
      <c r="S2249" s="176"/>
      <c r="T2249" s="176"/>
      <c r="U2249" s="176"/>
      <c r="V2249" s="176"/>
      <c r="W2249" s="176"/>
      <c r="X2249" s="176"/>
      <c r="Y2249" s="176"/>
    </row>
    <row r="2250" spans="1:25">
      <c r="A2250" s="91"/>
      <c r="B2250" s="176"/>
      <c r="C2250" s="176"/>
      <c r="D2250" s="176"/>
      <c r="E2250" s="176"/>
      <c r="F2250" s="176"/>
      <c r="G2250" s="176"/>
      <c r="H2250" s="176"/>
      <c r="I2250" s="176"/>
      <c r="J2250" s="176"/>
      <c r="K2250" s="176"/>
      <c r="L2250" s="176"/>
      <c r="M2250" s="176"/>
      <c r="N2250" s="176"/>
      <c r="O2250" s="176"/>
      <c r="P2250" s="176"/>
      <c r="Q2250" s="176"/>
      <c r="R2250" s="176"/>
      <c r="S2250" s="176"/>
      <c r="T2250" s="176"/>
      <c r="U2250" s="176"/>
      <c r="V2250" s="176"/>
      <c r="W2250" s="176"/>
      <c r="X2250" s="176"/>
      <c r="Y2250" s="176"/>
    </row>
    <row r="2251" spans="1:25">
      <c r="A2251" s="91"/>
      <c r="B2251" s="176"/>
      <c r="C2251" s="176"/>
      <c r="D2251" s="176"/>
      <c r="E2251" s="176"/>
      <c r="F2251" s="176"/>
      <c r="G2251" s="176"/>
      <c r="H2251" s="176"/>
      <c r="I2251" s="176"/>
      <c r="J2251" s="176"/>
      <c r="K2251" s="176"/>
      <c r="L2251" s="176"/>
      <c r="M2251" s="176"/>
      <c r="N2251" s="176"/>
      <c r="O2251" s="176"/>
      <c r="P2251" s="176"/>
      <c r="Q2251" s="176"/>
      <c r="R2251" s="176"/>
      <c r="S2251" s="176"/>
      <c r="T2251" s="176"/>
      <c r="U2251" s="176"/>
      <c r="V2251" s="176"/>
      <c r="W2251" s="176"/>
      <c r="X2251" s="176"/>
      <c r="Y2251" s="176"/>
    </row>
    <row r="2252" spans="1:25">
      <c r="A2252" s="91"/>
      <c r="B2252" s="176"/>
      <c r="C2252" s="176"/>
      <c r="D2252" s="176"/>
      <c r="E2252" s="176"/>
      <c r="F2252" s="176"/>
      <c r="G2252" s="176"/>
      <c r="H2252" s="176"/>
      <c r="I2252" s="176"/>
      <c r="J2252" s="176"/>
      <c r="K2252" s="176"/>
      <c r="L2252" s="176"/>
      <c r="M2252" s="176"/>
      <c r="N2252" s="176"/>
      <c r="O2252" s="176"/>
      <c r="P2252" s="176"/>
      <c r="Q2252" s="176"/>
      <c r="R2252" s="176"/>
      <c r="S2252" s="176"/>
      <c r="T2252" s="176"/>
      <c r="U2252" s="176"/>
      <c r="V2252" s="176"/>
      <c r="W2252" s="176"/>
      <c r="X2252" s="176"/>
      <c r="Y2252" s="176"/>
    </row>
    <row r="2253" spans="1:25">
      <c r="A2253" s="91"/>
      <c r="B2253" s="176"/>
      <c r="C2253" s="176"/>
      <c r="D2253" s="176"/>
      <c r="E2253" s="176"/>
      <c r="F2253" s="176"/>
      <c r="G2253" s="176"/>
      <c r="H2253" s="176"/>
      <c r="I2253" s="176"/>
      <c r="J2253" s="176"/>
      <c r="K2253" s="176"/>
      <c r="L2253" s="176"/>
      <c r="M2253" s="176"/>
      <c r="N2253" s="176"/>
      <c r="O2253" s="176"/>
      <c r="P2253" s="176"/>
      <c r="Q2253" s="176"/>
      <c r="R2253" s="176"/>
      <c r="S2253" s="176"/>
      <c r="T2253" s="176"/>
      <c r="U2253" s="176"/>
      <c r="V2253" s="176"/>
      <c r="W2253" s="176"/>
      <c r="X2253" s="176"/>
      <c r="Y2253" s="176"/>
    </row>
    <row r="2254" spans="1:25">
      <c r="A2254" s="91"/>
      <c r="B2254" s="176"/>
      <c r="C2254" s="176"/>
      <c r="D2254" s="176"/>
      <c r="E2254" s="176"/>
      <c r="F2254" s="176"/>
      <c r="G2254" s="176"/>
      <c r="H2254" s="176"/>
      <c r="I2254" s="176"/>
      <c r="J2254" s="176"/>
      <c r="K2254" s="176"/>
      <c r="L2254" s="176"/>
      <c r="M2254" s="176"/>
      <c r="N2254" s="176"/>
      <c r="O2254" s="176"/>
      <c r="P2254" s="176"/>
      <c r="Q2254" s="176"/>
      <c r="R2254" s="176"/>
      <c r="S2254" s="176"/>
      <c r="T2254" s="176"/>
      <c r="U2254" s="176"/>
      <c r="V2254" s="176"/>
      <c r="W2254" s="176"/>
      <c r="X2254" s="176"/>
      <c r="Y2254" s="176"/>
    </row>
    <row r="2255" spans="1:25">
      <c r="A2255" s="91"/>
      <c r="B2255" s="176"/>
      <c r="C2255" s="176"/>
      <c r="D2255" s="176"/>
      <c r="E2255" s="176"/>
      <c r="F2255" s="176"/>
      <c r="G2255" s="176"/>
      <c r="H2255" s="176"/>
      <c r="I2255" s="176"/>
      <c r="J2255" s="176"/>
      <c r="K2255" s="176"/>
      <c r="L2255" s="176"/>
      <c r="M2255" s="176"/>
      <c r="N2255" s="176"/>
      <c r="O2255" s="176"/>
      <c r="P2255" s="176"/>
      <c r="Q2255" s="176"/>
      <c r="R2255" s="176"/>
      <c r="S2255" s="176"/>
      <c r="T2255" s="176"/>
      <c r="U2255" s="176"/>
      <c r="V2255" s="176"/>
      <c r="W2255" s="176"/>
      <c r="X2255" s="176"/>
      <c r="Y2255" s="176"/>
    </row>
    <row r="2256" spans="1:25">
      <c r="A2256" s="91"/>
      <c r="B2256" s="176"/>
      <c r="C2256" s="176"/>
      <c r="D2256" s="176"/>
      <c r="E2256" s="176"/>
      <c r="F2256" s="176"/>
      <c r="G2256" s="176"/>
      <c r="H2256" s="176"/>
      <c r="I2256" s="176"/>
      <c r="J2256" s="176"/>
      <c r="K2256" s="176"/>
      <c r="L2256" s="176"/>
      <c r="M2256" s="176"/>
      <c r="N2256" s="176"/>
      <c r="O2256" s="176"/>
      <c r="P2256" s="176"/>
      <c r="Q2256" s="176"/>
      <c r="R2256" s="176"/>
      <c r="S2256" s="176"/>
      <c r="T2256" s="176"/>
      <c r="U2256" s="176"/>
      <c r="V2256" s="176"/>
      <c r="W2256" s="176"/>
      <c r="X2256" s="176"/>
      <c r="Y2256" s="176"/>
    </row>
    <row r="2257" spans="1:25">
      <c r="A2257" s="91"/>
      <c r="B2257" s="176"/>
      <c r="C2257" s="176"/>
      <c r="D2257" s="176"/>
      <c r="E2257" s="176"/>
      <c r="F2257" s="176"/>
      <c r="G2257" s="176"/>
      <c r="H2257" s="176"/>
      <c r="I2257" s="176"/>
      <c r="J2257" s="176"/>
      <c r="K2257" s="176"/>
      <c r="L2257" s="176"/>
      <c r="M2257" s="176"/>
      <c r="N2257" s="176"/>
      <c r="O2257" s="176"/>
      <c r="P2257" s="176"/>
      <c r="Q2257" s="176"/>
      <c r="R2257" s="176"/>
      <c r="S2257" s="176"/>
      <c r="T2257" s="176"/>
      <c r="U2257" s="176"/>
      <c r="V2257" s="176"/>
      <c r="W2257" s="176"/>
      <c r="X2257" s="176"/>
      <c r="Y2257" s="176"/>
    </row>
    <row r="2258" spans="1:25">
      <c r="A2258" s="91"/>
      <c r="B2258" s="176"/>
      <c r="C2258" s="176"/>
      <c r="D2258" s="176"/>
      <c r="E2258" s="176"/>
      <c r="F2258" s="176"/>
      <c r="G2258" s="176"/>
      <c r="H2258" s="176"/>
      <c r="I2258" s="176"/>
      <c r="J2258" s="176"/>
      <c r="K2258" s="176"/>
      <c r="L2258" s="176"/>
      <c r="M2258" s="176"/>
      <c r="N2258" s="176"/>
      <c r="O2258" s="176"/>
      <c r="P2258" s="176"/>
      <c r="Q2258" s="176"/>
      <c r="R2258" s="176"/>
      <c r="S2258" s="176"/>
      <c r="T2258" s="176"/>
      <c r="U2258" s="176"/>
      <c r="V2258" s="176"/>
      <c r="W2258" s="176"/>
      <c r="X2258" s="176"/>
      <c r="Y2258" s="176"/>
    </row>
    <row r="2259" spans="1:25">
      <c r="A2259" s="91"/>
      <c r="B2259" s="176"/>
      <c r="C2259" s="176"/>
      <c r="D2259" s="176"/>
      <c r="E2259" s="176"/>
      <c r="F2259" s="176"/>
      <c r="G2259" s="176"/>
      <c r="H2259" s="176"/>
      <c r="I2259" s="176"/>
      <c r="J2259" s="176"/>
      <c r="K2259" s="176"/>
      <c r="L2259" s="176"/>
      <c r="M2259" s="176"/>
      <c r="N2259" s="176"/>
      <c r="O2259" s="176"/>
      <c r="P2259" s="176"/>
      <c r="Q2259" s="176"/>
      <c r="R2259" s="176"/>
      <c r="S2259" s="176"/>
      <c r="T2259" s="176"/>
      <c r="U2259" s="176"/>
      <c r="V2259" s="176"/>
      <c r="W2259" s="176"/>
      <c r="X2259" s="176"/>
      <c r="Y2259" s="176"/>
    </row>
    <row r="2260" spans="1:25">
      <c r="A2260" s="91"/>
      <c r="B2260" s="176"/>
      <c r="C2260" s="176"/>
      <c r="D2260" s="176"/>
      <c r="E2260" s="176"/>
      <c r="F2260" s="176"/>
      <c r="G2260" s="176"/>
      <c r="H2260" s="176"/>
      <c r="I2260" s="176"/>
      <c r="J2260" s="176"/>
      <c r="K2260" s="176"/>
      <c r="L2260" s="176"/>
      <c r="M2260" s="176"/>
      <c r="N2260" s="176"/>
      <c r="O2260" s="176"/>
      <c r="P2260" s="176"/>
      <c r="Q2260" s="176"/>
      <c r="R2260" s="176"/>
      <c r="S2260" s="176"/>
      <c r="T2260" s="176"/>
      <c r="U2260" s="176"/>
      <c r="V2260" s="176"/>
      <c r="W2260" s="176"/>
      <c r="X2260" s="176"/>
      <c r="Y2260" s="176"/>
    </row>
    <row r="2261" spans="1:25">
      <c r="A2261" s="91"/>
      <c r="B2261" s="176"/>
      <c r="C2261" s="176"/>
      <c r="D2261" s="176"/>
      <c r="E2261" s="176"/>
      <c r="F2261" s="176"/>
      <c r="G2261" s="176"/>
      <c r="H2261" s="176"/>
      <c r="I2261" s="176"/>
      <c r="J2261" s="176"/>
      <c r="K2261" s="176"/>
      <c r="L2261" s="176"/>
      <c r="M2261" s="176"/>
      <c r="N2261" s="176"/>
      <c r="O2261" s="176"/>
      <c r="P2261" s="176"/>
      <c r="Q2261" s="176"/>
      <c r="R2261" s="176"/>
      <c r="S2261" s="176"/>
      <c r="T2261" s="176"/>
      <c r="U2261" s="176"/>
      <c r="V2261" s="176"/>
      <c r="W2261" s="176"/>
      <c r="X2261" s="176"/>
      <c r="Y2261" s="176"/>
    </row>
    <row r="2262" spans="1:25">
      <c r="A2262" s="91"/>
      <c r="B2262" s="176"/>
      <c r="C2262" s="176"/>
      <c r="D2262" s="176"/>
      <c r="E2262" s="176"/>
      <c r="F2262" s="176"/>
      <c r="G2262" s="176"/>
      <c r="H2262" s="176"/>
      <c r="I2262" s="176"/>
      <c r="J2262" s="176"/>
      <c r="K2262" s="176"/>
      <c r="L2262" s="176"/>
      <c r="M2262" s="176"/>
      <c r="N2262" s="176"/>
      <c r="O2262" s="176"/>
      <c r="P2262" s="176"/>
      <c r="Q2262" s="176"/>
      <c r="R2262" s="176"/>
      <c r="S2262" s="176"/>
      <c r="T2262" s="176"/>
      <c r="U2262" s="176"/>
      <c r="V2262" s="176"/>
      <c r="W2262" s="176"/>
      <c r="X2262" s="176"/>
      <c r="Y2262" s="176"/>
    </row>
    <row r="2263" spans="1:25">
      <c r="A2263" s="91"/>
      <c r="B2263" s="176"/>
      <c r="C2263" s="176"/>
      <c r="D2263" s="176"/>
      <c r="E2263" s="176"/>
      <c r="F2263" s="176"/>
      <c r="G2263" s="176"/>
      <c r="H2263" s="176"/>
      <c r="I2263" s="176"/>
      <c r="J2263" s="176"/>
      <c r="K2263" s="176"/>
      <c r="L2263" s="176"/>
      <c r="M2263" s="176"/>
      <c r="N2263" s="176"/>
      <c r="O2263" s="176"/>
      <c r="P2263" s="176"/>
      <c r="Q2263" s="176"/>
      <c r="R2263" s="176"/>
      <c r="S2263" s="176"/>
      <c r="T2263" s="176"/>
      <c r="U2263" s="176"/>
      <c r="V2263" s="176"/>
      <c r="W2263" s="176"/>
      <c r="X2263" s="176"/>
      <c r="Y2263" s="176"/>
    </row>
    <row r="2264" spans="1:25">
      <c r="A2264" s="91"/>
      <c r="B2264" s="176"/>
      <c r="C2264" s="176"/>
      <c r="D2264" s="176"/>
      <c r="E2264" s="176"/>
      <c r="F2264" s="176"/>
      <c r="G2264" s="176"/>
      <c r="H2264" s="176"/>
      <c r="I2264" s="176"/>
      <c r="J2264" s="176"/>
      <c r="K2264" s="176"/>
      <c r="L2264" s="176"/>
      <c r="M2264" s="176"/>
      <c r="N2264" s="176"/>
      <c r="O2264" s="176"/>
      <c r="P2264" s="176"/>
      <c r="Q2264" s="176"/>
      <c r="R2264" s="176"/>
      <c r="S2264" s="176"/>
      <c r="T2264" s="176"/>
      <c r="U2264" s="176"/>
      <c r="V2264" s="176"/>
      <c r="W2264" s="176"/>
      <c r="X2264" s="176"/>
      <c r="Y2264" s="176"/>
    </row>
    <row r="2265" spans="1:25">
      <c r="A2265" s="91"/>
      <c r="B2265" s="176"/>
      <c r="C2265" s="176"/>
      <c r="D2265" s="176"/>
      <c r="E2265" s="176"/>
      <c r="F2265" s="176"/>
      <c r="G2265" s="176"/>
      <c r="H2265" s="176"/>
      <c r="I2265" s="176"/>
      <c r="J2265" s="176"/>
      <c r="K2265" s="176"/>
      <c r="L2265" s="176"/>
      <c r="M2265" s="176"/>
      <c r="N2265" s="176"/>
      <c r="O2265" s="176"/>
      <c r="P2265" s="176"/>
      <c r="Q2265" s="176"/>
      <c r="R2265" s="176"/>
      <c r="S2265" s="176"/>
      <c r="T2265" s="176"/>
      <c r="U2265" s="176"/>
      <c r="V2265" s="176"/>
      <c r="W2265" s="176"/>
      <c r="X2265" s="176"/>
      <c r="Y2265" s="176"/>
    </row>
    <row r="2266" spans="1:25">
      <c r="A2266" s="91"/>
      <c r="B2266" s="176"/>
      <c r="C2266" s="176"/>
      <c r="D2266" s="176"/>
      <c r="E2266" s="176"/>
      <c r="F2266" s="176"/>
      <c r="G2266" s="176"/>
      <c r="H2266" s="176"/>
      <c r="I2266" s="176"/>
      <c r="J2266" s="176"/>
      <c r="K2266" s="176"/>
      <c r="L2266" s="176"/>
      <c r="M2266" s="176"/>
      <c r="N2266" s="176"/>
      <c r="O2266" s="176"/>
      <c r="P2266" s="176"/>
      <c r="Q2266" s="176"/>
      <c r="R2266" s="176"/>
      <c r="S2266" s="176"/>
      <c r="T2266" s="176"/>
      <c r="U2266" s="176"/>
      <c r="V2266" s="176"/>
      <c r="W2266" s="176"/>
      <c r="X2266" s="176"/>
      <c r="Y2266" s="176"/>
    </row>
    <row r="2267" spans="1:25">
      <c r="A2267" s="91"/>
      <c r="B2267" s="176"/>
      <c r="C2267" s="176"/>
      <c r="D2267" s="176"/>
      <c r="E2267" s="176"/>
      <c r="F2267" s="176"/>
      <c r="G2267" s="176"/>
      <c r="H2267" s="176"/>
      <c r="I2267" s="176"/>
      <c r="J2267" s="176"/>
      <c r="K2267" s="176"/>
      <c r="L2267" s="176"/>
      <c r="M2267" s="176"/>
      <c r="N2267" s="176"/>
      <c r="O2267" s="176"/>
      <c r="P2267" s="176"/>
      <c r="Q2267" s="176"/>
      <c r="R2267" s="176"/>
      <c r="S2267" s="176"/>
      <c r="T2267" s="176"/>
      <c r="U2267" s="176"/>
      <c r="V2267" s="176"/>
      <c r="W2267" s="176"/>
      <c r="X2267" s="176"/>
      <c r="Y2267" s="176"/>
    </row>
    <row r="2268" spans="1:25">
      <c r="A2268" s="91"/>
      <c r="B2268" s="176"/>
      <c r="C2268" s="176"/>
      <c r="D2268" s="176"/>
      <c r="E2268" s="176"/>
      <c r="F2268" s="176"/>
      <c r="G2268" s="176"/>
      <c r="H2268" s="176"/>
      <c r="I2268" s="176"/>
      <c r="J2268" s="176"/>
      <c r="K2268" s="176"/>
      <c r="L2268" s="176"/>
      <c r="M2268" s="176"/>
      <c r="N2268" s="176"/>
      <c r="O2268" s="176"/>
      <c r="P2268" s="176"/>
      <c r="Q2268" s="176"/>
      <c r="R2268" s="176"/>
      <c r="S2268" s="176"/>
      <c r="T2268" s="176"/>
      <c r="U2268" s="176"/>
      <c r="V2268" s="176"/>
      <c r="W2268" s="176"/>
      <c r="X2268" s="176"/>
      <c r="Y2268" s="176"/>
    </row>
    <row r="2269" spans="1:25">
      <c r="A2269" s="91"/>
      <c r="B2269" s="176"/>
      <c r="C2269" s="176"/>
      <c r="D2269" s="176"/>
      <c r="E2269" s="176"/>
      <c r="F2269" s="176"/>
      <c r="G2269" s="176"/>
      <c r="H2269" s="176"/>
      <c r="I2269" s="176"/>
      <c r="J2269" s="176"/>
      <c r="K2269" s="176"/>
      <c r="L2269" s="176"/>
      <c r="M2269" s="176"/>
      <c r="N2269" s="176"/>
      <c r="O2269" s="176"/>
      <c r="P2269" s="176"/>
      <c r="Q2269" s="176"/>
      <c r="R2269" s="176"/>
      <c r="S2269" s="176"/>
      <c r="T2269" s="176"/>
      <c r="U2269" s="176"/>
      <c r="V2269" s="176"/>
      <c r="W2269" s="176"/>
      <c r="X2269" s="176"/>
      <c r="Y2269" s="176"/>
    </row>
    <row r="2270" spans="1:25">
      <c r="A2270" s="91"/>
      <c r="B2270" s="176"/>
      <c r="C2270" s="176"/>
      <c r="D2270" s="176"/>
      <c r="E2270" s="176"/>
      <c r="F2270" s="176"/>
      <c r="G2270" s="176"/>
      <c r="H2270" s="176"/>
      <c r="I2270" s="176"/>
      <c r="J2270" s="176"/>
      <c r="K2270" s="176"/>
      <c r="L2270" s="176"/>
      <c r="M2270" s="176"/>
      <c r="N2270" s="176"/>
      <c r="O2270" s="176"/>
      <c r="P2270" s="176"/>
      <c r="Q2270" s="176"/>
      <c r="R2270" s="176"/>
      <c r="S2270" s="176"/>
      <c r="T2270" s="176"/>
      <c r="U2270" s="176"/>
      <c r="V2270" s="176"/>
      <c r="W2270" s="176"/>
      <c r="X2270" s="176"/>
      <c r="Y2270" s="176"/>
    </row>
    <row r="2271" spans="1:25">
      <c r="A2271" s="91"/>
      <c r="B2271" s="176"/>
      <c r="C2271" s="176"/>
      <c r="D2271" s="176"/>
      <c r="E2271" s="176"/>
      <c r="F2271" s="176"/>
      <c r="G2271" s="176"/>
      <c r="H2271" s="176"/>
      <c r="I2271" s="176"/>
      <c r="J2271" s="176"/>
      <c r="K2271" s="176"/>
      <c r="L2271" s="176"/>
      <c r="M2271" s="176"/>
      <c r="N2271" s="176"/>
      <c r="O2271" s="176"/>
      <c r="P2271" s="176"/>
      <c r="Q2271" s="176"/>
      <c r="R2271" s="176"/>
      <c r="S2271" s="176"/>
      <c r="T2271" s="176"/>
      <c r="U2271" s="176"/>
      <c r="V2271" s="176"/>
      <c r="W2271" s="176"/>
      <c r="X2271" s="176"/>
      <c r="Y2271" s="176"/>
    </row>
    <row r="2272" spans="1:25">
      <c r="A2272" s="91"/>
      <c r="B2272" s="176"/>
      <c r="C2272" s="176"/>
      <c r="D2272" s="176"/>
      <c r="E2272" s="176"/>
      <c r="F2272" s="176"/>
      <c r="G2272" s="176"/>
      <c r="H2272" s="176"/>
      <c r="I2272" s="176"/>
      <c r="J2272" s="176"/>
      <c r="K2272" s="176"/>
      <c r="L2272" s="176"/>
      <c r="M2272" s="176"/>
      <c r="N2272" s="176"/>
      <c r="O2272" s="176"/>
      <c r="P2272" s="176"/>
      <c r="Q2272" s="176"/>
      <c r="R2272" s="176"/>
      <c r="S2272" s="176"/>
      <c r="T2272" s="176"/>
      <c r="U2272" s="176"/>
      <c r="V2272" s="176"/>
      <c r="W2272" s="176"/>
      <c r="X2272" s="176"/>
      <c r="Y2272" s="176"/>
    </row>
    <row r="2273" spans="1:25">
      <c r="A2273" s="91"/>
      <c r="B2273" s="176"/>
      <c r="C2273" s="176"/>
      <c r="D2273" s="176"/>
      <c r="E2273" s="176"/>
      <c r="F2273" s="176"/>
      <c r="G2273" s="176"/>
      <c r="H2273" s="176"/>
      <c r="I2273" s="176"/>
      <c r="J2273" s="176"/>
      <c r="K2273" s="176"/>
      <c r="L2273" s="176"/>
      <c r="M2273" s="176"/>
      <c r="N2273" s="176"/>
      <c r="O2273" s="176"/>
      <c r="P2273" s="176"/>
      <c r="Q2273" s="176"/>
      <c r="R2273" s="176"/>
      <c r="S2273" s="176"/>
      <c r="T2273" s="176"/>
      <c r="U2273" s="176"/>
      <c r="V2273" s="176"/>
      <c r="W2273" s="176"/>
      <c r="X2273" s="176"/>
      <c r="Y2273" s="176"/>
    </row>
    <row r="2274" spans="1:25">
      <c r="A2274" s="91"/>
      <c r="B2274" s="176"/>
      <c r="C2274" s="176"/>
      <c r="D2274" s="176"/>
      <c r="E2274" s="176"/>
      <c r="F2274" s="176"/>
      <c r="G2274" s="176"/>
      <c r="H2274" s="176"/>
      <c r="I2274" s="176"/>
      <c r="J2274" s="176"/>
      <c r="K2274" s="176"/>
      <c r="L2274" s="176"/>
      <c r="M2274" s="176"/>
      <c r="N2274" s="176"/>
      <c r="O2274" s="176"/>
      <c r="P2274" s="176"/>
      <c r="Q2274" s="176"/>
      <c r="R2274" s="176"/>
      <c r="S2274" s="176"/>
      <c r="T2274" s="176"/>
      <c r="U2274" s="176"/>
      <c r="V2274" s="176"/>
      <c r="W2274" s="176"/>
      <c r="X2274" s="176"/>
      <c r="Y2274" s="176"/>
    </row>
    <row r="2275" spans="1:25">
      <c r="A2275" s="91"/>
      <c r="B2275" s="176"/>
      <c r="C2275" s="176"/>
      <c r="D2275" s="176"/>
      <c r="E2275" s="176"/>
      <c r="F2275" s="176"/>
      <c r="G2275" s="176"/>
      <c r="H2275" s="176"/>
      <c r="I2275" s="176"/>
      <c r="J2275" s="176"/>
      <c r="K2275" s="176"/>
      <c r="L2275" s="176"/>
      <c r="M2275" s="176"/>
      <c r="N2275" s="176"/>
      <c r="O2275" s="176"/>
      <c r="P2275" s="176"/>
      <c r="Q2275" s="176"/>
      <c r="R2275" s="176"/>
      <c r="S2275" s="176"/>
      <c r="T2275" s="176"/>
      <c r="U2275" s="176"/>
      <c r="V2275" s="176"/>
      <c r="W2275" s="176"/>
      <c r="X2275" s="176"/>
      <c r="Y2275" s="176"/>
    </row>
    <row r="2276" spans="1:25">
      <c r="A2276" s="91"/>
      <c r="B2276" s="176"/>
      <c r="C2276" s="176"/>
      <c r="D2276" s="176"/>
      <c r="E2276" s="176"/>
      <c r="F2276" s="176"/>
      <c r="G2276" s="176"/>
      <c r="H2276" s="176"/>
      <c r="I2276" s="176"/>
      <c r="J2276" s="176"/>
      <c r="K2276" s="176"/>
      <c r="L2276" s="176"/>
      <c r="M2276" s="176"/>
      <c r="N2276" s="176"/>
      <c r="O2276" s="176"/>
      <c r="P2276" s="176"/>
      <c r="Q2276" s="176"/>
      <c r="R2276" s="176"/>
      <c r="S2276" s="176"/>
      <c r="T2276" s="176"/>
      <c r="U2276" s="176"/>
      <c r="V2276" s="176"/>
      <c r="W2276" s="176"/>
      <c r="X2276" s="176"/>
      <c r="Y2276" s="176"/>
    </row>
    <row r="2277" spans="1:25">
      <c r="A2277" s="91"/>
      <c r="B2277" s="176"/>
      <c r="C2277" s="176"/>
      <c r="D2277" s="176"/>
      <c r="E2277" s="176"/>
      <c r="F2277" s="176"/>
      <c r="G2277" s="176"/>
      <c r="H2277" s="176"/>
      <c r="I2277" s="176"/>
      <c r="J2277" s="176"/>
      <c r="K2277" s="176"/>
      <c r="L2277" s="176"/>
      <c r="M2277" s="176"/>
      <c r="N2277" s="176"/>
      <c r="O2277" s="176"/>
      <c r="P2277" s="176"/>
      <c r="Q2277" s="176"/>
      <c r="R2277" s="176"/>
      <c r="S2277" s="176"/>
      <c r="T2277" s="176"/>
      <c r="U2277" s="176"/>
      <c r="V2277" s="176"/>
      <c r="W2277" s="176"/>
      <c r="X2277" s="176"/>
      <c r="Y2277" s="176"/>
    </row>
    <row r="2278" spans="1:25">
      <c r="A2278" s="91"/>
      <c r="B2278" s="176"/>
      <c r="C2278" s="176"/>
      <c r="D2278" s="176"/>
      <c r="E2278" s="176"/>
      <c r="F2278" s="176"/>
      <c r="G2278" s="176"/>
      <c r="H2278" s="176"/>
      <c r="I2278" s="176"/>
      <c r="J2278" s="176"/>
      <c r="K2278" s="176"/>
      <c r="L2278" s="176"/>
      <c r="M2278" s="176"/>
      <c r="N2278" s="176"/>
      <c r="O2278" s="176"/>
      <c r="P2278" s="176"/>
      <c r="Q2278" s="176"/>
      <c r="R2278" s="176"/>
      <c r="S2278" s="176"/>
      <c r="T2278" s="176"/>
      <c r="U2278" s="176"/>
      <c r="V2278" s="176"/>
      <c r="W2278" s="176"/>
      <c r="X2278" s="176"/>
      <c r="Y2278" s="176"/>
    </row>
    <row r="2279" spans="1:25">
      <c r="A2279" s="91"/>
      <c r="B2279" s="176"/>
      <c r="C2279" s="176"/>
      <c r="D2279" s="176"/>
      <c r="E2279" s="176"/>
      <c r="F2279" s="176"/>
      <c r="G2279" s="176"/>
      <c r="H2279" s="176"/>
      <c r="I2279" s="176"/>
      <c r="J2279" s="176"/>
      <c r="K2279" s="176"/>
      <c r="L2279" s="176"/>
      <c r="M2279" s="176"/>
      <c r="N2279" s="176"/>
      <c r="O2279" s="176"/>
      <c r="P2279" s="176"/>
      <c r="Q2279" s="176"/>
      <c r="R2279" s="176"/>
      <c r="S2279" s="176"/>
      <c r="T2279" s="176"/>
      <c r="U2279" s="176"/>
      <c r="V2279" s="176"/>
      <c r="W2279" s="176"/>
      <c r="X2279" s="176"/>
      <c r="Y2279" s="176"/>
    </row>
    <row r="2280" spans="1:25">
      <c r="A2280" s="91"/>
      <c r="B2280" s="176"/>
      <c r="C2280" s="176"/>
      <c r="D2280" s="176"/>
      <c r="E2280" s="176"/>
      <c r="F2280" s="176"/>
      <c r="G2280" s="176"/>
      <c r="H2280" s="176"/>
      <c r="I2280" s="176"/>
      <c r="J2280" s="176"/>
      <c r="K2280" s="176"/>
      <c r="L2280" s="176"/>
      <c r="M2280" s="176"/>
      <c r="N2280" s="176"/>
      <c r="O2280" s="176"/>
      <c r="P2280" s="176"/>
      <c r="Q2280" s="176"/>
      <c r="R2280" s="176"/>
      <c r="S2280" s="176"/>
      <c r="T2280" s="176"/>
      <c r="U2280" s="176"/>
      <c r="V2280" s="176"/>
      <c r="W2280" s="176"/>
      <c r="X2280" s="176"/>
      <c r="Y2280" s="176"/>
    </row>
    <row r="2281" spans="1:25">
      <c r="A2281" s="91"/>
      <c r="B2281" s="176"/>
      <c r="C2281" s="176"/>
      <c r="D2281" s="176"/>
      <c r="E2281" s="176"/>
      <c r="F2281" s="176"/>
      <c r="G2281" s="176"/>
      <c r="H2281" s="176"/>
      <c r="I2281" s="176"/>
      <c r="J2281" s="176"/>
      <c r="K2281" s="176"/>
      <c r="L2281" s="176"/>
      <c r="M2281" s="176"/>
      <c r="N2281" s="176"/>
      <c r="O2281" s="176"/>
      <c r="P2281" s="176"/>
      <c r="Q2281" s="176"/>
      <c r="R2281" s="176"/>
      <c r="S2281" s="176"/>
      <c r="T2281" s="176"/>
      <c r="U2281" s="176"/>
      <c r="V2281" s="176"/>
      <c r="W2281" s="176"/>
      <c r="X2281" s="176"/>
      <c r="Y2281" s="176"/>
    </row>
    <row r="2282" spans="1:25">
      <c r="A2282" s="91"/>
      <c r="B2282" s="176"/>
      <c r="C2282" s="176"/>
      <c r="D2282" s="176"/>
      <c r="E2282" s="176"/>
      <c r="F2282" s="176"/>
      <c r="G2282" s="176"/>
      <c r="H2282" s="176"/>
      <c r="I2282" s="176"/>
      <c r="J2282" s="176"/>
      <c r="K2282" s="176"/>
      <c r="L2282" s="176"/>
      <c r="M2282" s="176"/>
      <c r="N2282" s="176"/>
      <c r="O2282" s="176"/>
      <c r="P2282" s="176"/>
      <c r="Q2282" s="176"/>
      <c r="R2282" s="176"/>
      <c r="S2282" s="176"/>
      <c r="T2282" s="176"/>
      <c r="U2282" s="176"/>
      <c r="V2282" s="176"/>
      <c r="W2282" s="176"/>
      <c r="X2282" s="176"/>
      <c r="Y2282" s="176"/>
    </row>
    <row r="2283" spans="1:25">
      <c r="A2283" s="91"/>
      <c r="B2283" s="176"/>
      <c r="C2283" s="176"/>
      <c r="D2283" s="176"/>
      <c r="E2283" s="176"/>
      <c r="F2283" s="176"/>
      <c r="G2283" s="176"/>
      <c r="H2283" s="176"/>
      <c r="I2283" s="176"/>
      <c r="J2283" s="176"/>
      <c r="K2283" s="176"/>
      <c r="L2283" s="176"/>
      <c r="M2283" s="176"/>
      <c r="N2283" s="176"/>
      <c r="O2283" s="176"/>
      <c r="P2283" s="176"/>
      <c r="Q2283" s="176"/>
      <c r="R2283" s="176"/>
      <c r="S2283" s="176"/>
      <c r="T2283" s="176"/>
      <c r="U2283" s="176"/>
      <c r="V2283" s="176"/>
      <c r="W2283" s="176"/>
      <c r="X2283" s="176"/>
      <c r="Y2283" s="176"/>
    </row>
    <row r="2284" spans="1:25">
      <c r="A2284" s="91"/>
      <c r="B2284" s="176"/>
      <c r="C2284" s="176"/>
      <c r="D2284" s="176"/>
      <c r="E2284" s="176"/>
      <c r="F2284" s="176"/>
      <c r="G2284" s="176"/>
      <c r="H2284" s="176"/>
      <c r="I2284" s="176"/>
      <c r="J2284" s="176"/>
      <c r="K2284" s="176"/>
      <c r="L2284" s="176"/>
      <c r="M2284" s="176"/>
      <c r="N2284" s="176"/>
      <c r="O2284" s="176"/>
      <c r="P2284" s="176"/>
      <c r="Q2284" s="176"/>
      <c r="R2284" s="176"/>
      <c r="S2284" s="176"/>
      <c r="T2284" s="176"/>
      <c r="U2284" s="176"/>
      <c r="V2284" s="176"/>
      <c r="W2284" s="176"/>
      <c r="X2284" s="176"/>
      <c r="Y2284" s="176"/>
    </row>
    <row r="2285" spans="1:25">
      <c r="A2285" s="91"/>
      <c r="B2285" s="176"/>
      <c r="C2285" s="176"/>
      <c r="D2285" s="176"/>
      <c r="E2285" s="176"/>
      <c r="F2285" s="176"/>
      <c r="G2285" s="176"/>
      <c r="H2285" s="176"/>
      <c r="I2285" s="176"/>
      <c r="J2285" s="176"/>
      <c r="K2285" s="176"/>
      <c r="L2285" s="176"/>
      <c r="M2285" s="176"/>
      <c r="N2285" s="176"/>
      <c r="O2285" s="176"/>
      <c r="P2285" s="176"/>
      <c r="Q2285" s="176"/>
      <c r="R2285" s="176"/>
      <c r="S2285" s="176"/>
      <c r="T2285" s="176"/>
      <c r="U2285" s="176"/>
      <c r="V2285" s="176"/>
      <c r="W2285" s="176"/>
      <c r="X2285" s="176"/>
      <c r="Y2285" s="176"/>
    </row>
    <row r="2286" spans="1:25">
      <c r="A2286" s="91"/>
      <c r="B2286" s="176"/>
      <c r="C2286" s="176"/>
      <c r="D2286" s="176"/>
      <c r="E2286" s="176"/>
      <c r="F2286" s="176"/>
      <c r="G2286" s="176"/>
      <c r="H2286" s="176"/>
      <c r="I2286" s="176"/>
      <c r="J2286" s="176"/>
      <c r="K2286" s="176"/>
      <c r="L2286" s="176"/>
      <c r="M2286" s="176"/>
      <c r="N2286" s="176"/>
      <c r="O2286" s="176"/>
      <c r="P2286" s="176"/>
      <c r="Q2286" s="176"/>
      <c r="R2286" s="176"/>
      <c r="S2286" s="176"/>
      <c r="T2286" s="176"/>
      <c r="U2286" s="176"/>
      <c r="V2286" s="176"/>
      <c r="W2286" s="176"/>
      <c r="X2286" s="176"/>
      <c r="Y2286" s="176"/>
    </row>
    <row r="2287" spans="1:25">
      <c r="A2287" s="91"/>
      <c r="B2287" s="176"/>
      <c r="C2287" s="176"/>
      <c r="D2287" s="176"/>
      <c r="E2287" s="176"/>
      <c r="F2287" s="176"/>
      <c r="G2287" s="176"/>
      <c r="H2287" s="176"/>
      <c r="I2287" s="176"/>
      <c r="J2287" s="176"/>
      <c r="K2287" s="176"/>
      <c r="L2287" s="176"/>
      <c r="M2287" s="176"/>
      <c r="N2287" s="176"/>
      <c r="O2287" s="176"/>
      <c r="P2287" s="176"/>
      <c r="Q2287" s="176"/>
      <c r="R2287" s="176"/>
      <c r="S2287" s="176"/>
      <c r="T2287" s="176"/>
      <c r="U2287" s="176"/>
      <c r="V2287" s="176"/>
      <c r="W2287" s="176"/>
      <c r="X2287" s="176"/>
      <c r="Y2287" s="176"/>
    </row>
    <row r="2288" spans="1:25">
      <c r="A2288" s="91"/>
      <c r="B2288" s="176"/>
      <c r="C2288" s="176"/>
      <c r="D2288" s="176"/>
      <c r="E2288" s="176"/>
      <c r="F2288" s="176"/>
      <c r="G2288" s="176"/>
      <c r="H2288" s="176"/>
      <c r="I2288" s="176"/>
      <c r="J2288" s="176"/>
      <c r="K2288" s="176"/>
      <c r="L2288" s="176"/>
      <c r="M2288" s="176"/>
      <c r="N2288" s="176"/>
      <c r="O2288" s="176"/>
      <c r="P2288" s="176"/>
      <c r="Q2288" s="176"/>
      <c r="R2288" s="176"/>
      <c r="S2288" s="176"/>
      <c r="T2288" s="176"/>
      <c r="U2288" s="176"/>
      <c r="V2288" s="176"/>
      <c r="W2288" s="176"/>
      <c r="X2288" s="176"/>
      <c r="Y2288" s="176"/>
    </row>
    <row r="2289" spans="1:25">
      <c r="A2289" s="91"/>
      <c r="B2289" s="176"/>
      <c r="C2289" s="176"/>
      <c r="D2289" s="176"/>
      <c r="E2289" s="176"/>
      <c r="F2289" s="176"/>
      <c r="G2289" s="176"/>
      <c r="H2289" s="176"/>
      <c r="I2289" s="176"/>
      <c r="J2289" s="176"/>
      <c r="K2289" s="176"/>
      <c r="L2289" s="176"/>
      <c r="M2289" s="176"/>
      <c r="N2289" s="176"/>
      <c r="O2289" s="176"/>
      <c r="P2289" s="176"/>
      <c r="Q2289" s="176"/>
      <c r="R2289" s="176"/>
      <c r="S2289" s="176"/>
      <c r="T2289" s="176"/>
      <c r="U2289" s="176"/>
      <c r="V2289" s="176"/>
      <c r="W2289" s="176"/>
      <c r="X2289" s="176"/>
      <c r="Y2289" s="176"/>
    </row>
    <row r="2290" spans="1:25">
      <c r="A2290" s="91"/>
      <c r="B2290" s="176"/>
      <c r="C2290" s="176"/>
      <c r="D2290" s="176"/>
      <c r="E2290" s="176"/>
      <c r="F2290" s="176"/>
      <c r="G2290" s="176"/>
      <c r="H2290" s="176"/>
      <c r="I2290" s="176"/>
      <c r="J2290" s="176"/>
      <c r="K2290" s="176"/>
      <c r="L2290" s="176"/>
      <c r="M2290" s="176"/>
      <c r="N2290" s="176"/>
      <c r="O2290" s="176"/>
      <c r="P2290" s="176"/>
      <c r="Q2290" s="176"/>
      <c r="R2290" s="176"/>
      <c r="S2290" s="176"/>
      <c r="T2290" s="176"/>
      <c r="U2290" s="176"/>
      <c r="V2290" s="176"/>
      <c r="W2290" s="176"/>
      <c r="X2290" s="176"/>
      <c r="Y2290" s="176"/>
    </row>
    <row r="2291" spans="1:25">
      <c r="A2291" s="91"/>
      <c r="B2291" s="176"/>
      <c r="C2291" s="176"/>
      <c r="D2291" s="176"/>
      <c r="E2291" s="176"/>
      <c r="F2291" s="176"/>
      <c r="G2291" s="176"/>
      <c r="H2291" s="176"/>
      <c r="I2291" s="176"/>
      <c r="J2291" s="176"/>
      <c r="K2291" s="176"/>
      <c r="L2291" s="176"/>
      <c r="M2291" s="176"/>
      <c r="N2291" s="176"/>
      <c r="O2291" s="176"/>
      <c r="P2291" s="176"/>
      <c r="Q2291" s="176"/>
      <c r="R2291" s="176"/>
      <c r="S2291" s="176"/>
      <c r="T2291" s="176"/>
      <c r="U2291" s="176"/>
      <c r="V2291" s="176"/>
      <c r="W2291" s="176"/>
      <c r="X2291" s="176"/>
      <c r="Y2291" s="176"/>
    </row>
    <row r="2292" spans="1:25">
      <c r="A2292" s="91"/>
      <c r="B2292" s="176"/>
      <c r="C2292" s="176"/>
      <c r="D2292" s="176"/>
      <c r="E2292" s="176"/>
      <c r="F2292" s="176"/>
      <c r="G2292" s="176"/>
      <c r="H2292" s="176"/>
      <c r="I2292" s="176"/>
      <c r="J2292" s="176"/>
      <c r="K2292" s="176"/>
      <c r="L2292" s="176"/>
      <c r="M2292" s="176"/>
      <c r="N2292" s="176"/>
      <c r="O2292" s="176"/>
      <c r="P2292" s="176"/>
      <c r="Q2292" s="176"/>
      <c r="R2292" s="176"/>
      <c r="S2292" s="176"/>
      <c r="T2292" s="176"/>
      <c r="U2292" s="176"/>
      <c r="V2292" s="176"/>
      <c r="W2292" s="176"/>
      <c r="X2292" s="176"/>
      <c r="Y2292" s="176"/>
    </row>
    <row r="2293" spans="1:25">
      <c r="A2293" s="91"/>
      <c r="B2293" s="176"/>
      <c r="C2293" s="176"/>
      <c r="D2293" s="176"/>
      <c r="E2293" s="176"/>
      <c r="F2293" s="176"/>
      <c r="G2293" s="176"/>
      <c r="H2293" s="176"/>
      <c r="I2293" s="176"/>
      <c r="J2293" s="176"/>
      <c r="K2293" s="176"/>
      <c r="L2293" s="176"/>
      <c r="M2293" s="176"/>
      <c r="N2293" s="176"/>
      <c r="O2293" s="176"/>
      <c r="P2293" s="176"/>
      <c r="Q2293" s="176"/>
      <c r="R2293" s="176"/>
      <c r="S2293" s="176"/>
      <c r="T2293" s="176"/>
      <c r="U2293" s="176"/>
      <c r="V2293" s="176"/>
      <c r="W2293" s="176"/>
      <c r="X2293" s="176"/>
      <c r="Y2293" s="176"/>
    </row>
    <row r="2294" spans="1:25">
      <c r="A2294" s="91"/>
      <c r="B2294" s="176"/>
      <c r="C2294" s="176"/>
      <c r="D2294" s="176"/>
      <c r="E2294" s="176"/>
      <c r="F2294" s="176"/>
      <c r="G2294" s="176"/>
      <c r="H2294" s="176"/>
      <c r="I2294" s="176"/>
      <c r="J2294" s="176"/>
      <c r="K2294" s="176"/>
      <c r="L2294" s="176"/>
      <c r="M2294" s="176"/>
      <c r="N2294" s="176"/>
      <c r="O2294" s="176"/>
      <c r="P2294" s="176"/>
      <c r="Q2294" s="176"/>
      <c r="R2294" s="176"/>
      <c r="S2294" s="176"/>
      <c r="T2294" s="176"/>
      <c r="U2294" s="176"/>
      <c r="V2294" s="176"/>
      <c r="W2294" s="176"/>
      <c r="X2294" s="176"/>
      <c r="Y2294" s="176"/>
    </row>
    <row r="2295" spans="1:25">
      <c r="A2295" s="91"/>
      <c r="B2295" s="176"/>
      <c r="C2295" s="176"/>
      <c r="D2295" s="176"/>
      <c r="E2295" s="176"/>
      <c r="F2295" s="176"/>
      <c r="G2295" s="176"/>
      <c r="H2295" s="176"/>
      <c r="I2295" s="176"/>
      <c r="J2295" s="176"/>
      <c r="K2295" s="176"/>
      <c r="L2295" s="176"/>
      <c r="M2295" s="176"/>
      <c r="N2295" s="176"/>
      <c r="O2295" s="176"/>
      <c r="P2295" s="176"/>
      <c r="Q2295" s="176"/>
      <c r="R2295" s="176"/>
      <c r="S2295" s="176"/>
      <c r="T2295" s="176"/>
      <c r="U2295" s="176"/>
      <c r="V2295" s="176"/>
      <c r="W2295" s="176"/>
      <c r="X2295" s="176"/>
      <c r="Y2295" s="176"/>
    </row>
    <row r="2296" spans="1:25">
      <c r="A2296" s="91"/>
      <c r="B2296" s="176"/>
      <c r="C2296" s="176"/>
      <c r="D2296" s="176"/>
      <c r="E2296" s="176"/>
      <c r="F2296" s="176"/>
      <c r="G2296" s="176"/>
      <c r="H2296" s="176"/>
      <c r="I2296" s="176"/>
      <c r="J2296" s="176"/>
      <c r="K2296" s="176"/>
      <c r="L2296" s="176"/>
      <c r="M2296" s="176"/>
      <c r="N2296" s="176"/>
      <c r="O2296" s="176"/>
      <c r="P2296" s="176"/>
      <c r="Q2296" s="176"/>
      <c r="R2296" s="176"/>
      <c r="S2296" s="176"/>
      <c r="T2296" s="176"/>
      <c r="U2296" s="176"/>
      <c r="V2296" s="176"/>
      <c r="W2296" s="176"/>
      <c r="X2296" s="176"/>
      <c r="Y2296" s="176"/>
    </row>
    <row r="2297" spans="1:25">
      <c r="A2297" s="91"/>
      <c r="B2297" s="176"/>
      <c r="C2297" s="176"/>
      <c r="D2297" s="176"/>
      <c r="E2297" s="176"/>
      <c r="F2297" s="176"/>
      <c r="G2297" s="176"/>
      <c r="H2297" s="176"/>
      <c r="I2297" s="176"/>
      <c r="J2297" s="176"/>
      <c r="K2297" s="176"/>
      <c r="L2297" s="176"/>
      <c r="M2297" s="176"/>
      <c r="N2297" s="176"/>
      <c r="O2297" s="176"/>
      <c r="P2297" s="176"/>
      <c r="Q2297" s="176"/>
      <c r="R2297" s="176"/>
      <c r="S2297" s="176"/>
      <c r="T2297" s="176"/>
      <c r="U2297" s="176"/>
      <c r="V2297" s="176"/>
      <c r="W2297" s="176"/>
      <c r="X2297" s="176"/>
      <c r="Y2297" s="176"/>
    </row>
    <row r="2298" spans="1:25">
      <c r="A2298" s="91"/>
      <c r="B2298" s="176"/>
      <c r="C2298" s="176"/>
      <c r="D2298" s="176"/>
      <c r="E2298" s="176"/>
      <c r="F2298" s="176"/>
      <c r="G2298" s="176"/>
      <c r="H2298" s="176"/>
      <c r="I2298" s="176"/>
      <c r="J2298" s="176"/>
      <c r="K2298" s="176"/>
      <c r="L2298" s="176"/>
      <c r="M2298" s="176"/>
      <c r="N2298" s="176"/>
      <c r="O2298" s="176"/>
      <c r="P2298" s="176"/>
      <c r="Q2298" s="176"/>
      <c r="R2298" s="176"/>
      <c r="S2298" s="176"/>
      <c r="T2298" s="176"/>
      <c r="U2298" s="176"/>
      <c r="V2298" s="176"/>
      <c r="W2298" s="176"/>
      <c r="X2298" s="176"/>
      <c r="Y2298" s="176"/>
    </row>
    <row r="2299" spans="1:25">
      <c r="A2299" s="91"/>
      <c r="B2299" s="176"/>
      <c r="C2299" s="176"/>
      <c r="D2299" s="176"/>
      <c r="E2299" s="176"/>
      <c r="F2299" s="176"/>
      <c r="G2299" s="176"/>
      <c r="H2299" s="176"/>
      <c r="I2299" s="176"/>
      <c r="J2299" s="176"/>
      <c r="K2299" s="176"/>
      <c r="L2299" s="176"/>
      <c r="M2299" s="176"/>
      <c r="N2299" s="176"/>
      <c r="O2299" s="176"/>
      <c r="P2299" s="176"/>
      <c r="Q2299" s="176"/>
      <c r="R2299" s="176"/>
      <c r="S2299" s="176"/>
      <c r="T2299" s="176"/>
      <c r="U2299" s="176"/>
      <c r="V2299" s="176"/>
      <c r="W2299" s="176"/>
      <c r="X2299" s="176"/>
      <c r="Y2299" s="176"/>
    </row>
    <row r="2300" spans="1:25">
      <c r="A2300" s="91"/>
      <c r="B2300" s="176"/>
      <c r="C2300" s="176"/>
      <c r="D2300" s="176"/>
      <c r="E2300" s="176"/>
      <c r="F2300" s="176"/>
      <c r="G2300" s="176"/>
      <c r="H2300" s="176"/>
      <c r="I2300" s="176"/>
      <c r="J2300" s="176"/>
      <c r="K2300" s="176"/>
      <c r="L2300" s="176"/>
      <c r="M2300" s="176"/>
      <c r="N2300" s="176"/>
      <c r="O2300" s="176"/>
      <c r="P2300" s="176"/>
      <c r="Q2300" s="176"/>
      <c r="R2300" s="176"/>
      <c r="S2300" s="176"/>
      <c r="T2300" s="176"/>
      <c r="U2300" s="176"/>
      <c r="V2300" s="176"/>
      <c r="W2300" s="176"/>
      <c r="X2300" s="176"/>
      <c r="Y2300" s="176"/>
    </row>
    <row r="2301" spans="1:25">
      <c r="A2301" s="91"/>
      <c r="B2301" s="176"/>
      <c r="C2301" s="176"/>
      <c r="D2301" s="176"/>
      <c r="E2301" s="176"/>
      <c r="F2301" s="176"/>
      <c r="G2301" s="176"/>
      <c r="H2301" s="176"/>
      <c r="I2301" s="176"/>
      <c r="J2301" s="176"/>
      <c r="K2301" s="176"/>
      <c r="L2301" s="176"/>
      <c r="M2301" s="176"/>
      <c r="N2301" s="176"/>
      <c r="O2301" s="176"/>
      <c r="P2301" s="176"/>
      <c r="Q2301" s="176"/>
      <c r="R2301" s="176"/>
      <c r="S2301" s="176"/>
      <c r="T2301" s="176"/>
      <c r="U2301" s="176"/>
      <c r="V2301" s="176"/>
      <c r="W2301" s="176"/>
      <c r="X2301" s="176"/>
      <c r="Y2301" s="176"/>
    </row>
    <row r="2302" spans="1:25">
      <c r="A2302" s="91"/>
      <c r="B2302" s="176"/>
      <c r="C2302" s="176"/>
      <c r="D2302" s="176"/>
      <c r="E2302" s="176"/>
      <c r="F2302" s="176"/>
      <c r="G2302" s="176"/>
      <c r="H2302" s="176"/>
      <c r="I2302" s="176"/>
      <c r="J2302" s="176"/>
      <c r="K2302" s="176"/>
      <c r="L2302" s="176"/>
      <c r="M2302" s="176"/>
      <c r="N2302" s="176"/>
      <c r="O2302" s="176"/>
      <c r="P2302" s="176"/>
      <c r="Q2302" s="176"/>
      <c r="R2302" s="176"/>
      <c r="S2302" s="176"/>
      <c r="T2302" s="176"/>
      <c r="U2302" s="176"/>
      <c r="V2302" s="176"/>
      <c r="W2302" s="176"/>
      <c r="X2302" s="176"/>
      <c r="Y2302" s="176"/>
    </row>
    <row r="2303" spans="1:25">
      <c r="A2303" s="91"/>
      <c r="B2303" s="176"/>
      <c r="C2303" s="176"/>
      <c r="D2303" s="176"/>
      <c r="E2303" s="176"/>
      <c r="F2303" s="176"/>
      <c r="G2303" s="176"/>
      <c r="H2303" s="176"/>
      <c r="I2303" s="176"/>
      <c r="J2303" s="176"/>
      <c r="K2303" s="176"/>
      <c r="L2303" s="176"/>
      <c r="M2303" s="176"/>
      <c r="N2303" s="176"/>
      <c r="O2303" s="176"/>
      <c r="P2303" s="176"/>
      <c r="Q2303" s="176"/>
      <c r="R2303" s="176"/>
      <c r="S2303" s="176"/>
      <c r="T2303" s="176"/>
      <c r="U2303" s="176"/>
      <c r="V2303" s="176"/>
      <c r="W2303" s="176"/>
      <c r="X2303" s="176"/>
      <c r="Y2303" s="176"/>
    </row>
    <row r="2304" spans="1:25">
      <c r="A2304" s="91"/>
      <c r="B2304" s="176"/>
      <c r="C2304" s="176"/>
      <c r="D2304" s="176"/>
      <c r="E2304" s="176"/>
      <c r="F2304" s="176"/>
      <c r="G2304" s="176"/>
      <c r="H2304" s="176"/>
      <c r="I2304" s="176"/>
      <c r="J2304" s="176"/>
      <c r="K2304" s="176"/>
      <c r="L2304" s="176"/>
      <c r="M2304" s="176"/>
      <c r="N2304" s="176"/>
      <c r="O2304" s="176"/>
      <c r="P2304" s="176"/>
      <c r="Q2304" s="176"/>
      <c r="R2304" s="176"/>
      <c r="S2304" s="176"/>
      <c r="T2304" s="176"/>
      <c r="U2304" s="176"/>
      <c r="V2304" s="176"/>
      <c r="W2304" s="176"/>
      <c r="X2304" s="176"/>
      <c r="Y2304" s="176"/>
    </row>
    <row r="2305" spans="1:25">
      <c r="A2305" s="91"/>
      <c r="B2305" s="176"/>
      <c r="C2305" s="176"/>
      <c r="D2305" s="176"/>
      <c r="E2305" s="176"/>
      <c r="F2305" s="176"/>
      <c r="G2305" s="176"/>
      <c r="H2305" s="176"/>
      <c r="I2305" s="176"/>
      <c r="J2305" s="176"/>
      <c r="K2305" s="176"/>
      <c r="L2305" s="176"/>
      <c r="M2305" s="176"/>
      <c r="N2305" s="176"/>
      <c r="O2305" s="176"/>
      <c r="P2305" s="176"/>
      <c r="Q2305" s="176"/>
      <c r="R2305" s="176"/>
      <c r="S2305" s="176"/>
      <c r="T2305" s="176"/>
      <c r="U2305" s="176"/>
      <c r="V2305" s="176"/>
      <c r="W2305" s="176"/>
      <c r="X2305" s="176"/>
      <c r="Y2305" s="176"/>
    </row>
    <row r="2306" spans="1:25">
      <c r="A2306" s="91"/>
      <c r="B2306" s="176"/>
      <c r="C2306" s="176"/>
      <c r="D2306" s="176"/>
      <c r="E2306" s="176"/>
      <c r="F2306" s="176"/>
      <c r="G2306" s="176"/>
      <c r="H2306" s="176"/>
      <c r="I2306" s="176"/>
      <c r="J2306" s="176"/>
      <c r="K2306" s="176"/>
      <c r="L2306" s="176"/>
      <c r="M2306" s="176"/>
      <c r="N2306" s="176"/>
      <c r="O2306" s="176"/>
      <c r="P2306" s="176"/>
      <c r="Q2306" s="176"/>
      <c r="R2306" s="176"/>
      <c r="S2306" s="176"/>
      <c r="T2306" s="176"/>
      <c r="U2306" s="176"/>
      <c r="V2306" s="176"/>
      <c r="W2306" s="176"/>
      <c r="X2306" s="176"/>
      <c r="Y2306" s="176"/>
    </row>
    <row r="2307" spans="1:25">
      <c r="A2307" s="91"/>
      <c r="B2307" s="176"/>
      <c r="C2307" s="176"/>
      <c r="D2307" s="176"/>
      <c r="E2307" s="176"/>
      <c r="F2307" s="176"/>
      <c r="G2307" s="176"/>
      <c r="H2307" s="176"/>
      <c r="I2307" s="176"/>
      <c r="J2307" s="176"/>
      <c r="K2307" s="176"/>
      <c r="L2307" s="176"/>
      <c r="M2307" s="176"/>
      <c r="N2307" s="176"/>
      <c r="O2307" s="176"/>
      <c r="P2307" s="176"/>
      <c r="Q2307" s="176"/>
      <c r="R2307" s="176"/>
      <c r="S2307" s="176"/>
      <c r="T2307" s="176"/>
      <c r="U2307" s="176"/>
      <c r="V2307" s="176"/>
      <c r="W2307" s="176"/>
      <c r="X2307" s="176"/>
      <c r="Y2307" s="176"/>
    </row>
    <row r="2308" spans="1:25">
      <c r="A2308" s="91"/>
      <c r="B2308" s="176"/>
      <c r="C2308" s="176"/>
      <c r="D2308" s="176"/>
      <c r="E2308" s="176"/>
      <c r="F2308" s="176"/>
      <c r="G2308" s="176"/>
      <c r="H2308" s="176"/>
      <c r="I2308" s="176"/>
      <c r="J2308" s="176"/>
      <c r="K2308" s="176"/>
      <c r="L2308" s="176"/>
      <c r="M2308" s="176"/>
      <c r="N2308" s="176"/>
      <c r="O2308" s="176"/>
      <c r="P2308" s="176"/>
      <c r="Q2308" s="176"/>
      <c r="R2308" s="176"/>
      <c r="S2308" s="176"/>
      <c r="T2308" s="176"/>
      <c r="U2308" s="176"/>
      <c r="V2308" s="176"/>
      <c r="W2308" s="176"/>
      <c r="X2308" s="176"/>
      <c r="Y2308" s="176"/>
    </row>
    <row r="2309" spans="1:25">
      <c r="A2309" s="91"/>
      <c r="B2309" s="176"/>
      <c r="C2309" s="176"/>
      <c r="D2309" s="176"/>
      <c r="E2309" s="176"/>
      <c r="F2309" s="176"/>
      <c r="G2309" s="176"/>
      <c r="H2309" s="176"/>
      <c r="I2309" s="176"/>
      <c r="J2309" s="176"/>
      <c r="K2309" s="176"/>
      <c r="L2309" s="176"/>
      <c r="M2309" s="176"/>
      <c r="N2309" s="176"/>
      <c r="O2309" s="176"/>
      <c r="P2309" s="176"/>
      <c r="Q2309" s="176"/>
      <c r="R2309" s="176"/>
      <c r="S2309" s="176"/>
      <c r="T2309" s="176"/>
      <c r="U2309" s="176"/>
      <c r="V2309" s="176"/>
      <c r="W2309" s="176"/>
      <c r="X2309" s="176"/>
      <c r="Y2309" s="176"/>
    </row>
    <row r="2310" spans="1:25">
      <c r="A2310" s="91"/>
      <c r="B2310" s="176"/>
      <c r="C2310" s="176"/>
      <c r="D2310" s="176"/>
      <c r="E2310" s="176"/>
      <c r="F2310" s="176"/>
      <c r="G2310" s="176"/>
      <c r="H2310" s="176"/>
      <c r="I2310" s="176"/>
      <c r="J2310" s="176"/>
      <c r="K2310" s="176"/>
      <c r="L2310" s="176"/>
      <c r="M2310" s="176"/>
      <c r="N2310" s="176"/>
      <c r="O2310" s="176"/>
      <c r="P2310" s="176"/>
      <c r="Q2310" s="176"/>
      <c r="R2310" s="176"/>
      <c r="S2310" s="176"/>
      <c r="T2310" s="176"/>
      <c r="U2310" s="176"/>
      <c r="V2310" s="176"/>
      <c r="W2310" s="176"/>
      <c r="X2310" s="176"/>
      <c r="Y2310" s="176"/>
    </row>
    <row r="2311" spans="1:25">
      <c r="A2311" s="91"/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76"/>
      <c r="O2311" s="176"/>
      <c r="P2311" s="176"/>
      <c r="Q2311" s="176"/>
      <c r="R2311" s="176"/>
      <c r="S2311" s="176"/>
      <c r="T2311" s="176"/>
      <c r="U2311" s="176"/>
      <c r="V2311" s="176"/>
      <c r="W2311" s="176"/>
      <c r="X2311" s="176"/>
      <c r="Y2311" s="176"/>
    </row>
    <row r="2312" spans="1:25">
      <c r="A2312" s="91"/>
      <c r="B2312" s="176"/>
      <c r="C2312" s="176"/>
      <c r="D2312" s="176"/>
      <c r="E2312" s="176"/>
      <c r="F2312" s="176"/>
      <c r="G2312" s="176"/>
      <c r="H2312" s="176"/>
      <c r="I2312" s="176"/>
      <c r="J2312" s="176"/>
      <c r="K2312" s="176"/>
      <c r="L2312" s="176"/>
      <c r="M2312" s="176"/>
      <c r="N2312" s="176"/>
      <c r="O2312" s="176"/>
      <c r="P2312" s="176"/>
      <c r="Q2312" s="176"/>
      <c r="R2312" s="176"/>
      <c r="S2312" s="176"/>
      <c r="T2312" s="176"/>
      <c r="U2312" s="176"/>
      <c r="V2312" s="176"/>
      <c r="W2312" s="176"/>
      <c r="X2312" s="176"/>
      <c r="Y2312" s="176"/>
    </row>
    <row r="2313" spans="1:25">
      <c r="A2313" s="91"/>
      <c r="B2313" s="176"/>
      <c r="C2313" s="176"/>
      <c r="D2313" s="176"/>
      <c r="E2313" s="176"/>
      <c r="F2313" s="176"/>
      <c r="G2313" s="176"/>
      <c r="H2313" s="176"/>
      <c r="I2313" s="176"/>
      <c r="J2313" s="176"/>
      <c r="K2313" s="176"/>
      <c r="L2313" s="176"/>
      <c r="M2313" s="176"/>
      <c r="N2313" s="176"/>
      <c r="O2313" s="176"/>
      <c r="P2313" s="176"/>
      <c r="Q2313" s="176"/>
      <c r="R2313" s="176"/>
      <c r="S2313" s="176"/>
      <c r="T2313" s="176"/>
      <c r="U2313" s="176"/>
      <c r="V2313" s="176"/>
      <c r="W2313" s="176"/>
      <c r="X2313" s="176"/>
      <c r="Y2313" s="176"/>
    </row>
    <row r="2314" spans="1:25">
      <c r="A2314" s="91"/>
      <c r="B2314" s="176"/>
      <c r="C2314" s="176"/>
      <c r="D2314" s="176"/>
      <c r="E2314" s="176"/>
      <c r="F2314" s="176"/>
      <c r="G2314" s="176"/>
      <c r="H2314" s="176"/>
      <c r="I2314" s="176"/>
      <c r="J2314" s="176"/>
      <c r="K2314" s="176"/>
      <c r="L2314" s="176"/>
      <c r="M2314" s="176"/>
      <c r="N2314" s="176"/>
      <c r="O2314" s="176"/>
      <c r="P2314" s="176"/>
      <c r="Q2314" s="176"/>
      <c r="R2314" s="176"/>
      <c r="S2314" s="176"/>
      <c r="T2314" s="176"/>
      <c r="U2314" s="176"/>
      <c r="V2314" s="176"/>
      <c r="W2314" s="176"/>
      <c r="X2314" s="176"/>
      <c r="Y2314" s="176"/>
    </row>
    <row r="2315" spans="1:25">
      <c r="A2315" s="91"/>
      <c r="B2315" s="176"/>
      <c r="C2315" s="176"/>
      <c r="D2315" s="176"/>
      <c r="E2315" s="176"/>
      <c r="F2315" s="176"/>
      <c r="G2315" s="176"/>
      <c r="H2315" s="176"/>
      <c r="I2315" s="176"/>
      <c r="J2315" s="176"/>
      <c r="K2315" s="176"/>
      <c r="L2315" s="176"/>
      <c r="M2315" s="176"/>
      <c r="N2315" s="176"/>
      <c r="O2315" s="176"/>
      <c r="P2315" s="176"/>
      <c r="Q2315" s="176"/>
      <c r="R2315" s="176"/>
      <c r="S2315" s="176"/>
      <c r="T2315" s="176"/>
      <c r="U2315" s="176"/>
      <c r="V2315" s="176"/>
      <c r="W2315" s="176"/>
      <c r="X2315" s="176"/>
      <c r="Y2315" s="176"/>
    </row>
    <row r="2316" spans="1:25">
      <c r="A2316" s="91"/>
      <c r="B2316" s="176"/>
      <c r="C2316" s="176"/>
      <c r="D2316" s="176"/>
      <c r="E2316" s="176"/>
      <c r="F2316" s="176"/>
      <c r="G2316" s="176"/>
      <c r="H2316" s="176"/>
      <c r="I2316" s="176"/>
      <c r="J2316" s="176"/>
      <c r="K2316" s="176"/>
      <c r="L2316" s="176"/>
      <c r="M2316" s="176"/>
      <c r="N2316" s="176"/>
      <c r="O2316" s="176"/>
      <c r="P2316" s="176"/>
      <c r="Q2316" s="176"/>
      <c r="R2316" s="176"/>
      <c r="S2316" s="176"/>
      <c r="T2316" s="176"/>
      <c r="U2316" s="176"/>
      <c r="V2316" s="176"/>
      <c r="W2316" s="176"/>
      <c r="X2316" s="176"/>
      <c r="Y2316" s="176"/>
    </row>
    <row r="2317" spans="1:25">
      <c r="A2317" s="91"/>
      <c r="B2317" s="176"/>
      <c r="C2317" s="176"/>
      <c r="D2317" s="176"/>
      <c r="E2317" s="176"/>
      <c r="F2317" s="176"/>
      <c r="G2317" s="176"/>
      <c r="H2317" s="176"/>
      <c r="I2317" s="176"/>
      <c r="J2317" s="176"/>
      <c r="K2317" s="176"/>
      <c r="L2317" s="176"/>
      <c r="M2317" s="176"/>
      <c r="N2317" s="176"/>
      <c r="O2317" s="176"/>
      <c r="P2317" s="176"/>
      <c r="Q2317" s="176"/>
      <c r="R2317" s="176"/>
      <c r="S2317" s="176"/>
      <c r="T2317" s="176"/>
      <c r="U2317" s="176"/>
      <c r="V2317" s="176"/>
      <c r="W2317" s="176"/>
      <c r="X2317" s="176"/>
      <c r="Y2317" s="176"/>
    </row>
    <row r="2318" spans="1:25">
      <c r="A2318" s="91"/>
      <c r="B2318" s="176"/>
      <c r="C2318" s="176"/>
      <c r="D2318" s="176"/>
      <c r="E2318" s="176"/>
      <c r="F2318" s="176"/>
      <c r="G2318" s="176"/>
      <c r="H2318" s="176"/>
      <c r="I2318" s="176"/>
      <c r="J2318" s="176"/>
      <c r="K2318" s="176"/>
      <c r="L2318" s="176"/>
      <c r="M2318" s="176"/>
      <c r="N2318" s="176"/>
      <c r="O2318" s="176"/>
      <c r="P2318" s="176"/>
      <c r="Q2318" s="176"/>
      <c r="R2318" s="176"/>
      <c r="S2318" s="176"/>
      <c r="T2318" s="176"/>
      <c r="U2318" s="176"/>
      <c r="V2318" s="176"/>
      <c r="W2318" s="176"/>
      <c r="X2318" s="176"/>
      <c r="Y2318" s="176"/>
    </row>
    <row r="2319" spans="1:25">
      <c r="A2319" s="91"/>
      <c r="B2319" s="176"/>
      <c r="C2319" s="176"/>
      <c r="D2319" s="176"/>
      <c r="E2319" s="176"/>
      <c r="F2319" s="176"/>
      <c r="G2319" s="176"/>
      <c r="H2319" s="176"/>
      <c r="I2319" s="176"/>
      <c r="J2319" s="176"/>
      <c r="K2319" s="176"/>
      <c r="L2319" s="176"/>
      <c r="M2319" s="176"/>
      <c r="N2319" s="176"/>
      <c r="O2319" s="176"/>
      <c r="P2319" s="176"/>
      <c r="Q2319" s="176"/>
      <c r="R2319" s="176"/>
      <c r="S2319" s="176"/>
      <c r="T2319" s="176"/>
      <c r="U2319" s="176"/>
      <c r="V2319" s="176"/>
      <c r="W2319" s="176"/>
      <c r="X2319" s="176"/>
      <c r="Y2319" s="176"/>
    </row>
    <row r="2320" spans="1:25">
      <c r="A2320" s="91"/>
      <c r="B2320" s="176"/>
      <c r="C2320" s="176"/>
      <c r="D2320" s="176"/>
      <c r="E2320" s="176"/>
      <c r="F2320" s="176"/>
      <c r="G2320" s="176"/>
      <c r="H2320" s="176"/>
      <c r="I2320" s="176"/>
      <c r="J2320" s="176"/>
      <c r="K2320" s="176"/>
      <c r="L2320" s="176"/>
      <c r="M2320" s="176"/>
      <c r="N2320" s="176"/>
      <c r="O2320" s="176"/>
      <c r="P2320" s="176"/>
      <c r="Q2320" s="176"/>
      <c r="R2320" s="176"/>
      <c r="S2320" s="176"/>
      <c r="T2320" s="176"/>
      <c r="U2320" s="176"/>
      <c r="V2320" s="176"/>
      <c r="W2320" s="176"/>
      <c r="X2320" s="176"/>
      <c r="Y2320" s="176"/>
    </row>
    <row r="2321" spans="1:25">
      <c r="A2321" s="91"/>
      <c r="B2321" s="176"/>
      <c r="C2321" s="176"/>
      <c r="D2321" s="176"/>
      <c r="E2321" s="176"/>
      <c r="F2321" s="176"/>
      <c r="G2321" s="176"/>
      <c r="H2321" s="176"/>
      <c r="I2321" s="176"/>
      <c r="J2321" s="176"/>
      <c r="K2321" s="176"/>
      <c r="L2321" s="176"/>
      <c r="M2321" s="176"/>
      <c r="N2321" s="176"/>
      <c r="O2321" s="176"/>
      <c r="P2321" s="176"/>
      <c r="Q2321" s="176"/>
      <c r="R2321" s="176"/>
      <c r="S2321" s="176"/>
      <c r="T2321" s="176"/>
      <c r="U2321" s="176"/>
      <c r="V2321" s="176"/>
      <c r="W2321" s="176"/>
      <c r="X2321" s="176"/>
      <c r="Y2321" s="176"/>
    </row>
    <row r="2322" spans="1:25">
      <c r="A2322" s="91"/>
      <c r="B2322" s="176"/>
      <c r="C2322" s="176"/>
      <c r="D2322" s="176"/>
      <c r="E2322" s="176"/>
      <c r="F2322" s="176"/>
      <c r="G2322" s="176"/>
      <c r="H2322" s="176"/>
      <c r="I2322" s="176"/>
      <c r="J2322" s="176"/>
      <c r="K2322" s="176"/>
      <c r="L2322" s="176"/>
      <c r="M2322" s="176"/>
      <c r="N2322" s="176"/>
      <c r="O2322" s="176"/>
      <c r="P2322" s="176"/>
      <c r="Q2322" s="176"/>
      <c r="R2322" s="176"/>
      <c r="S2322" s="176"/>
      <c r="T2322" s="176"/>
      <c r="U2322" s="176"/>
      <c r="V2322" s="176"/>
      <c r="W2322" s="176"/>
      <c r="X2322" s="176"/>
      <c r="Y2322" s="176"/>
    </row>
    <row r="2323" spans="1:25">
      <c r="A2323" s="91"/>
      <c r="B2323" s="176"/>
      <c r="C2323" s="176"/>
      <c r="D2323" s="176"/>
      <c r="E2323" s="176"/>
      <c r="F2323" s="176"/>
      <c r="G2323" s="176"/>
      <c r="H2323" s="176"/>
      <c r="I2323" s="176"/>
      <c r="J2323" s="176"/>
      <c r="K2323" s="176"/>
      <c r="L2323" s="176"/>
      <c r="M2323" s="176"/>
      <c r="N2323" s="176"/>
      <c r="O2323" s="176"/>
      <c r="P2323" s="176"/>
      <c r="Q2323" s="176"/>
      <c r="R2323" s="176"/>
      <c r="S2323" s="176"/>
      <c r="T2323" s="176"/>
      <c r="U2323" s="176"/>
      <c r="V2323" s="176"/>
      <c r="W2323" s="176"/>
      <c r="X2323" s="176"/>
      <c r="Y2323" s="176"/>
    </row>
    <row r="2324" spans="1:25">
      <c r="A2324" s="91"/>
      <c r="B2324" s="176"/>
      <c r="C2324" s="176"/>
      <c r="D2324" s="176"/>
      <c r="E2324" s="176"/>
      <c r="F2324" s="176"/>
      <c r="G2324" s="176"/>
      <c r="H2324" s="176"/>
      <c r="I2324" s="176"/>
      <c r="J2324" s="176"/>
      <c r="K2324" s="176"/>
      <c r="L2324" s="176"/>
      <c r="M2324" s="176"/>
      <c r="N2324" s="176"/>
      <c r="O2324" s="176"/>
      <c r="P2324" s="176"/>
      <c r="Q2324" s="176"/>
      <c r="R2324" s="176"/>
      <c r="S2324" s="176"/>
      <c r="T2324" s="176"/>
      <c r="U2324" s="176"/>
      <c r="V2324" s="176"/>
      <c r="W2324" s="176"/>
      <c r="X2324" s="176"/>
      <c r="Y2324" s="176"/>
    </row>
    <row r="2325" spans="1:25">
      <c r="A2325" s="91"/>
      <c r="B2325" s="176"/>
      <c r="C2325" s="176"/>
      <c r="D2325" s="176"/>
      <c r="E2325" s="176"/>
      <c r="F2325" s="176"/>
      <c r="G2325" s="176"/>
      <c r="H2325" s="176"/>
      <c r="I2325" s="176"/>
      <c r="J2325" s="176"/>
      <c r="K2325" s="176"/>
      <c r="L2325" s="176"/>
      <c r="M2325" s="176"/>
      <c r="N2325" s="176"/>
      <c r="O2325" s="176"/>
      <c r="P2325" s="176"/>
      <c r="Q2325" s="176"/>
      <c r="R2325" s="176"/>
      <c r="S2325" s="176"/>
      <c r="T2325" s="176"/>
      <c r="U2325" s="176"/>
      <c r="V2325" s="176"/>
      <c r="W2325" s="176"/>
      <c r="X2325" s="176"/>
      <c r="Y2325" s="176"/>
    </row>
    <row r="2326" spans="1:25">
      <c r="A2326" s="91"/>
      <c r="B2326" s="176"/>
      <c r="C2326" s="176"/>
      <c r="D2326" s="176"/>
      <c r="E2326" s="176"/>
      <c r="F2326" s="176"/>
      <c r="G2326" s="176"/>
      <c r="H2326" s="176"/>
      <c r="I2326" s="176"/>
      <c r="J2326" s="176"/>
      <c r="K2326" s="176"/>
      <c r="L2326" s="176"/>
      <c r="M2326" s="176"/>
      <c r="N2326" s="176"/>
      <c r="O2326" s="176"/>
      <c r="P2326" s="176"/>
      <c r="Q2326" s="176"/>
      <c r="R2326" s="176"/>
      <c r="S2326" s="176"/>
      <c r="T2326" s="176"/>
      <c r="U2326" s="176"/>
      <c r="V2326" s="176"/>
      <c r="W2326" s="176"/>
      <c r="X2326" s="176"/>
      <c r="Y2326" s="176"/>
    </row>
    <row r="2327" spans="1:25">
      <c r="A2327" s="91"/>
      <c r="B2327" s="176"/>
      <c r="C2327" s="176"/>
      <c r="D2327" s="176"/>
      <c r="E2327" s="176"/>
      <c r="F2327" s="176"/>
      <c r="G2327" s="176"/>
      <c r="H2327" s="176"/>
      <c r="I2327" s="176"/>
      <c r="J2327" s="176"/>
      <c r="K2327" s="176"/>
      <c r="L2327" s="176"/>
      <c r="M2327" s="176"/>
      <c r="N2327" s="176"/>
      <c r="O2327" s="176"/>
      <c r="P2327" s="176"/>
      <c r="Q2327" s="176"/>
      <c r="R2327" s="176"/>
      <c r="S2327" s="176"/>
      <c r="T2327" s="176"/>
      <c r="U2327" s="176"/>
      <c r="V2327" s="176"/>
      <c r="W2327" s="176"/>
      <c r="X2327" s="176"/>
      <c r="Y2327" s="176"/>
    </row>
    <row r="2328" spans="1:25">
      <c r="A2328" s="91"/>
      <c r="B2328" s="176"/>
      <c r="C2328" s="176"/>
      <c r="D2328" s="176"/>
      <c r="E2328" s="176"/>
      <c r="F2328" s="176"/>
      <c r="G2328" s="176"/>
      <c r="H2328" s="176"/>
      <c r="I2328" s="176"/>
      <c r="J2328" s="176"/>
      <c r="K2328" s="176"/>
      <c r="L2328" s="176"/>
      <c r="M2328" s="176"/>
      <c r="N2328" s="176"/>
      <c r="O2328" s="176"/>
      <c r="P2328" s="176"/>
      <c r="Q2328" s="176"/>
      <c r="R2328" s="176"/>
      <c r="S2328" s="176"/>
      <c r="T2328" s="176"/>
      <c r="U2328" s="176"/>
      <c r="V2328" s="176"/>
      <c r="W2328" s="176"/>
      <c r="X2328" s="176"/>
      <c r="Y2328" s="176"/>
    </row>
    <row r="2329" spans="1:25">
      <c r="A2329" s="91"/>
      <c r="B2329" s="176"/>
      <c r="C2329" s="176"/>
      <c r="D2329" s="176"/>
      <c r="E2329" s="176"/>
      <c r="F2329" s="176"/>
      <c r="G2329" s="176"/>
      <c r="H2329" s="176"/>
      <c r="I2329" s="176"/>
      <c r="J2329" s="176"/>
      <c r="K2329" s="176"/>
      <c r="L2329" s="176"/>
      <c r="M2329" s="176"/>
      <c r="N2329" s="176"/>
      <c r="O2329" s="176"/>
      <c r="P2329" s="176"/>
      <c r="Q2329" s="176"/>
      <c r="R2329" s="176"/>
      <c r="S2329" s="176"/>
      <c r="T2329" s="176"/>
      <c r="U2329" s="176"/>
      <c r="V2329" s="176"/>
      <c r="W2329" s="176"/>
      <c r="X2329" s="176"/>
      <c r="Y2329" s="176"/>
    </row>
    <row r="2330" spans="1:25">
      <c r="A2330" s="91"/>
      <c r="B2330" s="176"/>
      <c r="C2330" s="176"/>
      <c r="D2330" s="176"/>
      <c r="E2330" s="176"/>
      <c r="F2330" s="176"/>
      <c r="G2330" s="176"/>
      <c r="H2330" s="176"/>
      <c r="I2330" s="176"/>
      <c r="J2330" s="176"/>
      <c r="K2330" s="176"/>
      <c r="L2330" s="176"/>
      <c r="M2330" s="176"/>
      <c r="N2330" s="176"/>
      <c r="O2330" s="176"/>
      <c r="P2330" s="176"/>
      <c r="Q2330" s="176"/>
      <c r="R2330" s="176"/>
      <c r="S2330" s="176"/>
      <c r="T2330" s="176"/>
      <c r="U2330" s="176"/>
      <c r="V2330" s="176"/>
      <c r="W2330" s="176"/>
      <c r="X2330" s="176"/>
      <c r="Y2330" s="176"/>
    </row>
    <row r="2331" spans="1:25">
      <c r="A2331" s="91"/>
      <c r="B2331" s="176"/>
      <c r="C2331" s="176"/>
      <c r="D2331" s="176"/>
      <c r="E2331" s="176"/>
      <c r="F2331" s="176"/>
      <c r="G2331" s="176"/>
      <c r="H2331" s="176"/>
      <c r="I2331" s="176"/>
      <c r="J2331" s="176"/>
      <c r="K2331" s="176"/>
      <c r="L2331" s="176"/>
      <c r="M2331" s="176"/>
      <c r="N2331" s="176"/>
      <c r="O2331" s="176"/>
      <c r="P2331" s="176"/>
      <c r="Q2331" s="176"/>
      <c r="R2331" s="176"/>
      <c r="S2331" s="176"/>
      <c r="T2331" s="176"/>
      <c r="U2331" s="176"/>
      <c r="V2331" s="176"/>
      <c r="W2331" s="176"/>
      <c r="X2331" s="176"/>
      <c r="Y2331" s="176"/>
    </row>
    <row r="2332" spans="1:25">
      <c r="A2332" s="91"/>
      <c r="B2332" s="176"/>
      <c r="C2332" s="176"/>
      <c r="D2332" s="176"/>
      <c r="E2332" s="176"/>
      <c r="F2332" s="176"/>
      <c r="G2332" s="176"/>
      <c r="H2332" s="176"/>
      <c r="I2332" s="176"/>
      <c r="J2332" s="176"/>
      <c r="K2332" s="176"/>
      <c r="L2332" s="176"/>
      <c r="M2332" s="176"/>
      <c r="N2332" s="176"/>
      <c r="O2332" s="176"/>
      <c r="P2332" s="176"/>
      <c r="Q2332" s="176"/>
      <c r="R2332" s="176"/>
      <c r="S2332" s="176"/>
      <c r="T2332" s="176"/>
      <c r="U2332" s="176"/>
      <c r="V2332" s="176"/>
      <c r="W2332" s="176"/>
      <c r="X2332" s="176"/>
      <c r="Y2332" s="176"/>
    </row>
    <row r="2333" spans="1:25">
      <c r="A2333" s="91"/>
      <c r="B2333" s="176"/>
      <c r="C2333" s="176"/>
      <c r="D2333" s="176"/>
      <c r="E2333" s="176"/>
      <c r="F2333" s="176"/>
      <c r="G2333" s="176"/>
      <c r="H2333" s="176"/>
      <c r="I2333" s="176"/>
      <c r="J2333" s="176"/>
      <c r="K2333" s="176"/>
      <c r="L2333" s="176"/>
      <c r="M2333" s="176"/>
      <c r="N2333" s="176"/>
      <c r="O2333" s="176"/>
      <c r="P2333" s="176"/>
      <c r="Q2333" s="176"/>
      <c r="R2333" s="176"/>
      <c r="S2333" s="176"/>
      <c r="T2333" s="176"/>
      <c r="U2333" s="176"/>
      <c r="V2333" s="176"/>
      <c r="W2333" s="176"/>
      <c r="X2333" s="176"/>
      <c r="Y2333" s="176"/>
    </row>
    <row r="2334" spans="1:25">
      <c r="A2334" s="91"/>
      <c r="B2334" s="176"/>
      <c r="C2334" s="176"/>
      <c r="D2334" s="176"/>
      <c r="E2334" s="176"/>
      <c r="F2334" s="176"/>
      <c r="G2334" s="176"/>
      <c r="H2334" s="176"/>
      <c r="I2334" s="176"/>
      <c r="J2334" s="176"/>
      <c r="K2334" s="176"/>
      <c r="L2334" s="176"/>
      <c r="M2334" s="176"/>
      <c r="N2334" s="176"/>
      <c r="O2334" s="176"/>
      <c r="P2334" s="176"/>
      <c r="Q2334" s="176"/>
      <c r="R2334" s="176"/>
      <c r="S2334" s="176"/>
      <c r="T2334" s="176"/>
      <c r="U2334" s="176"/>
      <c r="V2334" s="176"/>
      <c r="W2334" s="176"/>
      <c r="X2334" s="176"/>
      <c r="Y2334" s="176"/>
    </row>
    <row r="2335" spans="1:25">
      <c r="A2335" s="91"/>
      <c r="B2335" s="176"/>
      <c r="C2335" s="176"/>
      <c r="D2335" s="176"/>
      <c r="E2335" s="176"/>
      <c r="F2335" s="176"/>
      <c r="G2335" s="176"/>
      <c r="H2335" s="176"/>
      <c r="I2335" s="176"/>
      <c r="J2335" s="176"/>
      <c r="K2335" s="176"/>
      <c r="L2335" s="176"/>
      <c r="M2335" s="176"/>
      <c r="N2335" s="176"/>
      <c r="O2335" s="176"/>
      <c r="P2335" s="176"/>
      <c r="Q2335" s="176"/>
      <c r="R2335" s="176"/>
      <c r="S2335" s="176"/>
      <c r="T2335" s="176"/>
      <c r="U2335" s="176"/>
      <c r="V2335" s="176"/>
      <c r="W2335" s="176"/>
      <c r="X2335" s="176"/>
      <c r="Y2335" s="176"/>
    </row>
    <row r="2336" spans="1:25">
      <c r="A2336" s="91"/>
      <c r="B2336" s="176"/>
      <c r="C2336" s="176"/>
      <c r="D2336" s="176"/>
      <c r="E2336" s="176"/>
      <c r="F2336" s="176"/>
      <c r="G2336" s="176"/>
      <c r="H2336" s="176"/>
      <c r="I2336" s="176"/>
      <c r="J2336" s="176"/>
      <c r="K2336" s="176"/>
      <c r="L2336" s="176"/>
      <c r="M2336" s="176"/>
      <c r="N2336" s="176"/>
      <c r="O2336" s="176"/>
      <c r="P2336" s="176"/>
      <c r="Q2336" s="176"/>
      <c r="R2336" s="176"/>
      <c r="S2336" s="176"/>
      <c r="T2336" s="176"/>
      <c r="U2336" s="176"/>
      <c r="V2336" s="176"/>
      <c r="W2336" s="176"/>
      <c r="X2336" s="176"/>
      <c r="Y2336" s="176"/>
    </row>
    <row r="2337" spans="1:25">
      <c r="A2337" s="91"/>
      <c r="B2337" s="176"/>
      <c r="C2337" s="176"/>
      <c r="D2337" s="176"/>
      <c r="E2337" s="176"/>
      <c r="F2337" s="176"/>
      <c r="G2337" s="176"/>
      <c r="H2337" s="176"/>
      <c r="I2337" s="176"/>
      <c r="J2337" s="176"/>
      <c r="K2337" s="176"/>
      <c r="L2337" s="176"/>
      <c r="M2337" s="176"/>
      <c r="N2337" s="176"/>
      <c r="O2337" s="176"/>
      <c r="P2337" s="176"/>
      <c r="Q2337" s="176"/>
      <c r="R2337" s="176"/>
      <c r="S2337" s="176"/>
      <c r="T2337" s="176"/>
      <c r="U2337" s="176"/>
      <c r="V2337" s="176"/>
      <c r="W2337" s="176"/>
      <c r="X2337" s="176"/>
      <c r="Y2337" s="176"/>
    </row>
    <row r="2338" spans="1:25">
      <c r="A2338" s="91"/>
      <c r="B2338" s="176"/>
      <c r="C2338" s="176"/>
      <c r="D2338" s="176"/>
      <c r="E2338" s="176"/>
      <c r="F2338" s="176"/>
      <c r="G2338" s="176"/>
      <c r="H2338" s="176"/>
      <c r="I2338" s="176"/>
      <c r="J2338" s="176"/>
      <c r="K2338" s="176"/>
      <c r="L2338" s="176"/>
      <c r="M2338" s="176"/>
      <c r="N2338" s="176"/>
      <c r="O2338" s="176"/>
      <c r="P2338" s="176"/>
      <c r="Q2338" s="176"/>
      <c r="R2338" s="176"/>
      <c r="S2338" s="176"/>
      <c r="T2338" s="176"/>
      <c r="U2338" s="176"/>
      <c r="V2338" s="176"/>
      <c r="W2338" s="176"/>
      <c r="X2338" s="176"/>
      <c r="Y2338" s="176"/>
    </row>
    <row r="2339" spans="1:25">
      <c r="A2339" s="91"/>
      <c r="B2339" s="176"/>
      <c r="C2339" s="176"/>
      <c r="D2339" s="176"/>
      <c r="E2339" s="176"/>
      <c r="F2339" s="176"/>
      <c r="G2339" s="176"/>
      <c r="H2339" s="176"/>
      <c r="I2339" s="176"/>
      <c r="J2339" s="176"/>
      <c r="K2339" s="176"/>
      <c r="L2339" s="176"/>
      <c r="M2339" s="176"/>
      <c r="N2339" s="176"/>
      <c r="O2339" s="176"/>
      <c r="P2339" s="176"/>
      <c r="Q2339" s="176"/>
      <c r="R2339" s="176"/>
      <c r="S2339" s="176"/>
      <c r="T2339" s="176"/>
      <c r="U2339" s="176"/>
      <c r="V2339" s="176"/>
      <c r="W2339" s="176"/>
      <c r="X2339" s="176"/>
      <c r="Y2339" s="176"/>
    </row>
    <row r="2340" spans="1:25">
      <c r="A2340" s="91"/>
      <c r="B2340" s="176"/>
      <c r="C2340" s="176"/>
      <c r="D2340" s="176"/>
      <c r="E2340" s="176"/>
      <c r="F2340" s="176"/>
      <c r="G2340" s="176"/>
      <c r="H2340" s="176"/>
      <c r="I2340" s="176"/>
      <c r="J2340" s="176"/>
      <c r="K2340" s="176"/>
      <c r="L2340" s="176"/>
      <c r="M2340" s="176"/>
      <c r="N2340" s="176"/>
      <c r="O2340" s="176"/>
      <c r="P2340" s="176"/>
      <c r="Q2340" s="176"/>
      <c r="R2340" s="176"/>
      <c r="S2340" s="176"/>
      <c r="T2340" s="176"/>
      <c r="U2340" s="176"/>
      <c r="V2340" s="176"/>
      <c r="W2340" s="176"/>
      <c r="X2340" s="176"/>
      <c r="Y2340" s="176"/>
    </row>
    <row r="2341" spans="1:25">
      <c r="A2341" s="91"/>
      <c r="B2341" s="176"/>
      <c r="C2341" s="176"/>
      <c r="D2341" s="176"/>
      <c r="E2341" s="176"/>
      <c r="F2341" s="176"/>
      <c r="G2341" s="176"/>
      <c r="H2341" s="176"/>
      <c r="I2341" s="176"/>
      <c r="J2341" s="176"/>
      <c r="K2341" s="176"/>
      <c r="L2341" s="176"/>
      <c r="M2341" s="176"/>
      <c r="N2341" s="176"/>
      <c r="O2341" s="176"/>
      <c r="P2341" s="176"/>
      <c r="Q2341" s="176"/>
      <c r="R2341" s="176"/>
      <c r="S2341" s="176"/>
      <c r="T2341" s="176"/>
      <c r="U2341" s="176"/>
      <c r="V2341" s="176"/>
      <c r="W2341" s="176"/>
      <c r="X2341" s="176"/>
      <c r="Y2341" s="176"/>
    </row>
    <row r="2342" spans="1:25">
      <c r="A2342" s="91"/>
      <c r="B2342" s="176"/>
      <c r="C2342" s="176"/>
      <c r="D2342" s="176"/>
      <c r="E2342" s="176"/>
      <c r="F2342" s="176"/>
      <c r="G2342" s="176"/>
      <c r="H2342" s="176"/>
      <c r="I2342" s="176"/>
      <c r="J2342" s="176"/>
      <c r="K2342" s="176"/>
      <c r="L2342" s="176"/>
      <c r="M2342" s="176"/>
      <c r="N2342" s="176"/>
      <c r="O2342" s="176"/>
      <c r="P2342" s="176"/>
      <c r="Q2342" s="176"/>
      <c r="R2342" s="176"/>
      <c r="S2342" s="176"/>
      <c r="T2342" s="176"/>
      <c r="U2342" s="176"/>
      <c r="V2342" s="176"/>
      <c r="W2342" s="176"/>
      <c r="X2342" s="176"/>
      <c r="Y2342" s="176"/>
    </row>
    <row r="2343" spans="1:25">
      <c r="A2343" s="91"/>
      <c r="B2343" s="176"/>
      <c r="C2343" s="176"/>
      <c r="D2343" s="176"/>
      <c r="E2343" s="176"/>
      <c r="F2343" s="176"/>
      <c r="G2343" s="176"/>
      <c r="H2343" s="176"/>
      <c r="I2343" s="176"/>
      <c r="J2343" s="176"/>
      <c r="K2343" s="176"/>
      <c r="L2343" s="176"/>
      <c r="M2343" s="176"/>
      <c r="N2343" s="176"/>
      <c r="O2343" s="176"/>
      <c r="P2343" s="176"/>
      <c r="Q2343" s="176"/>
      <c r="R2343" s="176"/>
      <c r="S2343" s="176"/>
      <c r="T2343" s="176"/>
      <c r="U2343" s="176"/>
      <c r="V2343" s="176"/>
      <c r="W2343" s="176"/>
      <c r="X2343" s="176"/>
      <c r="Y2343" s="176"/>
    </row>
    <row r="2344" spans="1:25">
      <c r="A2344" s="91"/>
      <c r="B2344" s="176"/>
      <c r="C2344" s="176"/>
      <c r="D2344" s="176"/>
      <c r="E2344" s="176"/>
      <c r="F2344" s="176"/>
      <c r="G2344" s="176"/>
      <c r="H2344" s="176"/>
      <c r="I2344" s="176"/>
      <c r="J2344" s="176"/>
      <c r="K2344" s="176"/>
      <c r="L2344" s="176"/>
      <c r="M2344" s="176"/>
      <c r="N2344" s="176"/>
      <c r="O2344" s="176"/>
      <c r="P2344" s="176"/>
      <c r="Q2344" s="176"/>
      <c r="R2344" s="176"/>
      <c r="S2344" s="176"/>
      <c r="T2344" s="176"/>
      <c r="U2344" s="176"/>
      <c r="V2344" s="176"/>
      <c r="W2344" s="176"/>
      <c r="X2344" s="176"/>
      <c r="Y2344" s="176"/>
    </row>
    <row r="2345" spans="1:25">
      <c r="A2345" s="91"/>
      <c r="B2345" s="176"/>
      <c r="C2345" s="176"/>
      <c r="D2345" s="176"/>
      <c r="E2345" s="176"/>
      <c r="F2345" s="176"/>
      <c r="G2345" s="176"/>
      <c r="H2345" s="176"/>
      <c r="I2345" s="176"/>
      <c r="J2345" s="176"/>
      <c r="K2345" s="176"/>
      <c r="L2345" s="176"/>
      <c r="M2345" s="176"/>
      <c r="N2345" s="176"/>
      <c r="O2345" s="176"/>
      <c r="P2345" s="176"/>
      <c r="Q2345" s="176"/>
      <c r="R2345" s="176"/>
      <c r="S2345" s="176"/>
      <c r="T2345" s="176"/>
      <c r="U2345" s="176"/>
      <c r="V2345" s="176"/>
      <c r="W2345" s="176"/>
      <c r="X2345" s="176"/>
      <c r="Y2345" s="176"/>
    </row>
    <row r="2346" spans="1:25">
      <c r="A2346" s="91"/>
      <c r="B2346" s="176"/>
      <c r="C2346" s="176"/>
      <c r="D2346" s="176"/>
      <c r="E2346" s="176"/>
      <c r="F2346" s="176"/>
      <c r="G2346" s="176"/>
      <c r="H2346" s="176"/>
      <c r="I2346" s="176"/>
      <c r="J2346" s="176"/>
      <c r="K2346" s="176"/>
      <c r="L2346" s="176"/>
      <c r="M2346" s="176"/>
      <c r="N2346" s="176"/>
      <c r="O2346" s="176"/>
      <c r="P2346" s="176"/>
      <c r="Q2346" s="176"/>
      <c r="R2346" s="176"/>
      <c r="S2346" s="176"/>
      <c r="T2346" s="176"/>
      <c r="U2346" s="176"/>
      <c r="V2346" s="176"/>
      <c r="W2346" s="176"/>
      <c r="X2346" s="176"/>
      <c r="Y2346" s="176"/>
    </row>
    <row r="2347" spans="1:25">
      <c r="A2347" s="91"/>
      <c r="B2347" s="176"/>
      <c r="C2347" s="176"/>
      <c r="D2347" s="176"/>
      <c r="E2347" s="176"/>
      <c r="F2347" s="176"/>
      <c r="G2347" s="176"/>
      <c r="H2347" s="176"/>
      <c r="I2347" s="176"/>
      <c r="J2347" s="176"/>
      <c r="K2347" s="176"/>
      <c r="L2347" s="176"/>
      <c r="M2347" s="176"/>
      <c r="N2347" s="176"/>
      <c r="O2347" s="176"/>
      <c r="P2347" s="176"/>
      <c r="Q2347" s="176"/>
      <c r="R2347" s="176"/>
      <c r="S2347" s="176"/>
      <c r="T2347" s="176"/>
      <c r="U2347" s="176"/>
      <c r="V2347" s="176"/>
      <c r="W2347" s="176"/>
      <c r="X2347" s="176"/>
      <c r="Y2347" s="176"/>
    </row>
    <row r="2348" spans="1:25">
      <c r="A2348" s="91"/>
      <c r="B2348" s="176"/>
      <c r="C2348" s="176"/>
      <c r="D2348" s="176"/>
      <c r="E2348" s="176"/>
      <c r="F2348" s="176"/>
      <c r="G2348" s="176"/>
      <c r="H2348" s="176"/>
      <c r="I2348" s="176"/>
      <c r="J2348" s="176"/>
      <c r="K2348" s="176"/>
      <c r="L2348" s="176"/>
      <c r="M2348" s="176"/>
      <c r="N2348" s="176"/>
      <c r="O2348" s="176"/>
      <c r="P2348" s="176"/>
      <c r="Q2348" s="176"/>
      <c r="R2348" s="176"/>
      <c r="S2348" s="176"/>
      <c r="T2348" s="176"/>
      <c r="U2348" s="176"/>
      <c r="V2348" s="176"/>
      <c r="W2348" s="176"/>
      <c r="X2348" s="176"/>
      <c r="Y2348" s="176"/>
    </row>
    <row r="2349" spans="1:25">
      <c r="A2349" s="91"/>
      <c r="B2349" s="176"/>
      <c r="C2349" s="176"/>
      <c r="D2349" s="176"/>
      <c r="E2349" s="176"/>
      <c r="F2349" s="176"/>
      <c r="G2349" s="176"/>
      <c r="H2349" s="176"/>
      <c r="I2349" s="176"/>
      <c r="J2349" s="176"/>
      <c r="K2349" s="176"/>
      <c r="L2349" s="176"/>
      <c r="M2349" s="176"/>
      <c r="N2349" s="176"/>
      <c r="O2349" s="176"/>
      <c r="P2349" s="176"/>
      <c r="Q2349" s="176"/>
      <c r="R2349" s="176"/>
      <c r="S2349" s="176"/>
      <c r="T2349" s="176"/>
      <c r="U2349" s="176"/>
      <c r="V2349" s="176"/>
      <c r="W2349" s="176"/>
      <c r="X2349" s="176"/>
      <c r="Y2349" s="176"/>
    </row>
    <row r="2350" spans="1:25">
      <c r="A2350" s="91"/>
      <c r="B2350" s="176"/>
      <c r="C2350" s="176"/>
      <c r="D2350" s="176"/>
      <c r="E2350" s="176"/>
      <c r="F2350" s="176"/>
      <c r="G2350" s="176"/>
      <c r="H2350" s="176"/>
      <c r="I2350" s="176"/>
      <c r="J2350" s="176"/>
      <c r="K2350" s="176"/>
      <c r="L2350" s="176"/>
      <c r="M2350" s="176"/>
      <c r="N2350" s="176"/>
      <c r="O2350" s="176"/>
      <c r="P2350" s="176"/>
      <c r="Q2350" s="176"/>
      <c r="R2350" s="176"/>
      <c r="S2350" s="176"/>
      <c r="T2350" s="176"/>
      <c r="U2350" s="176"/>
      <c r="V2350" s="176"/>
      <c r="W2350" s="176"/>
      <c r="X2350" s="176"/>
      <c r="Y2350" s="176"/>
    </row>
    <row r="2351" spans="1:25">
      <c r="A2351" s="91"/>
      <c r="B2351" s="176"/>
      <c r="C2351" s="176"/>
      <c r="D2351" s="176"/>
      <c r="E2351" s="176"/>
      <c r="F2351" s="176"/>
      <c r="G2351" s="176"/>
      <c r="H2351" s="176"/>
      <c r="I2351" s="176"/>
      <c r="J2351" s="176"/>
      <c r="K2351" s="176"/>
      <c r="L2351" s="176"/>
      <c r="M2351" s="176"/>
      <c r="N2351" s="176"/>
      <c r="O2351" s="176"/>
      <c r="P2351" s="176"/>
      <c r="Q2351" s="176"/>
      <c r="R2351" s="176"/>
      <c r="S2351" s="176"/>
      <c r="T2351" s="176"/>
      <c r="U2351" s="176"/>
      <c r="V2351" s="176"/>
      <c r="W2351" s="176"/>
      <c r="X2351" s="176"/>
      <c r="Y2351" s="176"/>
    </row>
    <row r="2352" spans="1:25">
      <c r="A2352" s="91"/>
      <c r="B2352" s="176"/>
      <c r="C2352" s="176"/>
      <c r="D2352" s="176"/>
      <c r="E2352" s="176"/>
      <c r="F2352" s="176"/>
      <c r="G2352" s="176"/>
      <c r="H2352" s="176"/>
      <c r="I2352" s="176"/>
      <c r="J2352" s="176"/>
      <c r="K2352" s="176"/>
      <c r="L2352" s="176"/>
      <c r="M2352" s="176"/>
      <c r="N2352" s="176"/>
      <c r="O2352" s="176"/>
      <c r="P2352" s="176"/>
      <c r="Q2352" s="176"/>
      <c r="R2352" s="176"/>
      <c r="S2352" s="176"/>
      <c r="T2352" s="176"/>
      <c r="U2352" s="176"/>
      <c r="V2352" s="176"/>
      <c r="W2352" s="176"/>
      <c r="X2352" s="176"/>
      <c r="Y2352" s="176"/>
    </row>
    <row r="2353" spans="1:25">
      <c r="A2353" s="91"/>
      <c r="B2353" s="176"/>
      <c r="C2353" s="176"/>
      <c r="D2353" s="176"/>
      <c r="E2353" s="176"/>
      <c r="F2353" s="176"/>
      <c r="G2353" s="176"/>
      <c r="H2353" s="176"/>
      <c r="I2353" s="176"/>
      <c r="J2353" s="176"/>
      <c r="K2353" s="176"/>
      <c r="L2353" s="176"/>
      <c r="M2353" s="176"/>
      <c r="N2353" s="176"/>
      <c r="O2353" s="176"/>
      <c r="P2353" s="176"/>
      <c r="Q2353" s="176"/>
      <c r="R2353" s="176"/>
      <c r="S2353" s="176"/>
      <c r="T2353" s="176"/>
      <c r="U2353" s="176"/>
      <c r="V2353" s="176"/>
      <c r="W2353" s="176"/>
      <c r="X2353" s="176"/>
      <c r="Y2353" s="176"/>
    </row>
    <row r="2354" spans="1:25">
      <c r="A2354" s="91"/>
      <c r="B2354" s="176"/>
      <c r="C2354" s="176"/>
      <c r="D2354" s="176"/>
      <c r="E2354" s="176"/>
      <c r="F2354" s="176"/>
      <c r="G2354" s="176"/>
      <c r="H2354" s="176"/>
      <c r="I2354" s="176"/>
      <c r="J2354" s="176"/>
      <c r="K2354" s="176"/>
      <c r="L2354" s="176"/>
      <c r="M2354" s="176"/>
      <c r="N2354" s="176"/>
      <c r="O2354" s="176"/>
      <c r="P2354" s="176"/>
      <c r="Q2354" s="176"/>
      <c r="R2354" s="176"/>
      <c r="S2354" s="176"/>
      <c r="T2354" s="176"/>
      <c r="U2354" s="176"/>
      <c r="V2354" s="176"/>
      <c r="W2354" s="176"/>
      <c r="X2354" s="176"/>
      <c r="Y2354" s="176"/>
    </row>
    <row r="2355" spans="1:25">
      <c r="A2355" s="91"/>
      <c r="B2355" s="176"/>
      <c r="C2355" s="176"/>
      <c r="D2355" s="176"/>
      <c r="E2355" s="176"/>
      <c r="F2355" s="176"/>
      <c r="G2355" s="176"/>
      <c r="H2355" s="176"/>
      <c r="I2355" s="176"/>
      <c r="J2355" s="176"/>
      <c r="K2355" s="176"/>
      <c r="L2355" s="176"/>
      <c r="M2355" s="176"/>
      <c r="N2355" s="176"/>
      <c r="O2355" s="176"/>
      <c r="P2355" s="176"/>
      <c r="Q2355" s="176"/>
      <c r="R2355" s="176"/>
      <c r="S2355" s="176"/>
      <c r="T2355" s="176"/>
      <c r="U2355" s="176"/>
      <c r="V2355" s="176"/>
      <c r="W2355" s="176"/>
      <c r="X2355" s="176"/>
      <c r="Y2355" s="176"/>
    </row>
    <row r="2356" spans="1:25">
      <c r="A2356" s="91"/>
      <c r="B2356" s="176"/>
      <c r="C2356" s="176"/>
      <c r="D2356" s="176"/>
      <c r="E2356" s="176"/>
      <c r="F2356" s="176"/>
      <c r="G2356" s="176"/>
      <c r="H2356" s="176"/>
      <c r="I2356" s="176"/>
      <c r="J2356" s="176"/>
      <c r="K2356" s="176"/>
      <c r="L2356" s="176"/>
      <c r="M2356" s="176"/>
      <c r="N2356" s="176"/>
      <c r="O2356" s="176"/>
      <c r="P2356" s="176"/>
      <c r="Q2356" s="176"/>
      <c r="R2356" s="176"/>
      <c r="S2356" s="176"/>
      <c r="T2356" s="176"/>
      <c r="U2356" s="176"/>
      <c r="V2356" s="176"/>
      <c r="W2356" s="176"/>
      <c r="X2356" s="176"/>
      <c r="Y2356" s="176"/>
    </row>
    <row r="2357" spans="1:25">
      <c r="A2357" s="91"/>
      <c r="B2357" s="176"/>
      <c r="C2357" s="176"/>
      <c r="D2357" s="176"/>
      <c r="E2357" s="176"/>
      <c r="F2357" s="176"/>
      <c r="G2357" s="176"/>
      <c r="H2357" s="176"/>
      <c r="I2357" s="176"/>
      <c r="J2357" s="176"/>
      <c r="K2357" s="176"/>
      <c r="L2357" s="176"/>
      <c r="M2357" s="176"/>
      <c r="N2357" s="176"/>
      <c r="O2357" s="176"/>
      <c r="P2357" s="176"/>
      <c r="Q2357" s="176"/>
      <c r="R2357" s="176"/>
      <c r="S2357" s="176"/>
      <c r="T2357" s="176"/>
      <c r="U2357" s="176"/>
      <c r="V2357" s="176"/>
      <c r="W2357" s="176"/>
      <c r="X2357" s="176"/>
      <c r="Y2357" s="176"/>
    </row>
    <row r="2358" spans="1:25">
      <c r="A2358" s="91"/>
      <c r="B2358" s="176"/>
      <c r="C2358" s="176"/>
      <c r="D2358" s="176"/>
      <c r="E2358" s="176"/>
      <c r="F2358" s="176"/>
      <c r="G2358" s="176"/>
      <c r="H2358" s="176"/>
      <c r="I2358" s="176"/>
      <c r="J2358" s="176"/>
      <c r="K2358" s="176"/>
      <c r="L2358" s="176"/>
      <c r="M2358" s="176"/>
      <c r="N2358" s="176"/>
      <c r="O2358" s="176"/>
      <c r="P2358" s="176"/>
      <c r="Q2358" s="176"/>
      <c r="R2358" s="176"/>
      <c r="S2358" s="176"/>
      <c r="T2358" s="176"/>
      <c r="U2358" s="176"/>
      <c r="V2358" s="176"/>
      <c r="W2358" s="176"/>
      <c r="X2358" s="176"/>
      <c r="Y2358" s="176"/>
    </row>
    <row r="2359" spans="1:25">
      <c r="A2359" s="91"/>
      <c r="B2359" s="176"/>
      <c r="C2359" s="176"/>
      <c r="D2359" s="176"/>
      <c r="E2359" s="176"/>
      <c r="F2359" s="176"/>
      <c r="G2359" s="176"/>
      <c r="H2359" s="176"/>
      <c r="I2359" s="176"/>
      <c r="J2359" s="176"/>
      <c r="K2359" s="176"/>
      <c r="L2359" s="176"/>
      <c r="M2359" s="176"/>
      <c r="N2359" s="176"/>
      <c r="O2359" s="176"/>
      <c r="P2359" s="176"/>
      <c r="Q2359" s="176"/>
      <c r="R2359" s="176"/>
      <c r="S2359" s="176"/>
      <c r="T2359" s="176"/>
      <c r="U2359" s="176"/>
      <c r="V2359" s="176"/>
      <c r="W2359" s="176"/>
      <c r="X2359" s="176"/>
      <c r="Y2359" s="176"/>
    </row>
    <row r="2360" spans="1:25">
      <c r="A2360" s="91"/>
      <c r="B2360" s="176"/>
      <c r="C2360" s="176"/>
      <c r="D2360" s="176"/>
      <c r="E2360" s="176"/>
      <c r="F2360" s="176"/>
      <c r="G2360" s="176"/>
      <c r="H2360" s="176"/>
      <c r="I2360" s="176"/>
      <c r="J2360" s="176"/>
      <c r="K2360" s="176"/>
      <c r="L2360" s="176"/>
      <c r="M2360" s="176"/>
      <c r="N2360" s="176"/>
      <c r="O2360" s="176"/>
      <c r="P2360" s="176"/>
      <c r="Q2360" s="176"/>
      <c r="R2360" s="176"/>
      <c r="S2360" s="176"/>
      <c r="T2360" s="176"/>
      <c r="U2360" s="176"/>
      <c r="V2360" s="176"/>
      <c r="W2360" s="176"/>
      <c r="X2360" s="176"/>
      <c r="Y2360" s="176"/>
    </row>
    <row r="2361" spans="1:25">
      <c r="A2361" s="91"/>
      <c r="B2361" s="176"/>
      <c r="C2361" s="176"/>
      <c r="D2361" s="176"/>
      <c r="E2361" s="176"/>
      <c r="F2361" s="176"/>
      <c r="G2361" s="176"/>
      <c r="H2361" s="176"/>
      <c r="I2361" s="176"/>
      <c r="J2361" s="176"/>
      <c r="K2361" s="176"/>
      <c r="L2361" s="176"/>
      <c r="M2361" s="176"/>
      <c r="N2361" s="176"/>
      <c r="O2361" s="176"/>
      <c r="P2361" s="176"/>
      <c r="Q2361" s="176"/>
      <c r="R2361" s="176"/>
      <c r="S2361" s="176"/>
      <c r="T2361" s="176"/>
      <c r="U2361" s="176"/>
      <c r="V2361" s="176"/>
      <c r="W2361" s="176"/>
      <c r="X2361" s="176"/>
      <c r="Y2361" s="176"/>
    </row>
    <row r="2362" spans="1:25">
      <c r="A2362" s="91"/>
      <c r="B2362" s="176"/>
      <c r="C2362" s="176"/>
      <c r="D2362" s="176"/>
      <c r="E2362" s="176"/>
      <c r="F2362" s="176"/>
      <c r="G2362" s="176"/>
      <c r="H2362" s="176"/>
      <c r="I2362" s="176"/>
      <c r="J2362" s="176"/>
      <c r="K2362" s="176"/>
      <c r="L2362" s="176"/>
      <c r="M2362" s="176"/>
      <c r="N2362" s="176"/>
      <c r="O2362" s="176"/>
      <c r="P2362" s="176"/>
      <c r="Q2362" s="176"/>
      <c r="R2362" s="176"/>
      <c r="S2362" s="176"/>
      <c r="T2362" s="176"/>
      <c r="U2362" s="176"/>
      <c r="V2362" s="176"/>
      <c r="W2362" s="176"/>
      <c r="X2362" s="176"/>
      <c r="Y2362" s="176"/>
    </row>
    <row r="2363" spans="1:25">
      <c r="A2363" s="91"/>
      <c r="B2363" s="176"/>
      <c r="C2363" s="176"/>
      <c r="D2363" s="176"/>
      <c r="E2363" s="176"/>
      <c r="F2363" s="176"/>
      <c r="G2363" s="176"/>
      <c r="H2363" s="176"/>
      <c r="I2363" s="176"/>
      <c r="J2363" s="176"/>
      <c r="K2363" s="176"/>
      <c r="L2363" s="176"/>
      <c r="M2363" s="176"/>
      <c r="N2363" s="176"/>
      <c r="O2363" s="176"/>
      <c r="P2363" s="176"/>
      <c r="Q2363" s="176"/>
      <c r="R2363" s="176"/>
      <c r="S2363" s="176"/>
      <c r="T2363" s="176"/>
      <c r="U2363" s="176"/>
      <c r="V2363" s="176"/>
      <c r="W2363" s="176"/>
      <c r="X2363" s="176"/>
      <c r="Y2363" s="176"/>
    </row>
    <row r="2364" spans="1:25">
      <c r="A2364" s="91"/>
      <c r="B2364" s="176"/>
      <c r="C2364" s="176"/>
      <c r="D2364" s="176"/>
      <c r="E2364" s="176"/>
      <c r="F2364" s="176"/>
      <c r="G2364" s="176"/>
      <c r="H2364" s="176"/>
      <c r="I2364" s="176"/>
      <c r="J2364" s="176"/>
      <c r="K2364" s="176"/>
      <c r="L2364" s="176"/>
      <c r="M2364" s="176"/>
      <c r="N2364" s="176"/>
      <c r="O2364" s="176"/>
      <c r="P2364" s="176"/>
      <c r="Q2364" s="176"/>
      <c r="R2364" s="176"/>
      <c r="S2364" s="176"/>
      <c r="T2364" s="176"/>
      <c r="U2364" s="176"/>
      <c r="V2364" s="176"/>
      <c r="W2364" s="176"/>
      <c r="X2364" s="176"/>
      <c r="Y2364" s="176"/>
    </row>
    <row r="2365" spans="1:25">
      <c r="A2365" s="91"/>
      <c r="B2365" s="176"/>
      <c r="C2365" s="176"/>
      <c r="D2365" s="176"/>
      <c r="E2365" s="176"/>
      <c r="F2365" s="176"/>
      <c r="G2365" s="176"/>
      <c r="H2365" s="176"/>
      <c r="I2365" s="176"/>
      <c r="J2365" s="176"/>
      <c r="K2365" s="176"/>
      <c r="L2365" s="176"/>
      <c r="M2365" s="176"/>
      <c r="N2365" s="176"/>
      <c r="O2365" s="176"/>
      <c r="P2365" s="176"/>
      <c r="Q2365" s="176"/>
      <c r="R2365" s="176"/>
      <c r="S2365" s="176"/>
      <c r="T2365" s="176"/>
      <c r="U2365" s="176"/>
      <c r="V2365" s="176"/>
      <c r="W2365" s="176"/>
      <c r="X2365" s="176"/>
      <c r="Y2365" s="176"/>
    </row>
    <row r="2366" spans="1:25">
      <c r="A2366" s="91"/>
      <c r="B2366" s="176"/>
      <c r="C2366" s="176"/>
      <c r="D2366" s="176"/>
      <c r="E2366" s="176"/>
      <c r="F2366" s="176"/>
      <c r="G2366" s="176"/>
      <c r="H2366" s="176"/>
      <c r="I2366" s="176"/>
      <c r="J2366" s="176"/>
      <c r="K2366" s="176"/>
      <c r="L2366" s="176"/>
      <c r="M2366" s="176"/>
      <c r="N2366" s="176"/>
      <c r="O2366" s="176"/>
      <c r="P2366" s="176"/>
      <c r="Q2366" s="176"/>
      <c r="R2366" s="176"/>
      <c r="S2366" s="176"/>
      <c r="T2366" s="176"/>
      <c r="U2366" s="176"/>
      <c r="V2366" s="176"/>
      <c r="W2366" s="176"/>
      <c r="X2366" s="176"/>
      <c r="Y2366" s="176"/>
    </row>
    <row r="2367" spans="1:25">
      <c r="A2367" s="91"/>
      <c r="B2367" s="176"/>
      <c r="C2367" s="176"/>
      <c r="D2367" s="176"/>
      <c r="E2367" s="176"/>
      <c r="F2367" s="176"/>
      <c r="G2367" s="176"/>
      <c r="H2367" s="176"/>
      <c r="I2367" s="176"/>
      <c r="J2367" s="176"/>
      <c r="K2367" s="176"/>
      <c r="L2367" s="176"/>
      <c r="M2367" s="176"/>
      <c r="N2367" s="176"/>
      <c r="O2367" s="176"/>
      <c r="P2367" s="176"/>
      <c r="Q2367" s="176"/>
      <c r="R2367" s="176"/>
      <c r="S2367" s="176"/>
      <c r="T2367" s="176"/>
      <c r="U2367" s="176"/>
      <c r="V2367" s="176"/>
      <c r="W2367" s="176"/>
      <c r="X2367" s="176"/>
      <c r="Y2367" s="176"/>
    </row>
    <row r="2368" spans="1:25">
      <c r="A2368" s="91"/>
      <c r="B2368" s="176"/>
      <c r="C2368" s="176"/>
      <c r="D2368" s="176"/>
      <c r="E2368" s="176"/>
      <c r="F2368" s="176"/>
      <c r="G2368" s="176"/>
      <c r="H2368" s="176"/>
      <c r="I2368" s="176"/>
      <c r="J2368" s="176"/>
      <c r="K2368" s="176"/>
      <c r="L2368" s="176"/>
      <c r="M2368" s="176"/>
      <c r="N2368" s="176"/>
      <c r="O2368" s="176"/>
      <c r="P2368" s="176"/>
      <c r="Q2368" s="176"/>
      <c r="R2368" s="176"/>
      <c r="S2368" s="176"/>
      <c r="T2368" s="176"/>
      <c r="U2368" s="176"/>
      <c r="V2368" s="176"/>
      <c r="W2368" s="176"/>
      <c r="X2368" s="176"/>
      <c r="Y2368" s="176"/>
    </row>
    <row r="2369" spans="1:25">
      <c r="A2369" s="91"/>
      <c r="B2369" s="176"/>
      <c r="C2369" s="176"/>
      <c r="D2369" s="176"/>
      <c r="E2369" s="176"/>
      <c r="F2369" s="176"/>
      <c r="G2369" s="176"/>
      <c r="H2369" s="176"/>
      <c r="I2369" s="176"/>
      <c r="J2369" s="176"/>
      <c r="K2369" s="176"/>
      <c r="L2369" s="176"/>
      <c r="M2369" s="176"/>
      <c r="N2369" s="176"/>
      <c r="O2369" s="176"/>
      <c r="P2369" s="176"/>
      <c r="Q2369" s="176"/>
      <c r="R2369" s="176"/>
      <c r="S2369" s="176"/>
      <c r="T2369" s="176"/>
      <c r="U2369" s="176"/>
      <c r="V2369" s="176"/>
      <c r="W2369" s="176"/>
      <c r="X2369" s="176"/>
      <c r="Y2369" s="176"/>
    </row>
    <row r="2370" spans="1:25">
      <c r="A2370" s="91"/>
      <c r="B2370" s="176"/>
      <c r="C2370" s="176"/>
      <c r="D2370" s="176"/>
      <c r="E2370" s="176"/>
      <c r="F2370" s="176"/>
      <c r="G2370" s="176"/>
      <c r="H2370" s="176"/>
      <c r="I2370" s="176"/>
      <c r="J2370" s="176"/>
      <c r="K2370" s="176"/>
      <c r="L2370" s="176"/>
      <c r="M2370" s="176"/>
      <c r="N2370" s="176"/>
      <c r="O2370" s="176"/>
      <c r="P2370" s="176"/>
      <c r="Q2370" s="176"/>
      <c r="R2370" s="176"/>
      <c r="S2370" s="176"/>
      <c r="T2370" s="176"/>
      <c r="U2370" s="176"/>
      <c r="V2370" s="176"/>
      <c r="W2370" s="176"/>
      <c r="X2370" s="176"/>
      <c r="Y2370" s="176"/>
    </row>
    <row r="2371" spans="1:25">
      <c r="A2371" s="91"/>
      <c r="B2371" s="176"/>
      <c r="C2371" s="176"/>
      <c r="D2371" s="176"/>
      <c r="E2371" s="176"/>
      <c r="F2371" s="176"/>
      <c r="G2371" s="176"/>
      <c r="H2371" s="176"/>
      <c r="I2371" s="176"/>
      <c r="J2371" s="176"/>
      <c r="K2371" s="176"/>
      <c r="L2371" s="176"/>
      <c r="M2371" s="176"/>
      <c r="N2371" s="176"/>
      <c r="O2371" s="176"/>
      <c r="P2371" s="176"/>
      <c r="Q2371" s="176"/>
      <c r="R2371" s="176"/>
      <c r="S2371" s="176"/>
      <c r="T2371" s="176"/>
      <c r="U2371" s="176"/>
      <c r="V2371" s="176"/>
      <c r="W2371" s="176"/>
      <c r="X2371" s="176"/>
      <c r="Y2371" s="176"/>
    </row>
    <row r="2372" spans="1:25">
      <c r="A2372" s="91"/>
      <c r="B2372" s="176"/>
      <c r="C2372" s="176"/>
      <c r="D2372" s="176"/>
      <c r="E2372" s="176"/>
      <c r="F2372" s="176"/>
      <c r="G2372" s="176"/>
      <c r="H2372" s="176"/>
      <c r="I2372" s="176"/>
      <c r="J2372" s="176"/>
      <c r="K2372" s="176"/>
      <c r="L2372" s="176"/>
      <c r="M2372" s="176"/>
      <c r="N2372" s="176"/>
      <c r="O2372" s="176"/>
      <c r="P2372" s="176"/>
      <c r="Q2372" s="176"/>
      <c r="R2372" s="176"/>
      <c r="S2372" s="176"/>
      <c r="T2372" s="176"/>
      <c r="U2372" s="176"/>
      <c r="V2372" s="176"/>
      <c r="W2372" s="176"/>
      <c r="X2372" s="176"/>
      <c r="Y2372" s="176"/>
    </row>
    <row r="2373" spans="1:25">
      <c r="A2373" s="91"/>
      <c r="B2373" s="176"/>
      <c r="C2373" s="176"/>
      <c r="D2373" s="176"/>
      <c r="E2373" s="176"/>
      <c r="F2373" s="176"/>
      <c r="G2373" s="176"/>
      <c r="H2373" s="176"/>
      <c r="I2373" s="176"/>
      <c r="J2373" s="176"/>
      <c r="K2373" s="176"/>
      <c r="L2373" s="176"/>
      <c r="M2373" s="176"/>
      <c r="N2373" s="176"/>
      <c r="O2373" s="176"/>
      <c r="P2373" s="176"/>
      <c r="Q2373" s="176"/>
      <c r="R2373" s="176"/>
      <c r="S2373" s="176"/>
      <c r="T2373" s="176"/>
      <c r="U2373" s="176"/>
      <c r="V2373" s="176"/>
      <c r="W2373" s="176"/>
      <c r="X2373" s="176"/>
      <c r="Y2373" s="176"/>
    </row>
    <row r="2374" spans="1:25">
      <c r="A2374" s="91"/>
      <c r="B2374" s="176"/>
      <c r="C2374" s="176"/>
      <c r="D2374" s="176"/>
      <c r="E2374" s="176"/>
      <c r="F2374" s="176"/>
      <c r="G2374" s="176"/>
      <c r="H2374" s="176"/>
      <c r="I2374" s="176"/>
      <c r="J2374" s="176"/>
      <c r="K2374" s="176"/>
      <c r="L2374" s="176"/>
      <c r="M2374" s="176"/>
      <c r="N2374" s="176"/>
      <c r="O2374" s="176"/>
      <c r="P2374" s="176"/>
      <c r="Q2374" s="176"/>
      <c r="R2374" s="176"/>
      <c r="S2374" s="176"/>
      <c r="T2374" s="176"/>
      <c r="U2374" s="176"/>
      <c r="V2374" s="176"/>
      <c r="W2374" s="176"/>
      <c r="X2374" s="176"/>
      <c r="Y2374" s="176"/>
    </row>
    <row r="2375" spans="1:25">
      <c r="A2375" s="91"/>
      <c r="B2375" s="176"/>
      <c r="C2375" s="176"/>
      <c r="D2375" s="176"/>
      <c r="E2375" s="176"/>
      <c r="F2375" s="176"/>
      <c r="G2375" s="176"/>
      <c r="H2375" s="176"/>
      <c r="I2375" s="176"/>
      <c r="J2375" s="176"/>
      <c r="K2375" s="176"/>
      <c r="L2375" s="176"/>
      <c r="M2375" s="176"/>
      <c r="N2375" s="176"/>
      <c r="O2375" s="176"/>
      <c r="P2375" s="176"/>
      <c r="Q2375" s="176"/>
      <c r="R2375" s="176"/>
      <c r="S2375" s="176"/>
      <c r="T2375" s="176"/>
      <c r="U2375" s="176"/>
      <c r="V2375" s="176"/>
      <c r="W2375" s="176"/>
      <c r="X2375" s="176"/>
      <c r="Y2375" s="176"/>
    </row>
    <row r="2376" spans="1:25">
      <c r="A2376" s="91"/>
      <c r="B2376" s="176"/>
      <c r="C2376" s="176"/>
      <c r="D2376" s="176"/>
      <c r="E2376" s="176"/>
      <c r="F2376" s="176"/>
      <c r="G2376" s="176"/>
      <c r="H2376" s="176"/>
      <c r="I2376" s="176"/>
      <c r="J2376" s="176"/>
      <c r="K2376" s="176"/>
      <c r="L2376" s="176"/>
      <c r="M2376" s="176"/>
      <c r="N2376" s="176"/>
      <c r="O2376" s="176"/>
      <c r="P2376" s="176"/>
      <c r="Q2376" s="176"/>
      <c r="R2376" s="176"/>
      <c r="S2376" s="176"/>
      <c r="T2376" s="176"/>
      <c r="U2376" s="176"/>
      <c r="V2376" s="176"/>
      <c r="W2376" s="176"/>
      <c r="X2376" s="176"/>
      <c r="Y2376" s="176"/>
    </row>
    <row r="2377" spans="1:25">
      <c r="A2377" s="91"/>
      <c r="B2377" s="176"/>
      <c r="C2377" s="176"/>
      <c r="D2377" s="176"/>
      <c r="E2377" s="176"/>
      <c r="F2377" s="176"/>
      <c r="G2377" s="176"/>
      <c r="H2377" s="176"/>
      <c r="I2377" s="176"/>
      <c r="J2377" s="176"/>
      <c r="K2377" s="176"/>
      <c r="L2377" s="176"/>
      <c r="M2377" s="176"/>
      <c r="N2377" s="176"/>
      <c r="O2377" s="176"/>
      <c r="P2377" s="176"/>
      <c r="Q2377" s="176"/>
      <c r="R2377" s="176"/>
      <c r="S2377" s="176"/>
      <c r="T2377" s="176"/>
      <c r="U2377" s="176"/>
      <c r="V2377" s="176"/>
      <c r="W2377" s="176"/>
      <c r="X2377" s="176"/>
      <c r="Y2377" s="176"/>
    </row>
    <row r="2378" spans="1:25">
      <c r="A2378" s="91"/>
      <c r="B2378" s="176"/>
      <c r="C2378" s="176"/>
      <c r="D2378" s="176"/>
      <c r="E2378" s="176"/>
      <c r="F2378" s="176"/>
      <c r="G2378" s="176"/>
      <c r="H2378" s="176"/>
      <c r="I2378" s="176"/>
      <c r="J2378" s="176"/>
      <c r="K2378" s="176"/>
      <c r="L2378" s="176"/>
      <c r="M2378" s="176"/>
      <c r="N2378" s="176"/>
      <c r="O2378" s="176"/>
      <c r="P2378" s="176"/>
      <c r="Q2378" s="176"/>
      <c r="R2378" s="176"/>
      <c r="S2378" s="176"/>
      <c r="T2378" s="176"/>
      <c r="U2378" s="176"/>
      <c r="V2378" s="176"/>
      <c r="W2378" s="176"/>
      <c r="X2378" s="176"/>
      <c r="Y2378" s="176"/>
    </row>
    <row r="2379" spans="1:25">
      <c r="A2379" s="91"/>
      <c r="B2379" s="176"/>
      <c r="C2379" s="176"/>
      <c r="D2379" s="176"/>
      <c r="E2379" s="176"/>
      <c r="F2379" s="176"/>
      <c r="G2379" s="176"/>
      <c r="H2379" s="176"/>
      <c r="I2379" s="176"/>
      <c r="J2379" s="176"/>
      <c r="K2379" s="176"/>
      <c r="L2379" s="176"/>
      <c r="M2379" s="176"/>
      <c r="N2379" s="176"/>
      <c r="O2379" s="176"/>
      <c r="P2379" s="176"/>
      <c r="Q2379" s="176"/>
      <c r="R2379" s="176"/>
      <c r="S2379" s="176"/>
      <c r="T2379" s="176"/>
      <c r="U2379" s="176"/>
      <c r="V2379" s="176"/>
      <c r="W2379" s="176"/>
      <c r="X2379" s="176"/>
      <c r="Y2379" s="176"/>
    </row>
    <row r="2380" spans="1:25">
      <c r="A2380" s="91"/>
      <c r="B2380" s="176"/>
      <c r="C2380" s="176"/>
      <c r="D2380" s="176"/>
      <c r="E2380" s="176"/>
      <c r="F2380" s="176"/>
      <c r="G2380" s="176"/>
      <c r="H2380" s="176"/>
      <c r="I2380" s="176"/>
      <c r="J2380" s="176"/>
      <c r="K2380" s="176"/>
      <c r="L2380" s="176"/>
      <c r="M2380" s="176"/>
      <c r="N2380" s="176"/>
      <c r="O2380" s="176"/>
      <c r="P2380" s="176"/>
      <c r="Q2380" s="176"/>
      <c r="R2380" s="176"/>
      <c r="S2380" s="176"/>
      <c r="T2380" s="176"/>
      <c r="U2380" s="176"/>
      <c r="V2380" s="176"/>
      <c r="W2380" s="176"/>
      <c r="X2380" s="176"/>
      <c r="Y2380" s="176"/>
    </row>
    <row r="2381" spans="1:25">
      <c r="A2381" s="91"/>
      <c r="B2381" s="176"/>
      <c r="C2381" s="176"/>
      <c r="D2381" s="176"/>
      <c r="E2381" s="176"/>
      <c r="F2381" s="176"/>
      <c r="G2381" s="176"/>
      <c r="H2381" s="176"/>
      <c r="I2381" s="176"/>
      <c r="J2381" s="176"/>
      <c r="K2381" s="176"/>
      <c r="L2381" s="176"/>
      <c r="M2381" s="176"/>
      <c r="N2381" s="176"/>
      <c r="O2381" s="176"/>
      <c r="P2381" s="176"/>
      <c r="Q2381" s="176"/>
      <c r="R2381" s="176"/>
      <c r="S2381" s="176"/>
      <c r="T2381" s="176"/>
      <c r="U2381" s="176"/>
      <c r="V2381" s="176"/>
      <c r="W2381" s="176"/>
      <c r="X2381" s="176"/>
      <c r="Y2381" s="176"/>
    </row>
    <row r="2382" spans="1:25">
      <c r="A2382" s="91"/>
      <c r="B2382" s="176"/>
      <c r="C2382" s="176"/>
      <c r="D2382" s="176"/>
      <c r="E2382" s="176"/>
      <c r="F2382" s="176"/>
      <c r="G2382" s="176"/>
      <c r="H2382" s="176"/>
      <c r="I2382" s="176"/>
      <c r="J2382" s="176"/>
      <c r="K2382" s="176"/>
      <c r="L2382" s="176"/>
      <c r="M2382" s="176"/>
      <c r="N2382" s="176"/>
      <c r="O2382" s="176"/>
      <c r="P2382" s="176"/>
      <c r="Q2382" s="176"/>
      <c r="R2382" s="176"/>
      <c r="S2382" s="176"/>
      <c r="T2382" s="176"/>
      <c r="U2382" s="176"/>
      <c r="V2382" s="176"/>
      <c r="W2382" s="176"/>
      <c r="X2382" s="176"/>
      <c r="Y2382" s="176"/>
    </row>
    <row r="2383" spans="1:25">
      <c r="A2383" s="91"/>
      <c r="B2383" s="176"/>
      <c r="C2383" s="176"/>
      <c r="D2383" s="176"/>
      <c r="E2383" s="176"/>
      <c r="F2383" s="176"/>
      <c r="G2383" s="176"/>
      <c r="H2383" s="176"/>
      <c r="I2383" s="176"/>
      <c r="J2383" s="176"/>
      <c r="K2383" s="176"/>
      <c r="L2383" s="176"/>
      <c r="M2383" s="176"/>
      <c r="N2383" s="176"/>
      <c r="O2383" s="176"/>
      <c r="P2383" s="176"/>
      <c r="Q2383" s="176"/>
      <c r="R2383" s="176"/>
      <c r="S2383" s="176"/>
      <c r="T2383" s="176"/>
      <c r="U2383" s="176"/>
      <c r="V2383" s="176"/>
      <c r="W2383" s="176"/>
      <c r="X2383" s="176"/>
      <c r="Y2383" s="176"/>
    </row>
    <row r="2384" spans="1:25">
      <c r="A2384" s="91"/>
      <c r="B2384" s="176"/>
      <c r="C2384" s="176"/>
      <c r="D2384" s="176"/>
      <c r="E2384" s="176"/>
      <c r="F2384" s="176"/>
      <c r="G2384" s="176"/>
      <c r="H2384" s="176"/>
      <c r="I2384" s="176"/>
      <c r="J2384" s="176"/>
      <c r="K2384" s="176"/>
      <c r="L2384" s="176"/>
      <c r="M2384" s="176"/>
      <c r="N2384" s="176"/>
      <c r="O2384" s="176"/>
      <c r="P2384" s="176"/>
      <c r="Q2384" s="176"/>
      <c r="R2384" s="176"/>
      <c r="S2384" s="176"/>
      <c r="T2384" s="176"/>
      <c r="U2384" s="176"/>
      <c r="V2384" s="176"/>
      <c r="W2384" s="176"/>
      <c r="X2384" s="176"/>
      <c r="Y2384" s="176"/>
    </row>
    <row r="2385" spans="1:25">
      <c r="A2385" s="91"/>
      <c r="B2385" s="176"/>
      <c r="C2385" s="176"/>
      <c r="D2385" s="176"/>
      <c r="E2385" s="176"/>
      <c r="F2385" s="176"/>
      <c r="G2385" s="176"/>
      <c r="H2385" s="176"/>
      <c r="I2385" s="176"/>
      <c r="J2385" s="176"/>
      <c r="K2385" s="176"/>
      <c r="L2385" s="176"/>
      <c r="M2385" s="176"/>
      <c r="N2385" s="176"/>
      <c r="O2385" s="176"/>
      <c r="P2385" s="176"/>
      <c r="Q2385" s="176"/>
      <c r="R2385" s="176"/>
      <c r="S2385" s="176"/>
      <c r="T2385" s="176"/>
      <c r="U2385" s="176"/>
      <c r="V2385" s="176"/>
      <c r="W2385" s="176"/>
      <c r="X2385" s="176"/>
      <c r="Y2385" s="176"/>
    </row>
    <row r="2386" spans="1:25">
      <c r="A2386" s="91"/>
      <c r="B2386" s="176"/>
      <c r="C2386" s="176"/>
      <c r="D2386" s="176"/>
      <c r="E2386" s="176"/>
      <c r="F2386" s="176"/>
      <c r="G2386" s="176"/>
      <c r="H2386" s="176"/>
      <c r="I2386" s="176"/>
      <c r="J2386" s="176"/>
      <c r="K2386" s="176"/>
      <c r="L2386" s="176"/>
      <c r="M2386" s="176"/>
      <c r="N2386" s="176"/>
      <c r="O2386" s="176"/>
      <c r="P2386" s="176"/>
      <c r="Q2386" s="176"/>
      <c r="R2386" s="176"/>
      <c r="S2386" s="176"/>
      <c r="T2386" s="176"/>
      <c r="U2386" s="176"/>
      <c r="V2386" s="176"/>
      <c r="W2386" s="176"/>
      <c r="X2386" s="176"/>
      <c r="Y2386" s="176"/>
    </row>
    <row r="2387" spans="1:25">
      <c r="A2387" s="91"/>
      <c r="B2387" s="176"/>
      <c r="C2387" s="176"/>
      <c r="D2387" s="176"/>
      <c r="E2387" s="176"/>
      <c r="F2387" s="176"/>
      <c r="G2387" s="176"/>
      <c r="H2387" s="176"/>
      <c r="I2387" s="176"/>
      <c r="J2387" s="176"/>
      <c r="K2387" s="176"/>
      <c r="L2387" s="176"/>
      <c r="M2387" s="176"/>
      <c r="N2387" s="176"/>
      <c r="O2387" s="176"/>
      <c r="P2387" s="176"/>
      <c r="Q2387" s="176"/>
      <c r="R2387" s="176"/>
      <c r="S2387" s="176"/>
      <c r="T2387" s="176"/>
      <c r="U2387" s="176"/>
      <c r="V2387" s="176"/>
      <c r="W2387" s="176"/>
      <c r="X2387" s="176"/>
      <c r="Y2387" s="176"/>
    </row>
    <row r="2388" spans="1:25">
      <c r="A2388" s="91"/>
      <c r="B2388" s="176"/>
      <c r="C2388" s="176"/>
      <c r="D2388" s="176"/>
      <c r="E2388" s="176"/>
      <c r="F2388" s="176"/>
      <c r="G2388" s="176"/>
      <c r="H2388" s="176"/>
      <c r="I2388" s="176"/>
      <c r="J2388" s="176"/>
      <c r="K2388" s="176"/>
      <c r="L2388" s="176"/>
      <c r="M2388" s="176"/>
      <c r="N2388" s="176"/>
      <c r="O2388" s="176"/>
      <c r="P2388" s="176"/>
      <c r="Q2388" s="176"/>
      <c r="R2388" s="176"/>
      <c r="S2388" s="176"/>
      <c r="T2388" s="176"/>
      <c r="U2388" s="176"/>
      <c r="V2388" s="176"/>
      <c r="W2388" s="176"/>
      <c r="X2388" s="176"/>
      <c r="Y2388" s="176"/>
    </row>
    <row r="2389" spans="1:25">
      <c r="A2389" s="91"/>
      <c r="B2389" s="176"/>
      <c r="C2389" s="176"/>
      <c r="D2389" s="176"/>
      <c r="E2389" s="176"/>
      <c r="F2389" s="176"/>
      <c r="G2389" s="176"/>
      <c r="H2389" s="176"/>
      <c r="I2389" s="176"/>
      <c r="J2389" s="176"/>
      <c r="K2389" s="176"/>
      <c r="L2389" s="176"/>
      <c r="M2389" s="176"/>
      <c r="N2389" s="176"/>
      <c r="O2389" s="176"/>
      <c r="P2389" s="176"/>
      <c r="Q2389" s="176"/>
      <c r="R2389" s="176"/>
      <c r="S2389" s="176"/>
      <c r="T2389" s="176"/>
      <c r="U2389" s="176"/>
      <c r="V2389" s="176"/>
      <c r="W2389" s="176"/>
      <c r="X2389" s="176"/>
      <c r="Y2389" s="176"/>
    </row>
    <row r="2390" spans="1:25">
      <c r="A2390" s="91"/>
      <c r="B2390" s="176"/>
      <c r="C2390" s="176"/>
      <c r="D2390" s="176"/>
      <c r="E2390" s="176"/>
      <c r="F2390" s="176"/>
      <c r="G2390" s="176"/>
      <c r="H2390" s="176"/>
      <c r="I2390" s="176"/>
      <c r="J2390" s="176"/>
      <c r="K2390" s="176"/>
      <c r="L2390" s="176"/>
      <c r="M2390" s="176"/>
      <c r="N2390" s="176"/>
      <c r="O2390" s="176"/>
      <c r="P2390" s="176"/>
      <c r="Q2390" s="176"/>
      <c r="R2390" s="176"/>
      <c r="S2390" s="176"/>
      <c r="T2390" s="176"/>
      <c r="U2390" s="176"/>
      <c r="V2390" s="176"/>
      <c r="W2390" s="176"/>
      <c r="X2390" s="176"/>
      <c r="Y2390" s="176"/>
    </row>
    <row r="2391" spans="1:25">
      <c r="A2391" s="91"/>
      <c r="B2391" s="176"/>
      <c r="C2391" s="176"/>
      <c r="D2391" s="176"/>
      <c r="E2391" s="176"/>
      <c r="F2391" s="176"/>
      <c r="G2391" s="176"/>
      <c r="H2391" s="176"/>
      <c r="I2391" s="176"/>
      <c r="J2391" s="176"/>
      <c r="K2391" s="176"/>
      <c r="L2391" s="176"/>
      <c r="M2391" s="176"/>
      <c r="N2391" s="176"/>
      <c r="O2391" s="176"/>
      <c r="P2391" s="176"/>
      <c r="Q2391" s="176"/>
      <c r="R2391" s="176"/>
      <c r="S2391" s="176"/>
      <c r="T2391" s="176"/>
      <c r="U2391" s="176"/>
      <c r="V2391" s="176"/>
      <c r="W2391" s="176"/>
      <c r="X2391" s="176"/>
      <c r="Y2391" s="176"/>
    </row>
    <row r="2392" spans="1:25">
      <c r="A2392" s="91"/>
      <c r="B2392" s="176"/>
      <c r="C2392" s="176"/>
      <c r="D2392" s="176"/>
      <c r="E2392" s="176"/>
      <c r="F2392" s="176"/>
      <c r="G2392" s="176"/>
      <c r="H2392" s="176"/>
      <c r="I2392" s="176"/>
      <c r="J2392" s="176"/>
      <c r="K2392" s="176"/>
      <c r="L2392" s="176"/>
      <c r="M2392" s="176"/>
      <c r="N2392" s="176"/>
      <c r="O2392" s="176"/>
      <c r="P2392" s="176"/>
      <c r="Q2392" s="176"/>
      <c r="R2392" s="176"/>
      <c r="S2392" s="176"/>
      <c r="T2392" s="176"/>
      <c r="U2392" s="176"/>
      <c r="V2392" s="176"/>
      <c r="W2392" s="176"/>
      <c r="X2392" s="176"/>
      <c r="Y2392" s="176"/>
    </row>
    <row r="2393" spans="1:25">
      <c r="A2393" s="91"/>
      <c r="B2393" s="176"/>
      <c r="C2393" s="176"/>
      <c r="D2393" s="176"/>
      <c r="E2393" s="176"/>
      <c r="F2393" s="176"/>
      <c r="G2393" s="176"/>
      <c r="H2393" s="176"/>
      <c r="I2393" s="176"/>
      <c r="J2393" s="176"/>
      <c r="K2393" s="176"/>
      <c r="L2393" s="176"/>
      <c r="M2393" s="176"/>
      <c r="N2393" s="176"/>
      <c r="O2393" s="176"/>
      <c r="P2393" s="176"/>
      <c r="Q2393" s="176"/>
      <c r="R2393" s="176"/>
      <c r="S2393" s="176"/>
      <c r="T2393" s="176"/>
      <c r="U2393" s="176"/>
      <c r="V2393" s="176"/>
      <c r="W2393" s="176"/>
      <c r="X2393" s="176"/>
      <c r="Y2393" s="176"/>
    </row>
    <row r="2394" spans="1:25">
      <c r="A2394" s="91"/>
      <c r="B2394" s="176"/>
      <c r="C2394" s="176"/>
      <c r="D2394" s="176"/>
      <c r="E2394" s="176"/>
      <c r="F2394" s="176"/>
      <c r="G2394" s="176"/>
      <c r="H2394" s="176"/>
      <c r="I2394" s="176"/>
      <c r="J2394" s="176"/>
      <c r="K2394" s="176"/>
      <c r="L2394" s="176"/>
      <c r="M2394" s="176"/>
      <c r="N2394" s="176"/>
      <c r="O2394" s="176"/>
      <c r="P2394" s="176"/>
      <c r="Q2394" s="176"/>
      <c r="R2394" s="176"/>
      <c r="S2394" s="176"/>
      <c r="T2394" s="176"/>
      <c r="U2394" s="176"/>
      <c r="V2394" s="176"/>
      <c r="W2394" s="176"/>
      <c r="X2394" s="176"/>
      <c r="Y2394" s="176"/>
    </row>
    <row r="2395" spans="1:25">
      <c r="A2395" s="91"/>
      <c r="B2395" s="176"/>
      <c r="C2395" s="176"/>
      <c r="D2395" s="176"/>
      <c r="E2395" s="176"/>
      <c r="F2395" s="176"/>
      <c r="G2395" s="176"/>
      <c r="H2395" s="176"/>
      <c r="I2395" s="176"/>
      <c r="J2395" s="176"/>
      <c r="K2395" s="176"/>
      <c r="L2395" s="176"/>
      <c r="M2395" s="176"/>
      <c r="N2395" s="176"/>
      <c r="O2395" s="176"/>
      <c r="P2395" s="176"/>
      <c r="Q2395" s="176"/>
      <c r="R2395" s="176"/>
      <c r="S2395" s="176"/>
      <c r="T2395" s="176"/>
      <c r="U2395" s="176"/>
      <c r="V2395" s="176"/>
      <c r="W2395" s="176"/>
      <c r="X2395" s="176"/>
      <c r="Y2395" s="176"/>
    </row>
    <row r="2396" spans="1:25">
      <c r="A2396" s="91"/>
      <c r="B2396" s="176"/>
      <c r="C2396" s="176"/>
      <c r="D2396" s="176"/>
      <c r="E2396" s="176"/>
      <c r="F2396" s="176"/>
      <c r="G2396" s="176"/>
      <c r="H2396" s="176"/>
      <c r="I2396" s="176"/>
      <c r="J2396" s="176"/>
      <c r="K2396" s="176"/>
      <c r="L2396" s="176"/>
      <c r="M2396" s="176"/>
      <c r="N2396" s="176"/>
      <c r="O2396" s="176"/>
      <c r="P2396" s="176"/>
      <c r="Q2396" s="176"/>
      <c r="R2396" s="176"/>
      <c r="S2396" s="176"/>
      <c r="T2396" s="176"/>
      <c r="U2396" s="176"/>
      <c r="V2396" s="176"/>
      <c r="W2396" s="176"/>
      <c r="X2396" s="176"/>
      <c r="Y2396" s="176"/>
    </row>
    <row r="2397" spans="1:25">
      <c r="A2397" s="91"/>
      <c r="B2397" s="176"/>
      <c r="C2397" s="176"/>
      <c r="D2397" s="176"/>
      <c r="E2397" s="176"/>
      <c r="F2397" s="176"/>
      <c r="G2397" s="176"/>
      <c r="H2397" s="176"/>
      <c r="I2397" s="176"/>
      <c r="J2397" s="176"/>
      <c r="K2397" s="176"/>
      <c r="L2397" s="176"/>
      <c r="M2397" s="176"/>
      <c r="N2397" s="176"/>
      <c r="O2397" s="176"/>
      <c r="P2397" s="176"/>
      <c r="Q2397" s="176"/>
      <c r="R2397" s="176"/>
      <c r="S2397" s="176"/>
      <c r="T2397" s="176"/>
      <c r="U2397" s="176"/>
      <c r="V2397" s="176"/>
      <c r="W2397" s="176"/>
      <c r="X2397" s="176"/>
      <c r="Y2397" s="176"/>
    </row>
    <row r="2398" spans="1:25">
      <c r="A2398" s="91"/>
      <c r="B2398" s="176"/>
      <c r="C2398" s="176"/>
      <c r="D2398" s="176"/>
      <c r="E2398" s="176"/>
      <c r="F2398" s="176"/>
      <c r="G2398" s="176"/>
      <c r="H2398" s="176"/>
      <c r="I2398" s="176"/>
      <c r="J2398" s="176"/>
      <c r="K2398" s="176"/>
      <c r="L2398" s="176"/>
      <c r="M2398" s="176"/>
      <c r="N2398" s="176"/>
      <c r="O2398" s="176"/>
      <c r="P2398" s="176"/>
      <c r="Q2398" s="176"/>
      <c r="R2398" s="176"/>
      <c r="S2398" s="176"/>
      <c r="T2398" s="176"/>
      <c r="U2398" s="176"/>
      <c r="V2398" s="176"/>
      <c r="W2398" s="176"/>
      <c r="X2398" s="176"/>
      <c r="Y2398" s="176"/>
    </row>
    <row r="2399" spans="1:25">
      <c r="A2399" s="91"/>
      <c r="B2399" s="176"/>
      <c r="C2399" s="176"/>
      <c r="D2399" s="176"/>
      <c r="E2399" s="176"/>
      <c r="F2399" s="176"/>
      <c r="G2399" s="176"/>
      <c r="H2399" s="176"/>
      <c r="I2399" s="176"/>
      <c r="J2399" s="176"/>
      <c r="K2399" s="176"/>
      <c r="L2399" s="176"/>
      <c r="M2399" s="176"/>
      <c r="N2399" s="176"/>
      <c r="O2399" s="176"/>
      <c r="P2399" s="176"/>
      <c r="Q2399" s="176"/>
      <c r="R2399" s="176"/>
      <c r="S2399" s="176"/>
      <c r="T2399" s="176"/>
      <c r="U2399" s="176"/>
      <c r="V2399" s="176"/>
      <c r="W2399" s="176"/>
      <c r="X2399" s="176"/>
      <c r="Y2399" s="176"/>
    </row>
    <row r="2400" spans="1:25">
      <c r="A2400" s="91"/>
      <c r="B2400" s="176"/>
      <c r="C2400" s="176"/>
      <c r="D2400" s="176"/>
      <c r="E2400" s="176"/>
      <c r="F2400" s="176"/>
      <c r="G2400" s="176"/>
      <c r="H2400" s="176"/>
      <c r="I2400" s="176"/>
      <c r="J2400" s="176"/>
      <c r="K2400" s="176"/>
      <c r="L2400" s="176"/>
      <c r="M2400" s="176"/>
      <c r="N2400" s="176"/>
      <c r="O2400" s="176"/>
      <c r="P2400" s="176"/>
      <c r="Q2400" s="176"/>
      <c r="R2400" s="176"/>
      <c r="S2400" s="176"/>
      <c r="T2400" s="176"/>
      <c r="U2400" s="176"/>
      <c r="V2400" s="176"/>
      <c r="W2400" s="176"/>
      <c r="X2400" s="176"/>
      <c r="Y2400" s="176"/>
    </row>
    <row r="2401" spans="1:25">
      <c r="A2401" s="91"/>
      <c r="B2401" s="176"/>
      <c r="C2401" s="176"/>
      <c r="D2401" s="176"/>
      <c r="E2401" s="176"/>
      <c r="F2401" s="176"/>
      <c r="G2401" s="176"/>
      <c r="H2401" s="176"/>
      <c r="I2401" s="176"/>
      <c r="J2401" s="176"/>
      <c r="K2401" s="176"/>
      <c r="L2401" s="176"/>
      <c r="M2401" s="176"/>
      <c r="N2401" s="176"/>
      <c r="O2401" s="176"/>
      <c r="P2401" s="176"/>
      <c r="Q2401" s="176"/>
      <c r="R2401" s="176"/>
      <c r="S2401" s="176"/>
      <c r="T2401" s="176"/>
      <c r="U2401" s="176"/>
      <c r="V2401" s="176"/>
      <c r="W2401" s="176"/>
      <c r="X2401" s="176"/>
      <c r="Y2401" s="176"/>
    </row>
    <row r="2402" spans="1:25">
      <c r="A2402" s="91"/>
      <c r="B2402" s="176"/>
      <c r="C2402" s="176"/>
      <c r="D2402" s="176"/>
      <c r="E2402" s="176"/>
      <c r="F2402" s="176"/>
      <c r="G2402" s="176"/>
      <c r="H2402" s="176"/>
      <c r="I2402" s="176"/>
      <c r="J2402" s="176"/>
      <c r="K2402" s="176"/>
      <c r="L2402" s="176"/>
      <c r="M2402" s="176"/>
      <c r="N2402" s="176"/>
      <c r="O2402" s="176"/>
      <c r="P2402" s="176"/>
      <c r="Q2402" s="176"/>
      <c r="R2402" s="176"/>
      <c r="S2402" s="176"/>
      <c r="T2402" s="176"/>
      <c r="U2402" s="176"/>
      <c r="V2402" s="176"/>
      <c r="W2402" s="176"/>
      <c r="X2402" s="176"/>
      <c r="Y2402" s="176"/>
    </row>
    <row r="2403" spans="1:25">
      <c r="A2403" s="91"/>
      <c r="B2403" s="176"/>
      <c r="C2403" s="176"/>
      <c r="D2403" s="176"/>
      <c r="E2403" s="176"/>
      <c r="F2403" s="176"/>
      <c r="G2403" s="176"/>
      <c r="H2403" s="176"/>
      <c r="I2403" s="176"/>
      <c r="J2403" s="176"/>
      <c r="K2403" s="176"/>
      <c r="L2403" s="176"/>
      <c r="M2403" s="176"/>
      <c r="N2403" s="176"/>
      <c r="O2403" s="176"/>
      <c r="P2403" s="176"/>
      <c r="Q2403" s="176"/>
      <c r="R2403" s="176"/>
      <c r="S2403" s="176"/>
      <c r="T2403" s="176"/>
      <c r="U2403" s="176"/>
      <c r="V2403" s="176"/>
      <c r="W2403" s="176"/>
      <c r="X2403" s="176"/>
      <c r="Y2403" s="176"/>
    </row>
    <row r="2404" spans="1:25">
      <c r="A2404" s="91"/>
      <c r="B2404" s="176"/>
      <c r="C2404" s="176"/>
      <c r="D2404" s="176"/>
      <c r="E2404" s="176"/>
      <c r="F2404" s="176"/>
      <c r="G2404" s="176"/>
      <c r="H2404" s="176"/>
      <c r="I2404" s="176"/>
      <c r="J2404" s="176"/>
      <c r="K2404" s="176"/>
      <c r="L2404" s="176"/>
      <c r="M2404" s="176"/>
      <c r="N2404" s="176"/>
      <c r="O2404" s="176"/>
      <c r="P2404" s="176"/>
      <c r="Q2404" s="176"/>
      <c r="R2404" s="176"/>
      <c r="S2404" s="176"/>
      <c r="T2404" s="176"/>
      <c r="U2404" s="176"/>
      <c r="V2404" s="176"/>
      <c r="W2404" s="176"/>
      <c r="X2404" s="176"/>
      <c r="Y2404" s="176"/>
    </row>
    <row r="2405" spans="1:25">
      <c r="A2405" s="91"/>
      <c r="B2405" s="176"/>
      <c r="C2405" s="176"/>
      <c r="D2405" s="176"/>
      <c r="E2405" s="176"/>
      <c r="F2405" s="176"/>
      <c r="G2405" s="176"/>
      <c r="H2405" s="176"/>
      <c r="I2405" s="176"/>
      <c r="J2405" s="176"/>
      <c r="K2405" s="176"/>
      <c r="L2405" s="176"/>
      <c r="M2405" s="176"/>
      <c r="N2405" s="176"/>
      <c r="O2405" s="176"/>
      <c r="P2405" s="176"/>
      <c r="Q2405" s="176"/>
      <c r="R2405" s="176"/>
      <c r="S2405" s="176"/>
      <c r="T2405" s="176"/>
      <c r="U2405" s="176"/>
      <c r="V2405" s="176"/>
      <c r="W2405" s="176"/>
      <c r="X2405" s="176"/>
      <c r="Y2405" s="176"/>
    </row>
    <row r="2406" spans="1:25">
      <c r="A2406" s="91"/>
      <c r="B2406" s="176"/>
      <c r="C2406" s="176"/>
      <c r="D2406" s="176"/>
      <c r="E2406" s="176"/>
      <c r="F2406" s="176"/>
      <c r="G2406" s="176"/>
      <c r="H2406" s="176"/>
      <c r="I2406" s="176"/>
      <c r="J2406" s="176"/>
      <c r="K2406" s="176"/>
      <c r="L2406" s="176"/>
      <c r="M2406" s="176"/>
      <c r="N2406" s="176"/>
      <c r="O2406" s="176"/>
      <c r="P2406" s="176"/>
      <c r="Q2406" s="176"/>
      <c r="R2406" s="176"/>
      <c r="S2406" s="176"/>
      <c r="T2406" s="176"/>
      <c r="U2406" s="176"/>
      <c r="V2406" s="176"/>
      <c r="W2406" s="176"/>
      <c r="X2406" s="176"/>
      <c r="Y2406" s="176"/>
    </row>
    <row r="2407" spans="1:25">
      <c r="A2407" s="91"/>
      <c r="B2407" s="176"/>
      <c r="C2407" s="176"/>
      <c r="D2407" s="176"/>
      <c r="E2407" s="176"/>
      <c r="F2407" s="176"/>
      <c r="G2407" s="176"/>
      <c r="H2407" s="176"/>
      <c r="I2407" s="176"/>
      <c r="J2407" s="176"/>
      <c r="K2407" s="176"/>
      <c r="L2407" s="176"/>
      <c r="M2407" s="176"/>
      <c r="N2407" s="176"/>
      <c r="O2407" s="176"/>
      <c r="P2407" s="176"/>
      <c r="Q2407" s="176"/>
      <c r="R2407" s="176"/>
      <c r="S2407" s="176"/>
      <c r="T2407" s="176"/>
      <c r="U2407" s="176"/>
      <c r="V2407" s="176"/>
      <c r="W2407" s="176"/>
      <c r="X2407" s="176"/>
      <c r="Y2407" s="176"/>
    </row>
    <row r="2408" spans="1:25">
      <c r="A2408" s="91"/>
      <c r="B2408" s="176"/>
      <c r="C2408" s="176"/>
      <c r="D2408" s="176"/>
      <c r="E2408" s="176"/>
      <c r="F2408" s="176"/>
      <c r="G2408" s="176"/>
      <c r="H2408" s="176"/>
      <c r="I2408" s="176"/>
      <c r="J2408" s="176"/>
      <c r="K2408" s="176"/>
      <c r="L2408" s="176"/>
      <c r="M2408" s="176"/>
      <c r="N2408" s="176"/>
      <c r="O2408" s="176"/>
      <c r="P2408" s="176"/>
      <c r="Q2408" s="176"/>
      <c r="R2408" s="176"/>
      <c r="S2408" s="176"/>
      <c r="T2408" s="176"/>
      <c r="U2408" s="176"/>
      <c r="V2408" s="176"/>
      <c r="W2408" s="176"/>
      <c r="X2408" s="176"/>
      <c r="Y2408" s="176"/>
    </row>
    <row r="2409" spans="1:25">
      <c r="A2409" s="91"/>
      <c r="B2409" s="176"/>
      <c r="C2409" s="176"/>
      <c r="D2409" s="176"/>
      <c r="E2409" s="176"/>
      <c r="F2409" s="176"/>
      <c r="G2409" s="176"/>
      <c r="H2409" s="176"/>
      <c r="I2409" s="176"/>
      <c r="J2409" s="176"/>
      <c r="K2409" s="176"/>
      <c r="L2409" s="176"/>
      <c r="M2409" s="176"/>
      <c r="N2409" s="176"/>
      <c r="O2409" s="176"/>
      <c r="P2409" s="176"/>
      <c r="Q2409" s="176"/>
      <c r="R2409" s="176"/>
      <c r="S2409" s="176"/>
      <c r="T2409" s="176"/>
      <c r="U2409" s="176"/>
      <c r="V2409" s="176"/>
      <c r="W2409" s="176"/>
      <c r="X2409" s="176"/>
      <c r="Y2409" s="176"/>
    </row>
    <row r="2410" spans="1:25">
      <c r="A2410" s="91"/>
      <c r="B2410" s="176"/>
      <c r="C2410" s="176"/>
      <c r="D2410" s="176"/>
      <c r="E2410" s="176"/>
      <c r="F2410" s="176"/>
      <c r="G2410" s="176"/>
      <c r="H2410" s="176"/>
      <c r="I2410" s="176"/>
      <c r="J2410" s="176"/>
      <c r="K2410" s="176"/>
      <c r="L2410" s="176"/>
      <c r="M2410" s="176"/>
      <c r="N2410" s="176"/>
      <c r="O2410" s="176"/>
      <c r="P2410" s="176"/>
      <c r="Q2410" s="176"/>
      <c r="R2410" s="176"/>
      <c r="S2410" s="176"/>
      <c r="T2410" s="176"/>
      <c r="U2410" s="176"/>
      <c r="V2410" s="176"/>
      <c r="W2410" s="176"/>
      <c r="X2410" s="176"/>
      <c r="Y2410" s="176"/>
    </row>
    <row r="2411" spans="1:25">
      <c r="A2411" s="91"/>
      <c r="B2411" s="176"/>
      <c r="C2411" s="176"/>
      <c r="D2411" s="176"/>
      <c r="E2411" s="176"/>
      <c r="F2411" s="176"/>
      <c r="G2411" s="176"/>
      <c r="H2411" s="176"/>
      <c r="I2411" s="176"/>
      <c r="J2411" s="176"/>
      <c r="K2411" s="176"/>
      <c r="L2411" s="176"/>
      <c r="M2411" s="176"/>
      <c r="N2411" s="176"/>
      <c r="O2411" s="176"/>
      <c r="P2411" s="176"/>
      <c r="Q2411" s="176"/>
      <c r="R2411" s="176"/>
      <c r="S2411" s="176"/>
      <c r="T2411" s="176"/>
      <c r="U2411" s="176"/>
      <c r="V2411" s="176"/>
      <c r="W2411" s="176"/>
      <c r="X2411" s="176"/>
      <c r="Y2411" s="176"/>
    </row>
    <row r="2412" spans="1:25">
      <c r="A2412" s="91"/>
      <c r="B2412" s="176"/>
      <c r="C2412" s="176"/>
      <c r="D2412" s="176"/>
      <c r="E2412" s="176"/>
      <c r="F2412" s="176"/>
      <c r="G2412" s="176"/>
      <c r="H2412" s="176"/>
      <c r="I2412" s="176"/>
      <c r="J2412" s="176"/>
      <c r="K2412" s="176"/>
      <c r="L2412" s="176"/>
      <c r="M2412" s="176"/>
      <c r="N2412" s="176"/>
      <c r="O2412" s="176"/>
      <c r="P2412" s="176"/>
      <c r="Q2412" s="176"/>
      <c r="R2412" s="176"/>
      <c r="S2412" s="176"/>
      <c r="T2412" s="176"/>
      <c r="U2412" s="176"/>
      <c r="V2412" s="176"/>
      <c r="W2412" s="176"/>
      <c r="X2412" s="176"/>
      <c r="Y2412" s="176"/>
    </row>
    <row r="2413" spans="1:25">
      <c r="A2413" s="91"/>
      <c r="B2413" s="176"/>
      <c r="C2413" s="176"/>
      <c r="D2413" s="176"/>
      <c r="E2413" s="176"/>
      <c r="F2413" s="176"/>
      <c r="G2413" s="176"/>
      <c r="H2413" s="176"/>
      <c r="I2413" s="176"/>
      <c r="J2413" s="176"/>
      <c r="K2413" s="176"/>
      <c r="L2413" s="176"/>
      <c r="M2413" s="176"/>
      <c r="N2413" s="176"/>
      <c r="O2413" s="176"/>
      <c r="P2413" s="176"/>
      <c r="Q2413" s="176"/>
      <c r="R2413" s="176"/>
      <c r="S2413" s="176"/>
      <c r="T2413" s="176"/>
      <c r="U2413" s="176"/>
      <c r="V2413" s="176"/>
      <c r="W2413" s="176"/>
      <c r="X2413" s="176"/>
      <c r="Y2413" s="176"/>
    </row>
    <row r="2414" spans="1:25">
      <c r="A2414" s="91"/>
      <c r="B2414" s="176"/>
      <c r="C2414" s="176"/>
      <c r="D2414" s="176"/>
      <c r="E2414" s="176"/>
      <c r="F2414" s="176"/>
      <c r="G2414" s="176"/>
      <c r="H2414" s="176"/>
      <c r="I2414" s="176"/>
      <c r="J2414" s="176"/>
      <c r="K2414" s="176"/>
      <c r="L2414" s="176"/>
      <c r="M2414" s="176"/>
      <c r="N2414" s="176"/>
      <c r="O2414" s="176"/>
      <c r="P2414" s="176"/>
      <c r="Q2414" s="176"/>
      <c r="R2414" s="176"/>
      <c r="S2414" s="176"/>
      <c r="T2414" s="176"/>
      <c r="U2414" s="176"/>
      <c r="V2414" s="176"/>
      <c r="W2414" s="176"/>
      <c r="X2414" s="176"/>
      <c r="Y2414" s="176"/>
    </row>
    <row r="2415" spans="1:25">
      <c r="A2415" s="91"/>
      <c r="B2415" s="176"/>
      <c r="C2415" s="176"/>
      <c r="D2415" s="176"/>
      <c r="E2415" s="176"/>
      <c r="F2415" s="176"/>
      <c r="G2415" s="176"/>
      <c r="H2415" s="176"/>
      <c r="I2415" s="176"/>
      <c r="J2415" s="176"/>
      <c r="K2415" s="176"/>
      <c r="L2415" s="176"/>
      <c r="M2415" s="176"/>
      <c r="N2415" s="176"/>
      <c r="O2415" s="176"/>
      <c r="P2415" s="176"/>
      <c r="Q2415" s="176"/>
      <c r="R2415" s="176"/>
      <c r="S2415" s="176"/>
      <c r="T2415" s="176"/>
      <c r="U2415" s="176"/>
      <c r="V2415" s="176"/>
      <c r="W2415" s="176"/>
      <c r="X2415" s="176"/>
      <c r="Y2415" s="176"/>
    </row>
    <row r="2416" spans="1:25">
      <c r="A2416" s="91"/>
      <c r="B2416" s="176"/>
      <c r="C2416" s="176"/>
      <c r="D2416" s="176"/>
      <c r="E2416" s="176"/>
      <c r="F2416" s="176"/>
      <c r="G2416" s="176"/>
      <c r="H2416" s="176"/>
      <c r="I2416" s="176"/>
      <c r="J2416" s="176"/>
      <c r="K2416" s="176"/>
      <c r="L2416" s="176"/>
      <c r="M2416" s="176"/>
      <c r="N2416" s="176"/>
      <c r="O2416" s="176"/>
      <c r="P2416" s="176"/>
      <c r="Q2416" s="176"/>
      <c r="R2416" s="176"/>
      <c r="S2416" s="176"/>
      <c r="T2416" s="176"/>
      <c r="U2416" s="176"/>
      <c r="V2416" s="176"/>
      <c r="W2416" s="176"/>
      <c r="X2416" s="176"/>
      <c r="Y2416" s="176"/>
    </row>
    <row r="2417" spans="1:25">
      <c r="A2417" s="91"/>
      <c r="B2417" s="176"/>
      <c r="C2417" s="176"/>
      <c r="D2417" s="176"/>
      <c r="E2417" s="176"/>
      <c r="F2417" s="176"/>
      <c r="G2417" s="176"/>
      <c r="H2417" s="176"/>
      <c r="I2417" s="176"/>
      <c r="J2417" s="176"/>
      <c r="K2417" s="176"/>
      <c r="L2417" s="176"/>
      <c r="M2417" s="176"/>
      <c r="N2417" s="176"/>
      <c r="O2417" s="176"/>
      <c r="P2417" s="176"/>
      <c r="Q2417" s="176"/>
      <c r="R2417" s="176"/>
      <c r="S2417" s="176"/>
      <c r="T2417" s="176"/>
      <c r="U2417" s="176"/>
      <c r="V2417" s="176"/>
      <c r="W2417" s="176"/>
      <c r="X2417" s="176"/>
      <c r="Y2417" s="176"/>
    </row>
    <row r="2418" spans="1:25">
      <c r="A2418" s="91"/>
      <c r="B2418" s="176"/>
      <c r="C2418" s="176"/>
      <c r="D2418" s="176"/>
      <c r="E2418" s="176"/>
      <c r="F2418" s="176"/>
      <c r="G2418" s="176"/>
      <c r="H2418" s="176"/>
      <c r="I2418" s="176"/>
      <c r="J2418" s="176"/>
      <c r="K2418" s="176"/>
      <c r="L2418" s="176"/>
      <c r="M2418" s="176"/>
      <c r="N2418" s="176"/>
      <c r="O2418" s="176"/>
      <c r="P2418" s="176"/>
      <c r="Q2418" s="176"/>
      <c r="R2418" s="176"/>
      <c r="S2418" s="176"/>
      <c r="T2418" s="176"/>
      <c r="U2418" s="176"/>
      <c r="V2418" s="176"/>
      <c r="W2418" s="176"/>
      <c r="X2418" s="176"/>
      <c r="Y2418" s="176"/>
    </row>
    <row r="2419" spans="1:25">
      <c r="A2419" s="91"/>
      <c r="B2419" s="176"/>
      <c r="C2419" s="176"/>
      <c r="D2419" s="176"/>
      <c r="E2419" s="176"/>
      <c r="F2419" s="176"/>
      <c r="G2419" s="176"/>
      <c r="H2419" s="176"/>
      <c r="I2419" s="176"/>
      <c r="J2419" s="176"/>
      <c r="K2419" s="176"/>
      <c r="L2419" s="176"/>
      <c r="M2419" s="176"/>
      <c r="N2419" s="176"/>
      <c r="O2419" s="176"/>
      <c r="P2419" s="176"/>
      <c r="Q2419" s="176"/>
      <c r="R2419" s="176"/>
      <c r="S2419" s="176"/>
      <c r="T2419" s="176"/>
      <c r="U2419" s="176"/>
      <c r="V2419" s="176"/>
      <c r="W2419" s="176"/>
      <c r="X2419" s="176"/>
      <c r="Y2419" s="176"/>
    </row>
    <row r="2420" spans="1:25">
      <c r="A2420" s="91"/>
      <c r="B2420" s="176"/>
      <c r="C2420" s="176"/>
      <c r="D2420" s="176"/>
      <c r="E2420" s="176"/>
      <c r="F2420" s="176"/>
      <c r="G2420" s="176"/>
      <c r="H2420" s="176"/>
      <c r="I2420" s="176"/>
      <c r="J2420" s="176"/>
      <c r="K2420" s="176"/>
      <c r="L2420" s="176"/>
      <c r="M2420" s="176"/>
      <c r="N2420" s="176"/>
      <c r="O2420" s="176"/>
      <c r="P2420" s="176"/>
      <c r="Q2420" s="176"/>
      <c r="R2420" s="176"/>
      <c r="S2420" s="176"/>
      <c r="T2420" s="176"/>
      <c r="U2420" s="176"/>
      <c r="V2420" s="176"/>
      <c r="W2420" s="176"/>
      <c r="X2420" s="176"/>
      <c r="Y2420" s="176"/>
    </row>
    <row r="2421" spans="1:25">
      <c r="A2421" s="91"/>
      <c r="B2421" s="176"/>
      <c r="C2421" s="176"/>
      <c r="D2421" s="176"/>
      <c r="E2421" s="176"/>
      <c r="F2421" s="176"/>
      <c r="G2421" s="176"/>
      <c r="H2421" s="176"/>
      <c r="I2421" s="176"/>
      <c r="J2421" s="176"/>
      <c r="K2421" s="176"/>
      <c r="L2421" s="176"/>
      <c r="M2421" s="176"/>
      <c r="N2421" s="176"/>
      <c r="O2421" s="176"/>
      <c r="P2421" s="176"/>
      <c r="Q2421" s="176"/>
      <c r="R2421" s="176"/>
      <c r="S2421" s="176"/>
      <c r="T2421" s="176"/>
      <c r="U2421" s="176"/>
      <c r="V2421" s="176"/>
      <c r="W2421" s="176"/>
      <c r="X2421" s="176"/>
      <c r="Y2421" s="176"/>
    </row>
    <row r="2422" spans="1:25">
      <c r="A2422" s="91"/>
      <c r="B2422" s="176"/>
      <c r="C2422" s="176"/>
      <c r="D2422" s="176"/>
      <c r="E2422" s="176"/>
      <c r="F2422" s="176"/>
      <c r="G2422" s="176"/>
      <c r="H2422" s="176"/>
      <c r="I2422" s="176"/>
      <c r="J2422" s="176"/>
      <c r="K2422" s="176"/>
      <c r="L2422" s="176"/>
      <c r="M2422" s="176"/>
      <c r="N2422" s="176"/>
      <c r="O2422" s="176"/>
      <c r="P2422" s="176"/>
      <c r="Q2422" s="176"/>
      <c r="R2422" s="176"/>
      <c r="S2422" s="176"/>
      <c r="T2422" s="176"/>
      <c r="U2422" s="176"/>
      <c r="V2422" s="176"/>
      <c r="W2422" s="176"/>
      <c r="X2422" s="176"/>
      <c r="Y2422" s="176"/>
    </row>
    <row r="2423" spans="1:25">
      <c r="A2423" s="91"/>
      <c r="B2423" s="176"/>
      <c r="C2423" s="176"/>
      <c r="D2423" s="176"/>
      <c r="E2423" s="176"/>
      <c r="F2423" s="176"/>
      <c r="G2423" s="176"/>
      <c r="H2423" s="176"/>
      <c r="I2423" s="176"/>
      <c r="J2423" s="176"/>
      <c r="K2423" s="176"/>
      <c r="L2423" s="176"/>
      <c r="M2423" s="176"/>
      <c r="N2423" s="176"/>
      <c r="O2423" s="176"/>
      <c r="P2423" s="176"/>
      <c r="Q2423" s="176"/>
      <c r="R2423" s="176"/>
      <c r="S2423" s="176"/>
      <c r="T2423" s="176"/>
      <c r="U2423" s="176"/>
      <c r="V2423" s="176"/>
      <c r="W2423" s="176"/>
      <c r="X2423" s="176"/>
      <c r="Y2423" s="176"/>
    </row>
    <row r="2424" spans="1:25">
      <c r="A2424" s="91"/>
      <c r="B2424" s="176"/>
      <c r="C2424" s="176"/>
      <c r="D2424" s="176"/>
      <c r="E2424" s="176"/>
      <c r="F2424" s="176"/>
      <c r="G2424" s="176"/>
      <c r="H2424" s="176"/>
      <c r="I2424" s="176"/>
      <c r="J2424" s="176"/>
      <c r="K2424" s="176"/>
      <c r="L2424" s="176"/>
      <c r="M2424" s="176"/>
      <c r="N2424" s="176"/>
      <c r="O2424" s="176"/>
      <c r="P2424" s="176"/>
      <c r="Q2424" s="176"/>
      <c r="R2424" s="176"/>
      <c r="S2424" s="176"/>
      <c r="T2424" s="176"/>
      <c r="U2424" s="176"/>
      <c r="V2424" s="176"/>
      <c r="W2424" s="176"/>
      <c r="X2424" s="176"/>
      <c r="Y2424" s="176"/>
    </row>
    <row r="2425" spans="1:25">
      <c r="A2425" s="91"/>
      <c r="B2425" s="176"/>
      <c r="C2425" s="176"/>
      <c r="D2425" s="176"/>
      <c r="E2425" s="176"/>
      <c r="F2425" s="176"/>
      <c r="G2425" s="176"/>
      <c r="H2425" s="176"/>
      <c r="I2425" s="176"/>
      <c r="J2425" s="176"/>
      <c r="K2425" s="176"/>
      <c r="L2425" s="176"/>
      <c r="M2425" s="176"/>
      <c r="N2425" s="176"/>
      <c r="O2425" s="176"/>
      <c r="P2425" s="176"/>
      <c r="Q2425" s="176"/>
      <c r="R2425" s="176"/>
      <c r="S2425" s="176"/>
      <c r="T2425" s="176"/>
      <c r="U2425" s="176"/>
      <c r="V2425" s="176"/>
      <c r="W2425" s="176"/>
      <c r="X2425" s="176"/>
      <c r="Y2425" s="176"/>
    </row>
    <row r="2426" spans="1:25">
      <c r="A2426" s="91"/>
      <c r="B2426" s="176"/>
      <c r="C2426" s="176"/>
      <c r="D2426" s="176"/>
      <c r="E2426" s="176"/>
      <c r="F2426" s="176"/>
      <c r="G2426" s="176"/>
      <c r="H2426" s="176"/>
      <c r="I2426" s="176"/>
      <c r="J2426" s="176"/>
      <c r="K2426" s="176"/>
      <c r="L2426" s="176"/>
      <c r="M2426" s="176"/>
      <c r="N2426" s="176"/>
      <c r="O2426" s="176"/>
      <c r="P2426" s="176"/>
      <c r="Q2426" s="176"/>
      <c r="R2426" s="176"/>
      <c r="S2426" s="176"/>
      <c r="T2426" s="176"/>
      <c r="U2426" s="176"/>
      <c r="V2426" s="176"/>
      <c r="W2426" s="176"/>
      <c r="X2426" s="176"/>
      <c r="Y2426" s="176"/>
    </row>
    <row r="2427" spans="1:25">
      <c r="A2427" s="91"/>
      <c r="B2427" s="176"/>
      <c r="C2427" s="176"/>
      <c r="D2427" s="176"/>
      <c r="E2427" s="176"/>
      <c r="F2427" s="176"/>
      <c r="G2427" s="176"/>
      <c r="H2427" s="176"/>
      <c r="I2427" s="176"/>
      <c r="J2427" s="176"/>
      <c r="K2427" s="176"/>
      <c r="L2427" s="176"/>
      <c r="M2427" s="176"/>
      <c r="N2427" s="176"/>
      <c r="O2427" s="176"/>
      <c r="P2427" s="176"/>
      <c r="Q2427" s="176"/>
      <c r="R2427" s="176"/>
      <c r="S2427" s="176"/>
      <c r="T2427" s="176"/>
      <c r="U2427" s="176"/>
      <c r="V2427" s="176"/>
      <c r="W2427" s="176"/>
      <c r="X2427" s="176"/>
      <c r="Y2427" s="176"/>
    </row>
    <row r="2428" spans="1:25">
      <c r="A2428" s="91"/>
      <c r="B2428" s="176"/>
      <c r="C2428" s="176"/>
      <c r="D2428" s="176"/>
      <c r="E2428" s="176"/>
      <c r="F2428" s="176"/>
      <c r="G2428" s="176"/>
      <c r="H2428" s="176"/>
      <c r="I2428" s="176"/>
      <c r="J2428" s="176"/>
      <c r="K2428" s="176"/>
      <c r="L2428" s="176"/>
      <c r="M2428" s="176"/>
      <c r="N2428" s="176"/>
      <c r="O2428" s="176"/>
      <c r="P2428" s="176"/>
      <c r="Q2428" s="176"/>
      <c r="R2428" s="176"/>
      <c r="S2428" s="176"/>
      <c r="T2428" s="176"/>
      <c r="U2428" s="176"/>
      <c r="V2428" s="176"/>
      <c r="W2428" s="176"/>
      <c r="X2428" s="176"/>
      <c r="Y2428" s="176"/>
    </row>
    <row r="2429" spans="1:25">
      <c r="A2429" s="91"/>
      <c r="B2429" s="176"/>
      <c r="C2429" s="176"/>
      <c r="D2429" s="176"/>
      <c r="E2429" s="176"/>
      <c r="F2429" s="176"/>
      <c r="G2429" s="176"/>
      <c r="H2429" s="176"/>
      <c r="I2429" s="176"/>
      <c r="J2429" s="176"/>
      <c r="K2429" s="176"/>
      <c r="L2429" s="176"/>
      <c r="M2429" s="176"/>
      <c r="N2429" s="176"/>
      <c r="O2429" s="176"/>
      <c r="P2429" s="176"/>
      <c r="Q2429" s="176"/>
      <c r="R2429" s="176"/>
      <c r="S2429" s="176"/>
      <c r="T2429" s="176"/>
      <c r="U2429" s="176"/>
      <c r="V2429" s="176"/>
      <c r="W2429" s="176"/>
      <c r="X2429" s="176"/>
      <c r="Y2429" s="176"/>
    </row>
    <row r="2430" spans="1:25">
      <c r="A2430" s="91"/>
      <c r="B2430" s="176"/>
      <c r="C2430" s="176"/>
      <c r="D2430" s="176"/>
      <c r="E2430" s="176"/>
      <c r="F2430" s="176"/>
      <c r="G2430" s="176"/>
      <c r="H2430" s="176"/>
      <c r="I2430" s="176"/>
      <c r="J2430" s="176"/>
      <c r="K2430" s="176"/>
      <c r="L2430" s="176"/>
      <c r="M2430" s="176"/>
      <c r="N2430" s="176"/>
      <c r="O2430" s="176"/>
      <c r="P2430" s="176"/>
      <c r="Q2430" s="176"/>
      <c r="R2430" s="176"/>
      <c r="S2430" s="176"/>
      <c r="T2430" s="176"/>
      <c r="U2430" s="176"/>
      <c r="V2430" s="176"/>
      <c r="W2430" s="176"/>
      <c r="X2430" s="176"/>
      <c r="Y2430" s="176"/>
    </row>
    <row r="2431" spans="1:25">
      <c r="A2431" s="91"/>
      <c r="B2431" s="176"/>
      <c r="C2431" s="176"/>
      <c r="D2431" s="176"/>
      <c r="E2431" s="176"/>
      <c r="F2431" s="176"/>
      <c r="G2431" s="176"/>
      <c r="H2431" s="176"/>
      <c r="I2431" s="176"/>
      <c r="J2431" s="176"/>
      <c r="K2431" s="176"/>
      <c r="L2431" s="176"/>
      <c r="M2431" s="176"/>
      <c r="N2431" s="176"/>
      <c r="O2431" s="176"/>
      <c r="P2431" s="176"/>
      <c r="Q2431" s="176"/>
      <c r="R2431" s="176"/>
      <c r="S2431" s="176"/>
      <c r="T2431" s="176"/>
      <c r="U2431" s="176"/>
      <c r="V2431" s="176"/>
      <c r="W2431" s="176"/>
      <c r="X2431" s="176"/>
      <c r="Y2431" s="176"/>
    </row>
    <row r="2432" spans="1:25">
      <c r="A2432" s="91"/>
      <c r="B2432" s="176"/>
      <c r="C2432" s="176"/>
      <c r="D2432" s="176"/>
      <c r="E2432" s="176"/>
      <c r="F2432" s="176"/>
      <c r="G2432" s="176"/>
      <c r="H2432" s="176"/>
      <c r="I2432" s="176"/>
      <c r="J2432" s="176"/>
      <c r="K2432" s="176"/>
      <c r="L2432" s="176"/>
      <c r="M2432" s="176"/>
      <c r="N2432" s="176"/>
      <c r="O2432" s="176"/>
      <c r="P2432" s="176"/>
      <c r="Q2432" s="176"/>
      <c r="R2432" s="176"/>
      <c r="S2432" s="176"/>
      <c r="T2432" s="176"/>
      <c r="U2432" s="176"/>
      <c r="V2432" s="176"/>
      <c r="W2432" s="176"/>
      <c r="X2432" s="176"/>
      <c r="Y2432" s="176"/>
    </row>
    <row r="2433" spans="1:25">
      <c r="A2433" s="91"/>
      <c r="B2433" s="176"/>
      <c r="C2433" s="176"/>
      <c r="D2433" s="176"/>
      <c r="E2433" s="176"/>
      <c r="F2433" s="176"/>
      <c r="G2433" s="176"/>
      <c r="H2433" s="176"/>
      <c r="I2433" s="176"/>
      <c r="J2433" s="176"/>
      <c r="K2433" s="176"/>
      <c r="L2433" s="176"/>
      <c r="M2433" s="176"/>
      <c r="N2433" s="176"/>
      <c r="O2433" s="176"/>
      <c r="P2433" s="176"/>
      <c r="Q2433" s="176"/>
      <c r="R2433" s="176"/>
      <c r="S2433" s="176"/>
      <c r="T2433" s="176"/>
      <c r="U2433" s="176"/>
      <c r="V2433" s="176"/>
      <c r="W2433" s="176"/>
      <c r="X2433" s="176"/>
      <c r="Y2433" s="176"/>
    </row>
    <row r="2434" spans="1:25">
      <c r="A2434" s="91"/>
      <c r="B2434" s="176"/>
      <c r="C2434" s="176"/>
      <c r="D2434" s="176"/>
      <c r="E2434" s="176"/>
      <c r="F2434" s="176"/>
      <c r="G2434" s="176"/>
      <c r="H2434" s="176"/>
      <c r="I2434" s="176"/>
      <c r="J2434" s="176"/>
      <c r="K2434" s="176"/>
      <c r="L2434" s="176"/>
      <c r="M2434" s="176"/>
      <c r="N2434" s="176"/>
      <c r="O2434" s="176"/>
      <c r="P2434" s="176"/>
      <c r="Q2434" s="176"/>
      <c r="R2434" s="176"/>
      <c r="S2434" s="176"/>
      <c r="T2434" s="176"/>
      <c r="U2434" s="176"/>
      <c r="V2434" s="176"/>
      <c r="W2434" s="176"/>
      <c r="X2434" s="176"/>
      <c r="Y2434" s="176"/>
    </row>
    <row r="2435" spans="1:25">
      <c r="A2435" s="91"/>
      <c r="B2435" s="176"/>
      <c r="C2435" s="176"/>
      <c r="D2435" s="176"/>
      <c r="E2435" s="176"/>
      <c r="F2435" s="176"/>
      <c r="G2435" s="176"/>
      <c r="H2435" s="176"/>
      <c r="I2435" s="176"/>
      <c r="J2435" s="176"/>
      <c r="K2435" s="176"/>
      <c r="L2435" s="176"/>
      <c r="M2435" s="176"/>
      <c r="N2435" s="176"/>
      <c r="O2435" s="176"/>
      <c r="P2435" s="176"/>
      <c r="Q2435" s="176"/>
      <c r="R2435" s="176"/>
      <c r="S2435" s="176"/>
      <c r="T2435" s="176"/>
      <c r="U2435" s="176"/>
      <c r="V2435" s="176"/>
      <c r="W2435" s="176"/>
      <c r="X2435" s="176"/>
      <c r="Y2435" s="176"/>
    </row>
    <row r="2436" spans="1:25">
      <c r="A2436" s="91"/>
      <c r="B2436" s="176"/>
      <c r="C2436" s="176"/>
      <c r="D2436" s="176"/>
      <c r="E2436" s="176"/>
      <c r="F2436" s="176"/>
      <c r="G2436" s="176"/>
      <c r="H2436" s="176"/>
      <c r="I2436" s="176"/>
      <c r="J2436" s="176"/>
      <c r="K2436" s="176"/>
      <c r="L2436" s="176"/>
      <c r="M2436" s="176"/>
      <c r="N2436" s="176"/>
      <c r="O2436" s="176"/>
      <c r="P2436" s="176"/>
      <c r="Q2436" s="176"/>
      <c r="R2436" s="176"/>
      <c r="S2436" s="176"/>
      <c r="T2436" s="176"/>
      <c r="U2436" s="176"/>
      <c r="V2436" s="176"/>
      <c r="W2436" s="176"/>
      <c r="X2436" s="176"/>
      <c r="Y2436" s="176"/>
    </row>
    <row r="2437" spans="1:25">
      <c r="A2437" s="91"/>
      <c r="B2437" s="176"/>
      <c r="C2437" s="176"/>
      <c r="D2437" s="176"/>
      <c r="E2437" s="176"/>
      <c r="F2437" s="176"/>
      <c r="G2437" s="176"/>
      <c r="H2437" s="176"/>
      <c r="I2437" s="176"/>
      <c r="J2437" s="176"/>
      <c r="K2437" s="176"/>
      <c r="L2437" s="176"/>
      <c r="M2437" s="176"/>
      <c r="N2437" s="176"/>
      <c r="O2437" s="176"/>
      <c r="P2437" s="176"/>
      <c r="Q2437" s="176"/>
      <c r="R2437" s="176"/>
      <c r="S2437" s="176"/>
      <c r="T2437" s="176"/>
      <c r="U2437" s="176"/>
      <c r="V2437" s="176"/>
      <c r="W2437" s="176"/>
      <c r="X2437" s="176"/>
      <c r="Y2437" s="176"/>
    </row>
    <row r="2438" spans="1:25">
      <c r="A2438" s="91"/>
      <c r="B2438" s="176"/>
      <c r="C2438" s="176"/>
      <c r="D2438" s="176"/>
      <c r="E2438" s="176"/>
      <c r="F2438" s="176"/>
      <c r="G2438" s="176"/>
      <c r="H2438" s="176"/>
      <c r="I2438" s="176"/>
      <c r="J2438" s="176"/>
      <c r="K2438" s="176"/>
      <c r="L2438" s="176"/>
      <c r="M2438" s="176"/>
      <c r="N2438" s="176"/>
      <c r="O2438" s="176"/>
      <c r="P2438" s="176"/>
      <c r="Q2438" s="176"/>
      <c r="R2438" s="176"/>
      <c r="S2438" s="176"/>
      <c r="T2438" s="176"/>
      <c r="U2438" s="176"/>
      <c r="V2438" s="176"/>
      <c r="W2438" s="176"/>
      <c r="X2438" s="176"/>
      <c r="Y2438" s="176"/>
    </row>
    <row r="2439" spans="1:25">
      <c r="A2439" s="91"/>
      <c r="B2439" s="176"/>
      <c r="C2439" s="176"/>
      <c r="D2439" s="176"/>
      <c r="E2439" s="176"/>
      <c r="F2439" s="176"/>
      <c r="G2439" s="176"/>
      <c r="H2439" s="176"/>
      <c r="I2439" s="176"/>
      <c r="J2439" s="176"/>
      <c r="K2439" s="176"/>
      <c r="L2439" s="176"/>
      <c r="M2439" s="176"/>
      <c r="N2439" s="176"/>
      <c r="O2439" s="176"/>
      <c r="P2439" s="176"/>
      <c r="Q2439" s="176"/>
      <c r="R2439" s="176"/>
      <c r="S2439" s="176"/>
      <c r="T2439" s="176"/>
      <c r="U2439" s="176"/>
      <c r="V2439" s="176"/>
      <c r="W2439" s="176"/>
      <c r="X2439" s="176"/>
      <c r="Y2439" s="176"/>
    </row>
    <row r="2440" spans="1:25">
      <c r="A2440" s="91"/>
      <c r="B2440" s="176"/>
      <c r="C2440" s="176"/>
      <c r="D2440" s="176"/>
      <c r="E2440" s="176"/>
      <c r="F2440" s="176"/>
      <c r="G2440" s="176"/>
      <c r="H2440" s="176"/>
      <c r="I2440" s="176"/>
      <c r="J2440" s="176"/>
      <c r="K2440" s="176"/>
      <c r="L2440" s="176"/>
      <c r="M2440" s="176"/>
      <c r="N2440" s="176"/>
      <c r="O2440" s="176"/>
      <c r="P2440" s="176"/>
      <c r="Q2440" s="176"/>
      <c r="R2440" s="176"/>
      <c r="S2440" s="176"/>
      <c r="T2440" s="176"/>
      <c r="U2440" s="176"/>
      <c r="V2440" s="176"/>
      <c r="W2440" s="176"/>
      <c r="X2440" s="176"/>
      <c r="Y2440" s="176"/>
    </row>
    <row r="2441" spans="1:25">
      <c r="A2441" s="91"/>
      <c r="B2441" s="176"/>
      <c r="C2441" s="176"/>
      <c r="D2441" s="176"/>
      <c r="E2441" s="176"/>
      <c r="F2441" s="176"/>
      <c r="G2441" s="176"/>
      <c r="H2441" s="176"/>
      <c r="I2441" s="176"/>
      <c r="J2441" s="176"/>
      <c r="K2441" s="176"/>
      <c r="L2441" s="176"/>
      <c r="M2441" s="176"/>
      <c r="N2441" s="176"/>
      <c r="O2441" s="176"/>
      <c r="P2441" s="176"/>
      <c r="Q2441" s="176"/>
      <c r="R2441" s="176"/>
      <c r="S2441" s="176"/>
      <c r="T2441" s="176"/>
      <c r="U2441" s="176"/>
      <c r="V2441" s="176"/>
      <c r="W2441" s="176"/>
      <c r="X2441" s="176"/>
      <c r="Y2441" s="176"/>
    </row>
    <row r="2442" spans="1:25">
      <c r="A2442" s="91"/>
      <c r="B2442" s="176"/>
      <c r="C2442" s="176"/>
      <c r="D2442" s="176"/>
      <c r="E2442" s="176"/>
      <c r="F2442" s="176"/>
      <c r="G2442" s="176"/>
      <c r="H2442" s="176"/>
      <c r="I2442" s="176"/>
      <c r="J2442" s="176"/>
      <c r="K2442" s="176"/>
      <c r="L2442" s="176"/>
      <c r="M2442" s="176"/>
      <c r="N2442" s="176"/>
      <c r="O2442" s="176"/>
      <c r="P2442" s="176"/>
      <c r="Q2442" s="176"/>
      <c r="R2442" s="176"/>
      <c r="S2442" s="176"/>
      <c r="T2442" s="176"/>
      <c r="U2442" s="176"/>
      <c r="V2442" s="176"/>
      <c r="W2442" s="176"/>
      <c r="X2442" s="176"/>
      <c r="Y2442" s="176"/>
    </row>
    <row r="2443" spans="1:25">
      <c r="A2443" s="91"/>
      <c r="B2443" s="176"/>
      <c r="C2443" s="176"/>
      <c r="D2443" s="176"/>
      <c r="E2443" s="176"/>
      <c r="F2443" s="176"/>
      <c r="G2443" s="176"/>
      <c r="H2443" s="176"/>
      <c r="I2443" s="176"/>
      <c r="J2443" s="176"/>
      <c r="K2443" s="176"/>
      <c r="L2443" s="176"/>
      <c r="M2443" s="176"/>
      <c r="N2443" s="176"/>
      <c r="O2443" s="176"/>
      <c r="P2443" s="176"/>
      <c r="Q2443" s="176"/>
      <c r="R2443" s="176"/>
      <c r="S2443" s="176"/>
      <c r="T2443" s="176"/>
      <c r="U2443" s="176"/>
      <c r="V2443" s="176"/>
      <c r="W2443" s="176"/>
      <c r="X2443" s="176"/>
      <c r="Y2443" s="176"/>
    </row>
    <row r="2444" spans="1:25">
      <c r="A2444" s="91"/>
      <c r="B2444" s="176"/>
      <c r="C2444" s="176"/>
      <c r="D2444" s="176"/>
      <c r="E2444" s="176"/>
      <c r="F2444" s="176"/>
      <c r="G2444" s="176"/>
      <c r="H2444" s="176"/>
      <c r="I2444" s="176"/>
      <c r="J2444" s="176"/>
      <c r="K2444" s="176"/>
      <c r="L2444" s="176"/>
      <c r="M2444" s="176"/>
      <c r="N2444" s="176"/>
      <c r="O2444" s="176"/>
      <c r="P2444" s="176"/>
      <c r="Q2444" s="176"/>
      <c r="R2444" s="176"/>
      <c r="S2444" s="176"/>
      <c r="T2444" s="176"/>
      <c r="U2444" s="176"/>
      <c r="V2444" s="176"/>
      <c r="W2444" s="176"/>
      <c r="X2444" s="176"/>
      <c r="Y2444" s="176"/>
    </row>
    <row r="2445" spans="1:25">
      <c r="A2445" s="91"/>
      <c r="B2445" s="176"/>
      <c r="C2445" s="176"/>
      <c r="D2445" s="176"/>
      <c r="E2445" s="176"/>
      <c r="F2445" s="176"/>
      <c r="G2445" s="176"/>
      <c r="H2445" s="176"/>
      <c r="I2445" s="176"/>
      <c r="J2445" s="176"/>
      <c r="K2445" s="176"/>
      <c r="L2445" s="176"/>
      <c r="M2445" s="176"/>
      <c r="N2445" s="176"/>
      <c r="O2445" s="176"/>
      <c r="P2445" s="176"/>
      <c r="Q2445" s="176"/>
      <c r="R2445" s="176"/>
      <c r="S2445" s="176"/>
      <c r="T2445" s="176"/>
      <c r="U2445" s="176"/>
      <c r="V2445" s="176"/>
      <c r="W2445" s="176"/>
      <c r="X2445" s="176"/>
      <c r="Y2445" s="176"/>
    </row>
    <row r="2446" spans="1:25">
      <c r="A2446" s="91"/>
      <c r="B2446" s="176"/>
      <c r="C2446" s="176"/>
      <c r="D2446" s="176"/>
      <c r="E2446" s="176"/>
      <c r="F2446" s="176"/>
      <c r="G2446" s="176"/>
      <c r="H2446" s="176"/>
      <c r="I2446" s="176"/>
      <c r="J2446" s="176"/>
      <c r="K2446" s="176"/>
      <c r="L2446" s="176"/>
      <c r="M2446" s="176"/>
      <c r="N2446" s="176"/>
      <c r="O2446" s="176"/>
      <c r="P2446" s="176"/>
      <c r="Q2446" s="176"/>
      <c r="R2446" s="176"/>
      <c r="S2446" s="176"/>
      <c r="T2446" s="176"/>
      <c r="U2446" s="176"/>
      <c r="V2446" s="176"/>
      <c r="W2446" s="176"/>
      <c r="X2446" s="176"/>
      <c r="Y2446" s="176"/>
    </row>
    <row r="2447" spans="1:25">
      <c r="A2447" s="91"/>
      <c r="B2447" s="176"/>
      <c r="C2447" s="176"/>
      <c r="D2447" s="176"/>
      <c r="E2447" s="176"/>
      <c r="F2447" s="176"/>
      <c r="G2447" s="176"/>
      <c r="H2447" s="176"/>
      <c r="I2447" s="176"/>
      <c r="J2447" s="176"/>
      <c r="K2447" s="176"/>
      <c r="L2447" s="176"/>
      <c r="M2447" s="176"/>
      <c r="N2447" s="176"/>
      <c r="O2447" s="176"/>
      <c r="P2447" s="176"/>
      <c r="Q2447" s="176"/>
      <c r="R2447" s="176"/>
      <c r="S2447" s="176"/>
      <c r="T2447" s="176"/>
      <c r="U2447" s="176"/>
      <c r="V2447" s="176"/>
      <c r="W2447" s="176"/>
      <c r="X2447" s="176"/>
      <c r="Y2447" s="176"/>
    </row>
    <row r="2448" spans="1:25">
      <c r="A2448" s="91"/>
      <c r="B2448" s="176"/>
      <c r="C2448" s="176"/>
      <c r="D2448" s="176"/>
      <c r="E2448" s="176"/>
      <c r="F2448" s="176"/>
      <c r="G2448" s="176"/>
      <c r="H2448" s="176"/>
      <c r="I2448" s="176"/>
      <c r="J2448" s="176"/>
      <c r="K2448" s="176"/>
      <c r="L2448" s="176"/>
      <c r="M2448" s="176"/>
      <c r="N2448" s="176"/>
      <c r="O2448" s="176"/>
      <c r="P2448" s="176"/>
      <c r="Q2448" s="176"/>
      <c r="R2448" s="176"/>
      <c r="S2448" s="176"/>
      <c r="T2448" s="176"/>
      <c r="U2448" s="176"/>
      <c r="V2448" s="176"/>
      <c r="W2448" s="176"/>
      <c r="X2448" s="176"/>
      <c r="Y2448" s="176"/>
    </row>
    <row r="2449" spans="1:25">
      <c r="A2449" s="91"/>
      <c r="B2449" s="176"/>
      <c r="C2449" s="176"/>
      <c r="D2449" s="176"/>
      <c r="E2449" s="176"/>
      <c r="F2449" s="176"/>
      <c r="G2449" s="176"/>
      <c r="H2449" s="176"/>
      <c r="I2449" s="176"/>
      <c r="J2449" s="176"/>
      <c r="K2449" s="176"/>
      <c r="L2449" s="176"/>
      <c r="M2449" s="176"/>
      <c r="N2449" s="176"/>
      <c r="O2449" s="176"/>
      <c r="P2449" s="176"/>
      <c r="Q2449" s="176"/>
      <c r="R2449" s="176"/>
      <c r="S2449" s="176"/>
      <c r="T2449" s="176"/>
      <c r="U2449" s="176"/>
      <c r="V2449" s="176"/>
      <c r="W2449" s="176"/>
      <c r="X2449" s="176"/>
      <c r="Y2449" s="176"/>
    </row>
    <row r="2450" spans="1:25">
      <c r="A2450" s="91"/>
      <c r="B2450" s="176"/>
      <c r="C2450" s="176"/>
      <c r="D2450" s="176"/>
      <c r="E2450" s="176"/>
      <c r="F2450" s="176"/>
      <c r="G2450" s="176"/>
      <c r="H2450" s="176"/>
      <c r="I2450" s="176"/>
      <c r="J2450" s="176"/>
      <c r="K2450" s="176"/>
      <c r="L2450" s="176"/>
      <c r="M2450" s="176"/>
      <c r="N2450" s="176"/>
      <c r="O2450" s="176"/>
      <c r="P2450" s="176"/>
      <c r="Q2450" s="176"/>
      <c r="R2450" s="176"/>
      <c r="S2450" s="176"/>
      <c r="T2450" s="176"/>
      <c r="U2450" s="176"/>
      <c r="V2450" s="176"/>
      <c r="W2450" s="176"/>
      <c r="X2450" s="176"/>
      <c r="Y2450" s="176"/>
    </row>
    <row r="2451" spans="1:25">
      <c r="A2451" s="91"/>
      <c r="B2451" s="176"/>
      <c r="C2451" s="176"/>
      <c r="D2451" s="176"/>
      <c r="E2451" s="176"/>
      <c r="F2451" s="176"/>
      <c r="G2451" s="176"/>
      <c r="H2451" s="176"/>
      <c r="I2451" s="176"/>
      <c r="J2451" s="176"/>
      <c r="K2451" s="176"/>
      <c r="L2451" s="176"/>
      <c r="M2451" s="176"/>
      <c r="N2451" s="176"/>
      <c r="O2451" s="176"/>
      <c r="P2451" s="176"/>
      <c r="Q2451" s="176"/>
      <c r="R2451" s="176"/>
      <c r="S2451" s="176"/>
      <c r="T2451" s="176"/>
      <c r="U2451" s="176"/>
      <c r="V2451" s="176"/>
      <c r="W2451" s="176"/>
      <c r="X2451" s="176"/>
      <c r="Y2451" s="176"/>
    </row>
    <row r="2452" spans="1:25">
      <c r="A2452" s="91"/>
      <c r="B2452" s="176"/>
      <c r="C2452" s="176"/>
      <c r="D2452" s="176"/>
      <c r="E2452" s="176"/>
      <c r="F2452" s="176"/>
      <c r="G2452" s="176"/>
      <c r="H2452" s="176"/>
      <c r="I2452" s="176"/>
      <c r="J2452" s="176"/>
      <c r="K2452" s="176"/>
      <c r="L2452" s="176"/>
      <c r="M2452" s="176"/>
      <c r="N2452" s="176"/>
      <c r="O2452" s="176"/>
      <c r="P2452" s="176"/>
      <c r="Q2452" s="176"/>
      <c r="R2452" s="176"/>
      <c r="S2452" s="176"/>
      <c r="T2452" s="176"/>
      <c r="U2452" s="176"/>
      <c r="V2452" s="176"/>
      <c r="W2452" s="176"/>
      <c r="X2452" s="176"/>
      <c r="Y2452" s="176"/>
    </row>
    <row r="2453" spans="1:25">
      <c r="A2453" s="91"/>
      <c r="B2453" s="176"/>
      <c r="C2453" s="176"/>
      <c r="D2453" s="176"/>
      <c r="E2453" s="176"/>
      <c r="F2453" s="176"/>
      <c r="G2453" s="176"/>
      <c r="H2453" s="176"/>
      <c r="I2453" s="176"/>
      <c r="J2453" s="176"/>
      <c r="K2453" s="176"/>
      <c r="L2453" s="176"/>
      <c r="M2453" s="176"/>
      <c r="N2453" s="176"/>
      <c r="O2453" s="176"/>
      <c r="P2453" s="176"/>
      <c r="Q2453" s="176"/>
      <c r="R2453" s="176"/>
      <c r="S2453" s="176"/>
      <c r="T2453" s="176"/>
      <c r="U2453" s="176"/>
      <c r="V2453" s="176"/>
      <c r="W2453" s="176"/>
      <c r="X2453" s="176"/>
      <c r="Y2453" s="176"/>
    </row>
    <row r="2454" spans="1:25">
      <c r="A2454" s="91"/>
      <c r="B2454" s="176"/>
      <c r="C2454" s="176"/>
      <c r="D2454" s="176"/>
      <c r="E2454" s="176"/>
      <c r="F2454" s="176"/>
      <c r="G2454" s="176"/>
      <c r="H2454" s="176"/>
      <c r="I2454" s="176"/>
      <c r="J2454" s="176"/>
      <c r="K2454" s="176"/>
      <c r="L2454" s="176"/>
      <c r="M2454" s="176"/>
      <c r="N2454" s="176"/>
      <c r="O2454" s="176"/>
      <c r="P2454" s="176"/>
      <c r="Q2454" s="176"/>
      <c r="R2454" s="176"/>
      <c r="S2454" s="176"/>
      <c r="T2454" s="176"/>
      <c r="U2454" s="176"/>
      <c r="V2454" s="176"/>
      <c r="W2454" s="176"/>
      <c r="X2454" s="176"/>
      <c r="Y2454" s="176"/>
    </row>
    <row r="2455" spans="1:25">
      <c r="A2455" s="91"/>
      <c r="B2455" s="176"/>
      <c r="C2455" s="176"/>
      <c r="D2455" s="176"/>
      <c r="E2455" s="176"/>
      <c r="F2455" s="176"/>
      <c r="G2455" s="176"/>
      <c r="H2455" s="176"/>
      <c r="I2455" s="176"/>
      <c r="J2455" s="176"/>
      <c r="K2455" s="176"/>
      <c r="L2455" s="176"/>
      <c r="M2455" s="176"/>
      <c r="N2455" s="176"/>
      <c r="O2455" s="176"/>
      <c r="P2455" s="176"/>
      <c r="Q2455" s="176"/>
      <c r="R2455" s="176"/>
      <c r="S2455" s="176"/>
      <c r="T2455" s="176"/>
      <c r="U2455" s="176"/>
      <c r="V2455" s="176"/>
      <c r="W2455" s="176"/>
      <c r="X2455" s="176"/>
      <c r="Y2455" s="176"/>
    </row>
    <row r="2456" spans="1:25">
      <c r="A2456" s="91"/>
      <c r="B2456" s="176"/>
      <c r="C2456" s="176"/>
      <c r="D2456" s="176"/>
      <c r="E2456" s="176"/>
      <c r="F2456" s="176"/>
      <c r="G2456" s="176"/>
      <c r="H2456" s="176"/>
      <c r="I2456" s="176"/>
      <c r="J2456" s="176"/>
      <c r="K2456" s="176"/>
      <c r="L2456" s="176"/>
      <c r="M2456" s="176"/>
      <c r="N2456" s="176"/>
      <c r="O2456" s="176"/>
      <c r="P2456" s="176"/>
      <c r="Q2456" s="176"/>
      <c r="R2456" s="176"/>
      <c r="S2456" s="176"/>
      <c r="T2456" s="176"/>
      <c r="U2456" s="176"/>
      <c r="V2456" s="176"/>
      <c r="W2456" s="176"/>
      <c r="X2456" s="176"/>
      <c r="Y2456" s="176"/>
    </row>
    <row r="2457" spans="1:25">
      <c r="A2457" s="91"/>
      <c r="B2457" s="176"/>
      <c r="C2457" s="176"/>
      <c r="D2457" s="176"/>
      <c r="E2457" s="176"/>
      <c r="F2457" s="176"/>
      <c r="G2457" s="176"/>
      <c r="H2457" s="176"/>
      <c r="I2457" s="176"/>
      <c r="J2457" s="176"/>
      <c r="K2457" s="176"/>
      <c r="L2457" s="176"/>
      <c r="M2457" s="176"/>
      <c r="N2457" s="176"/>
      <c r="O2457" s="176"/>
      <c r="P2457" s="176"/>
      <c r="Q2457" s="176"/>
      <c r="R2457" s="176"/>
      <c r="S2457" s="176"/>
      <c r="T2457" s="176"/>
      <c r="U2457" s="176"/>
      <c r="V2457" s="176"/>
      <c r="W2457" s="176"/>
      <c r="X2457" s="176"/>
      <c r="Y2457" s="176"/>
    </row>
    <row r="2458" spans="1:25">
      <c r="A2458" s="91"/>
      <c r="B2458" s="176"/>
      <c r="C2458" s="176"/>
      <c r="D2458" s="176"/>
      <c r="E2458" s="176"/>
      <c r="F2458" s="176"/>
      <c r="G2458" s="176"/>
      <c r="H2458" s="176"/>
      <c r="I2458" s="176"/>
      <c r="J2458" s="176"/>
      <c r="K2458" s="176"/>
      <c r="L2458" s="176"/>
      <c r="M2458" s="176"/>
      <c r="N2458" s="176"/>
      <c r="O2458" s="176"/>
      <c r="P2458" s="176"/>
      <c r="Q2458" s="176"/>
      <c r="R2458" s="176"/>
      <c r="S2458" s="176"/>
      <c r="T2458" s="176"/>
      <c r="U2458" s="176"/>
      <c r="V2458" s="176"/>
      <c r="W2458" s="176"/>
      <c r="X2458" s="176"/>
      <c r="Y2458" s="176"/>
    </row>
    <row r="2459" spans="1:25">
      <c r="A2459" s="91"/>
      <c r="B2459" s="176"/>
      <c r="C2459" s="176"/>
      <c r="D2459" s="176"/>
      <c r="E2459" s="176"/>
      <c r="F2459" s="176"/>
      <c r="G2459" s="176"/>
      <c r="H2459" s="176"/>
      <c r="I2459" s="176"/>
      <c r="J2459" s="176"/>
      <c r="K2459" s="176"/>
      <c r="L2459" s="176"/>
      <c r="M2459" s="176"/>
      <c r="N2459" s="176"/>
      <c r="O2459" s="176"/>
      <c r="P2459" s="176"/>
      <c r="Q2459" s="176"/>
      <c r="R2459" s="176"/>
      <c r="S2459" s="176"/>
      <c r="T2459" s="176"/>
      <c r="U2459" s="176"/>
      <c r="V2459" s="176"/>
      <c r="W2459" s="176"/>
      <c r="X2459" s="176"/>
      <c r="Y2459" s="176"/>
    </row>
    <row r="2460" spans="1:25">
      <c r="A2460" s="91"/>
      <c r="B2460" s="176"/>
      <c r="C2460" s="176"/>
      <c r="D2460" s="176"/>
      <c r="E2460" s="176"/>
      <c r="F2460" s="176"/>
      <c r="G2460" s="176"/>
      <c r="H2460" s="176"/>
      <c r="I2460" s="176"/>
      <c r="J2460" s="176"/>
      <c r="K2460" s="176"/>
      <c r="L2460" s="176"/>
      <c r="M2460" s="176"/>
      <c r="N2460" s="176"/>
      <c r="O2460" s="176"/>
      <c r="P2460" s="176"/>
      <c r="Q2460" s="176"/>
      <c r="R2460" s="176"/>
      <c r="S2460" s="176"/>
      <c r="T2460" s="176"/>
      <c r="U2460" s="176"/>
      <c r="V2460" s="176"/>
      <c r="W2460" s="176"/>
      <c r="X2460" s="176"/>
      <c r="Y2460" s="176"/>
    </row>
    <row r="2461" spans="1:25">
      <c r="A2461" s="91"/>
      <c r="B2461" s="176"/>
      <c r="C2461" s="176"/>
      <c r="D2461" s="176"/>
      <c r="E2461" s="176"/>
      <c r="F2461" s="176"/>
      <c r="G2461" s="176"/>
      <c r="H2461" s="176"/>
      <c r="I2461" s="176"/>
      <c r="J2461" s="176"/>
      <c r="K2461" s="176"/>
      <c r="L2461" s="176"/>
      <c r="M2461" s="176"/>
      <c r="N2461" s="176"/>
      <c r="O2461" s="176"/>
      <c r="P2461" s="176"/>
      <c r="Q2461" s="176"/>
      <c r="R2461" s="176"/>
      <c r="S2461" s="176"/>
      <c r="T2461" s="176"/>
      <c r="U2461" s="176"/>
      <c r="V2461" s="176"/>
      <c r="W2461" s="176"/>
      <c r="X2461" s="176"/>
      <c r="Y2461" s="176"/>
    </row>
    <row r="2462" spans="1:25">
      <c r="A2462" s="91"/>
      <c r="B2462" s="176"/>
      <c r="C2462" s="176"/>
      <c r="D2462" s="176"/>
      <c r="E2462" s="176"/>
      <c r="F2462" s="176"/>
      <c r="G2462" s="176"/>
      <c r="H2462" s="176"/>
      <c r="I2462" s="176"/>
      <c r="J2462" s="176"/>
      <c r="K2462" s="176"/>
      <c r="L2462" s="176"/>
      <c r="M2462" s="176"/>
      <c r="N2462" s="176"/>
      <c r="O2462" s="176"/>
      <c r="P2462" s="176"/>
      <c r="Q2462" s="176"/>
      <c r="R2462" s="176"/>
      <c r="S2462" s="176"/>
      <c r="T2462" s="176"/>
      <c r="U2462" s="176"/>
      <c r="V2462" s="176"/>
      <c r="W2462" s="176"/>
      <c r="X2462" s="176"/>
      <c r="Y2462" s="176"/>
    </row>
    <row r="2463" spans="1:25">
      <c r="A2463" s="91"/>
      <c r="B2463" s="176"/>
      <c r="C2463" s="176"/>
      <c r="D2463" s="176"/>
      <c r="E2463" s="176"/>
      <c r="F2463" s="176"/>
      <c r="G2463" s="176"/>
      <c r="H2463" s="176"/>
      <c r="I2463" s="176"/>
      <c r="J2463" s="176"/>
      <c r="K2463" s="176"/>
      <c r="L2463" s="176"/>
      <c r="M2463" s="176"/>
      <c r="N2463" s="176"/>
      <c r="O2463" s="176"/>
      <c r="P2463" s="176"/>
      <c r="Q2463" s="176"/>
      <c r="R2463" s="176"/>
      <c r="S2463" s="176"/>
      <c r="T2463" s="176"/>
      <c r="U2463" s="176"/>
      <c r="V2463" s="176"/>
      <c r="W2463" s="176"/>
      <c r="X2463" s="176"/>
      <c r="Y2463" s="176"/>
    </row>
    <row r="2464" spans="1:25">
      <c r="A2464" s="91"/>
      <c r="B2464" s="176"/>
      <c r="C2464" s="176"/>
      <c r="D2464" s="176"/>
      <c r="E2464" s="176"/>
      <c r="F2464" s="176"/>
      <c r="G2464" s="176"/>
      <c r="H2464" s="176"/>
      <c r="I2464" s="176"/>
      <c r="J2464" s="176"/>
      <c r="K2464" s="176"/>
      <c r="L2464" s="176"/>
      <c r="M2464" s="176"/>
      <c r="N2464" s="176"/>
      <c r="O2464" s="176"/>
      <c r="P2464" s="176"/>
      <c r="Q2464" s="176"/>
      <c r="R2464" s="176"/>
      <c r="S2464" s="176"/>
      <c r="T2464" s="176"/>
      <c r="U2464" s="176"/>
      <c r="V2464" s="176"/>
      <c r="W2464" s="176"/>
      <c r="X2464" s="176"/>
      <c r="Y2464" s="176"/>
    </row>
    <row r="2465" spans="1:25">
      <c r="A2465" s="91"/>
      <c r="B2465" s="176"/>
      <c r="C2465" s="176"/>
      <c r="D2465" s="176"/>
      <c r="E2465" s="176"/>
      <c r="F2465" s="176"/>
      <c r="G2465" s="176"/>
      <c r="H2465" s="176"/>
      <c r="I2465" s="176"/>
      <c r="J2465" s="176"/>
      <c r="K2465" s="176"/>
      <c r="L2465" s="176"/>
      <c r="M2465" s="176"/>
      <c r="N2465" s="176"/>
      <c r="O2465" s="176"/>
      <c r="P2465" s="176"/>
      <c r="Q2465" s="176"/>
      <c r="R2465" s="176"/>
      <c r="S2465" s="176"/>
      <c r="T2465" s="176"/>
      <c r="U2465" s="176"/>
      <c r="V2465" s="176"/>
      <c r="W2465" s="176"/>
      <c r="X2465" s="176"/>
      <c r="Y2465" s="176"/>
    </row>
    <row r="2466" spans="1:25">
      <c r="A2466" s="91"/>
      <c r="B2466" s="176"/>
      <c r="C2466" s="176"/>
      <c r="D2466" s="176"/>
      <c r="E2466" s="176"/>
      <c r="F2466" s="176"/>
      <c r="G2466" s="176"/>
      <c r="H2466" s="176"/>
      <c r="I2466" s="176"/>
      <c r="J2466" s="176"/>
      <c r="K2466" s="176"/>
      <c r="L2466" s="176"/>
      <c r="M2466" s="176"/>
      <c r="N2466" s="176"/>
      <c r="O2466" s="176"/>
      <c r="P2466" s="176"/>
      <c r="Q2466" s="176"/>
      <c r="R2466" s="176"/>
      <c r="S2466" s="176"/>
      <c r="T2466" s="176"/>
      <c r="U2466" s="176"/>
      <c r="V2466" s="176"/>
      <c r="W2466" s="176"/>
      <c r="X2466" s="176"/>
      <c r="Y2466" s="176"/>
    </row>
    <row r="2467" spans="1:25">
      <c r="A2467" s="91"/>
      <c r="B2467" s="176"/>
      <c r="C2467" s="176"/>
      <c r="D2467" s="176"/>
      <c r="E2467" s="176"/>
      <c r="F2467" s="176"/>
      <c r="G2467" s="176"/>
      <c r="H2467" s="176"/>
      <c r="I2467" s="176"/>
      <c r="J2467" s="176"/>
      <c r="K2467" s="176"/>
      <c r="L2467" s="176"/>
      <c r="M2467" s="176"/>
      <c r="N2467" s="176"/>
      <c r="O2467" s="176"/>
      <c r="P2467" s="176"/>
      <c r="Q2467" s="176"/>
      <c r="R2467" s="176"/>
      <c r="S2467" s="176"/>
      <c r="T2467" s="176"/>
      <c r="U2467" s="176"/>
      <c r="V2467" s="176"/>
      <c r="W2467" s="176"/>
      <c r="X2467" s="176"/>
      <c r="Y2467" s="176"/>
    </row>
    <row r="2468" spans="1:25">
      <c r="A2468" s="91"/>
      <c r="B2468" s="176"/>
      <c r="C2468" s="176"/>
      <c r="D2468" s="176"/>
      <c r="E2468" s="176"/>
      <c r="F2468" s="176"/>
      <c r="G2468" s="176"/>
      <c r="H2468" s="176"/>
      <c r="I2468" s="176"/>
      <c r="J2468" s="176"/>
      <c r="K2468" s="176"/>
      <c r="L2468" s="176"/>
      <c r="M2468" s="176"/>
      <c r="N2468" s="176"/>
      <c r="O2468" s="176"/>
      <c r="P2468" s="176"/>
      <c r="Q2468" s="176"/>
      <c r="R2468" s="176"/>
      <c r="S2468" s="176"/>
      <c r="T2468" s="176"/>
      <c r="U2468" s="176"/>
      <c r="V2468" s="176"/>
      <c r="W2468" s="176"/>
      <c r="X2468" s="176"/>
      <c r="Y2468" s="176"/>
    </row>
    <row r="2469" spans="1:25">
      <c r="A2469" s="91"/>
      <c r="B2469" s="176"/>
      <c r="C2469" s="176"/>
      <c r="D2469" s="176"/>
      <c r="E2469" s="176"/>
      <c r="F2469" s="176"/>
      <c r="G2469" s="176"/>
      <c r="H2469" s="176"/>
      <c r="I2469" s="176"/>
      <c r="J2469" s="176"/>
      <c r="K2469" s="176"/>
      <c r="L2469" s="176"/>
      <c r="M2469" s="176"/>
      <c r="N2469" s="176"/>
      <c r="O2469" s="176"/>
      <c r="P2469" s="176"/>
      <c r="Q2469" s="176"/>
      <c r="R2469" s="176"/>
      <c r="S2469" s="176"/>
      <c r="T2469" s="176"/>
      <c r="U2469" s="176"/>
      <c r="V2469" s="176"/>
      <c r="W2469" s="176"/>
      <c r="X2469" s="176"/>
      <c r="Y2469" s="176"/>
    </row>
    <row r="2470" spans="1:25">
      <c r="A2470" s="91"/>
      <c r="B2470" s="176"/>
      <c r="C2470" s="176"/>
      <c r="D2470" s="176"/>
      <c r="E2470" s="176"/>
      <c r="F2470" s="176"/>
      <c r="G2470" s="176"/>
      <c r="H2470" s="176"/>
      <c r="I2470" s="176"/>
      <c r="J2470" s="176"/>
      <c r="K2470" s="176"/>
      <c r="L2470" s="176"/>
      <c r="M2470" s="176"/>
      <c r="N2470" s="176"/>
      <c r="O2470" s="176"/>
      <c r="P2470" s="176"/>
      <c r="Q2470" s="176"/>
      <c r="R2470" s="176"/>
      <c r="S2470" s="176"/>
      <c r="T2470" s="176"/>
      <c r="U2470" s="176"/>
      <c r="V2470" s="176"/>
      <c r="W2470" s="176"/>
      <c r="X2470" s="176"/>
      <c r="Y2470" s="176"/>
    </row>
    <row r="2471" spans="1:25">
      <c r="A2471" s="91"/>
      <c r="B2471" s="176"/>
      <c r="C2471" s="176"/>
      <c r="D2471" s="176"/>
      <c r="E2471" s="176"/>
      <c r="F2471" s="176"/>
      <c r="G2471" s="176"/>
      <c r="H2471" s="176"/>
      <c r="I2471" s="176"/>
      <c r="J2471" s="176"/>
      <c r="K2471" s="176"/>
      <c r="L2471" s="176"/>
      <c r="M2471" s="176"/>
      <c r="N2471" s="176"/>
      <c r="O2471" s="176"/>
      <c r="P2471" s="176"/>
      <c r="Q2471" s="176"/>
      <c r="R2471" s="176"/>
      <c r="S2471" s="176"/>
      <c r="T2471" s="176"/>
      <c r="U2471" s="176"/>
      <c r="V2471" s="176"/>
      <c r="W2471" s="176"/>
      <c r="X2471" s="176"/>
      <c r="Y2471" s="176"/>
    </row>
    <row r="2472" spans="1:25">
      <c r="A2472" s="91"/>
      <c r="B2472" s="176"/>
      <c r="C2472" s="176"/>
      <c r="D2472" s="176"/>
      <c r="E2472" s="176"/>
      <c r="F2472" s="176"/>
      <c r="G2472" s="176"/>
      <c r="H2472" s="176"/>
      <c r="I2472" s="176"/>
      <c r="J2472" s="176"/>
      <c r="K2472" s="176"/>
      <c r="L2472" s="176"/>
      <c r="M2472" s="176"/>
      <c r="N2472" s="176"/>
      <c r="O2472" s="176"/>
      <c r="P2472" s="176"/>
      <c r="Q2472" s="176"/>
      <c r="R2472" s="176"/>
      <c r="S2472" s="176"/>
      <c r="T2472" s="176"/>
      <c r="U2472" s="176"/>
      <c r="V2472" s="176"/>
      <c r="W2472" s="176"/>
      <c r="X2472" s="176"/>
      <c r="Y2472" s="176"/>
    </row>
    <row r="2473" spans="1:25">
      <c r="A2473" s="91"/>
      <c r="B2473" s="176"/>
      <c r="C2473" s="176"/>
      <c r="D2473" s="176"/>
      <c r="E2473" s="176"/>
      <c r="F2473" s="176"/>
      <c r="G2473" s="176"/>
      <c r="H2473" s="176"/>
      <c r="I2473" s="176"/>
      <c r="J2473" s="176"/>
      <c r="K2473" s="176"/>
      <c r="L2473" s="176"/>
      <c r="M2473" s="176"/>
      <c r="N2473" s="176"/>
      <c r="O2473" s="176"/>
      <c r="P2473" s="176"/>
      <c r="Q2473" s="176"/>
      <c r="R2473" s="176"/>
      <c r="S2473" s="176"/>
      <c r="T2473" s="176"/>
      <c r="U2473" s="176"/>
      <c r="V2473" s="176"/>
      <c r="W2473" s="176"/>
      <c r="X2473" s="176"/>
      <c r="Y2473" s="176"/>
    </row>
    <row r="2474" spans="1:25">
      <c r="A2474" s="91"/>
      <c r="B2474" s="176"/>
      <c r="C2474" s="176"/>
      <c r="D2474" s="176"/>
      <c r="E2474" s="176"/>
      <c r="F2474" s="176"/>
      <c r="G2474" s="176"/>
      <c r="H2474" s="176"/>
      <c r="I2474" s="176"/>
      <c r="J2474" s="176"/>
      <c r="K2474" s="176"/>
      <c r="L2474" s="176"/>
      <c r="M2474" s="176"/>
      <c r="N2474" s="176"/>
      <c r="O2474" s="176"/>
      <c r="P2474" s="176"/>
      <c r="Q2474" s="176"/>
      <c r="R2474" s="176"/>
      <c r="S2474" s="176"/>
      <c r="T2474" s="176"/>
      <c r="U2474" s="176"/>
      <c r="V2474" s="176"/>
      <c r="W2474" s="176"/>
      <c r="X2474" s="176"/>
      <c r="Y2474" s="176"/>
    </row>
    <row r="2475" spans="1:25">
      <c r="A2475" s="91"/>
      <c r="B2475" s="176"/>
      <c r="C2475" s="176"/>
      <c r="D2475" s="176"/>
      <c r="E2475" s="176"/>
      <c r="F2475" s="176"/>
      <c r="G2475" s="176"/>
      <c r="H2475" s="176"/>
      <c r="I2475" s="176"/>
      <c r="J2475" s="176"/>
      <c r="K2475" s="176"/>
      <c r="L2475" s="176"/>
      <c r="M2475" s="176"/>
      <c r="N2475" s="176"/>
      <c r="O2475" s="176"/>
      <c r="P2475" s="176"/>
      <c r="Q2475" s="176"/>
      <c r="R2475" s="176"/>
      <c r="S2475" s="176"/>
      <c r="T2475" s="176"/>
      <c r="U2475" s="176"/>
      <c r="V2475" s="176"/>
      <c r="W2475" s="176"/>
      <c r="X2475" s="176"/>
      <c r="Y2475" s="176"/>
    </row>
    <row r="2476" spans="1:25">
      <c r="A2476" s="91"/>
      <c r="B2476" s="176"/>
      <c r="C2476" s="176"/>
      <c r="D2476" s="176"/>
      <c r="E2476" s="176"/>
      <c r="F2476" s="176"/>
      <c r="G2476" s="176"/>
      <c r="H2476" s="176"/>
      <c r="I2476" s="176"/>
      <c r="J2476" s="176"/>
      <c r="K2476" s="176"/>
      <c r="L2476" s="176"/>
      <c r="M2476" s="176"/>
      <c r="N2476" s="176"/>
      <c r="O2476" s="176"/>
      <c r="P2476" s="176"/>
      <c r="Q2476" s="176"/>
      <c r="R2476" s="176"/>
      <c r="S2476" s="176"/>
      <c r="T2476" s="176"/>
      <c r="U2476" s="176"/>
      <c r="V2476" s="176"/>
      <c r="W2476" s="176"/>
      <c r="X2476" s="176"/>
      <c r="Y2476" s="176"/>
    </row>
    <row r="2477" spans="1:25">
      <c r="A2477" s="91"/>
      <c r="B2477" s="176"/>
      <c r="C2477" s="176"/>
      <c r="D2477" s="176"/>
      <c r="E2477" s="176"/>
      <c r="F2477" s="176"/>
      <c r="G2477" s="176"/>
      <c r="H2477" s="176"/>
      <c r="I2477" s="176"/>
      <c r="J2477" s="176"/>
      <c r="K2477" s="176"/>
      <c r="L2477" s="176"/>
      <c r="M2477" s="176"/>
      <c r="N2477" s="176"/>
      <c r="O2477" s="176"/>
      <c r="P2477" s="176"/>
      <c r="Q2477" s="176"/>
      <c r="R2477" s="176"/>
      <c r="S2477" s="176"/>
      <c r="T2477" s="176"/>
      <c r="U2477" s="176"/>
      <c r="V2477" s="176"/>
      <c r="W2477" s="176"/>
      <c r="X2477" s="176"/>
      <c r="Y2477" s="176"/>
    </row>
    <row r="2478" spans="1:25">
      <c r="A2478" s="91"/>
      <c r="B2478" s="176"/>
      <c r="C2478" s="176"/>
      <c r="D2478" s="176"/>
      <c r="E2478" s="176"/>
      <c r="F2478" s="176"/>
      <c r="G2478" s="176"/>
      <c r="H2478" s="176"/>
      <c r="I2478" s="176"/>
      <c r="J2478" s="176"/>
      <c r="K2478" s="176"/>
      <c r="L2478" s="176"/>
      <c r="M2478" s="176"/>
      <c r="N2478" s="176"/>
      <c r="O2478" s="176"/>
      <c r="P2478" s="176"/>
      <c r="Q2478" s="176"/>
      <c r="R2478" s="176"/>
      <c r="S2478" s="176"/>
      <c r="T2478" s="176"/>
      <c r="U2478" s="176"/>
      <c r="V2478" s="176"/>
      <c r="W2478" s="176"/>
      <c r="X2478" s="176"/>
      <c r="Y2478" s="176"/>
    </row>
    <row r="2479" spans="1:25">
      <c r="A2479" s="91"/>
      <c r="B2479" s="176"/>
      <c r="C2479" s="176"/>
      <c r="D2479" s="176"/>
      <c r="E2479" s="176"/>
      <c r="F2479" s="176"/>
      <c r="G2479" s="176"/>
      <c r="H2479" s="176"/>
      <c r="I2479" s="176"/>
      <c r="J2479" s="176"/>
      <c r="K2479" s="176"/>
      <c r="L2479" s="176"/>
      <c r="M2479" s="176"/>
      <c r="N2479" s="176"/>
      <c r="O2479" s="176"/>
      <c r="P2479" s="176"/>
      <c r="Q2479" s="176"/>
      <c r="R2479" s="176"/>
      <c r="S2479" s="176"/>
      <c r="T2479" s="176"/>
      <c r="U2479" s="176"/>
      <c r="V2479" s="176"/>
      <c r="W2479" s="176"/>
      <c r="X2479" s="176"/>
      <c r="Y2479" s="176"/>
    </row>
    <row r="2480" spans="1:25">
      <c r="A2480" s="91"/>
      <c r="B2480" s="176"/>
      <c r="C2480" s="176"/>
      <c r="D2480" s="176"/>
      <c r="E2480" s="176"/>
      <c r="F2480" s="176"/>
      <c r="G2480" s="176"/>
      <c r="H2480" s="176"/>
      <c r="I2480" s="176"/>
      <c r="J2480" s="176"/>
      <c r="K2480" s="176"/>
      <c r="L2480" s="176"/>
      <c r="M2480" s="176"/>
      <c r="N2480" s="176"/>
      <c r="O2480" s="176"/>
      <c r="P2480" s="176"/>
      <c r="Q2480" s="176"/>
      <c r="R2480" s="176"/>
      <c r="S2480" s="176"/>
      <c r="T2480" s="176"/>
      <c r="U2480" s="176"/>
      <c r="V2480" s="176"/>
      <c r="W2480" s="176"/>
      <c r="X2480" s="176"/>
      <c r="Y2480" s="176"/>
    </row>
    <row r="2481" spans="1:25">
      <c r="A2481" s="91"/>
      <c r="B2481" s="176"/>
      <c r="C2481" s="176"/>
      <c r="D2481" s="176"/>
      <c r="E2481" s="176"/>
      <c r="F2481" s="176"/>
      <c r="G2481" s="176"/>
      <c r="H2481" s="176"/>
      <c r="I2481" s="176"/>
      <c r="J2481" s="176"/>
      <c r="K2481" s="176"/>
      <c r="L2481" s="176"/>
      <c r="M2481" s="176"/>
      <c r="N2481" s="176"/>
      <c r="O2481" s="176"/>
      <c r="P2481" s="176"/>
      <c r="Q2481" s="176"/>
      <c r="R2481" s="176"/>
      <c r="S2481" s="176"/>
      <c r="T2481" s="176"/>
      <c r="U2481" s="176"/>
      <c r="V2481" s="176"/>
      <c r="W2481" s="176"/>
      <c r="X2481" s="176"/>
      <c r="Y2481" s="176"/>
    </row>
    <row r="2482" spans="1:25">
      <c r="A2482" s="91"/>
      <c r="B2482" s="176"/>
      <c r="C2482" s="176"/>
      <c r="D2482" s="176"/>
      <c r="E2482" s="176"/>
      <c r="F2482" s="176"/>
      <c r="G2482" s="176"/>
      <c r="H2482" s="176"/>
      <c r="I2482" s="176"/>
      <c r="J2482" s="176"/>
      <c r="K2482" s="176"/>
      <c r="L2482" s="176"/>
      <c r="M2482" s="176"/>
      <c r="N2482" s="176"/>
      <c r="O2482" s="176"/>
      <c r="P2482" s="176"/>
      <c r="Q2482" s="176"/>
      <c r="R2482" s="176"/>
      <c r="S2482" s="176"/>
      <c r="T2482" s="176"/>
      <c r="U2482" s="176"/>
      <c r="V2482" s="176"/>
      <c r="W2482" s="176"/>
      <c r="X2482" s="176"/>
      <c r="Y2482" s="176"/>
    </row>
    <row r="2483" spans="1:25">
      <c r="A2483" s="91"/>
      <c r="B2483" s="176"/>
      <c r="C2483" s="176"/>
      <c r="D2483" s="176"/>
      <c r="E2483" s="176"/>
      <c r="F2483" s="176"/>
      <c r="G2483" s="176"/>
      <c r="H2483" s="176"/>
      <c r="I2483" s="176"/>
      <c r="J2483" s="176"/>
      <c r="K2483" s="176"/>
      <c r="L2483" s="176"/>
      <c r="M2483" s="176"/>
      <c r="N2483" s="176"/>
      <c r="O2483" s="176"/>
      <c r="P2483" s="176"/>
      <c r="Q2483" s="176"/>
      <c r="R2483" s="176"/>
      <c r="S2483" s="176"/>
      <c r="T2483" s="176"/>
      <c r="U2483" s="176"/>
      <c r="V2483" s="176"/>
      <c r="W2483" s="176"/>
      <c r="X2483" s="176"/>
      <c r="Y2483" s="176"/>
    </row>
    <row r="2484" spans="1:25">
      <c r="A2484" s="91"/>
      <c r="B2484" s="176"/>
      <c r="C2484" s="176"/>
      <c r="D2484" s="176"/>
      <c r="E2484" s="176"/>
      <c r="F2484" s="176"/>
      <c r="G2484" s="176"/>
      <c r="H2484" s="176"/>
      <c r="I2484" s="176"/>
      <c r="J2484" s="176"/>
      <c r="K2484" s="176"/>
      <c r="L2484" s="176"/>
      <c r="M2484" s="176"/>
      <c r="N2484" s="176"/>
      <c r="O2484" s="176"/>
      <c r="P2484" s="176"/>
      <c r="Q2484" s="176"/>
      <c r="R2484" s="176"/>
      <c r="S2484" s="176"/>
      <c r="T2484" s="176"/>
      <c r="U2484" s="176"/>
      <c r="V2484" s="176"/>
      <c r="W2484" s="176"/>
      <c r="X2484" s="176"/>
      <c r="Y2484" s="176"/>
    </row>
    <row r="2485" spans="1:25">
      <c r="A2485" s="91"/>
      <c r="B2485" s="176"/>
      <c r="C2485" s="176"/>
      <c r="D2485" s="176"/>
      <c r="E2485" s="176"/>
      <c r="F2485" s="176"/>
      <c r="G2485" s="176"/>
      <c r="H2485" s="176"/>
      <c r="I2485" s="176"/>
      <c r="J2485" s="176"/>
      <c r="K2485" s="176"/>
      <c r="L2485" s="176"/>
      <c r="M2485" s="176"/>
      <c r="N2485" s="176"/>
      <c r="O2485" s="176"/>
      <c r="P2485" s="176"/>
      <c r="Q2485" s="176"/>
      <c r="R2485" s="176"/>
      <c r="S2485" s="176"/>
      <c r="T2485" s="176"/>
      <c r="U2485" s="176"/>
      <c r="V2485" s="176"/>
      <c r="W2485" s="176"/>
      <c r="X2485" s="176"/>
      <c r="Y2485" s="176"/>
    </row>
    <row r="2486" spans="1:25">
      <c r="A2486" s="91"/>
      <c r="B2486" s="176"/>
      <c r="C2486" s="176"/>
      <c r="D2486" s="176"/>
      <c r="E2486" s="176"/>
      <c r="F2486" s="176"/>
      <c r="G2486" s="176"/>
      <c r="H2486" s="176"/>
      <c r="I2486" s="176"/>
      <c r="J2486" s="176"/>
      <c r="K2486" s="176"/>
      <c r="L2486" s="176"/>
      <c r="M2486" s="176"/>
      <c r="N2486" s="176"/>
      <c r="O2486" s="176"/>
      <c r="P2486" s="176"/>
      <c r="Q2486" s="176"/>
      <c r="R2486" s="176"/>
      <c r="S2486" s="176"/>
      <c r="T2486" s="176"/>
      <c r="U2486" s="176"/>
      <c r="V2486" s="176"/>
      <c r="W2486" s="176"/>
      <c r="X2486" s="176"/>
      <c r="Y2486" s="176"/>
    </row>
    <row r="2487" spans="1:25">
      <c r="A2487" s="91"/>
      <c r="B2487" s="176"/>
      <c r="C2487" s="176"/>
      <c r="D2487" s="176"/>
      <c r="E2487" s="176"/>
      <c r="F2487" s="176"/>
      <c r="G2487" s="176"/>
      <c r="H2487" s="176"/>
      <c r="I2487" s="176"/>
      <c r="J2487" s="176"/>
      <c r="K2487" s="176"/>
      <c r="L2487" s="176"/>
      <c r="M2487" s="176"/>
      <c r="N2487" s="176"/>
      <c r="O2487" s="176"/>
      <c r="P2487" s="176"/>
      <c r="Q2487" s="176"/>
      <c r="R2487" s="176"/>
      <c r="S2487" s="176"/>
      <c r="T2487" s="176"/>
      <c r="U2487" s="176"/>
      <c r="V2487" s="176"/>
      <c r="W2487" s="176"/>
      <c r="X2487" s="176"/>
      <c r="Y2487" s="176"/>
    </row>
    <row r="2488" spans="1:25">
      <c r="A2488" s="91"/>
      <c r="B2488" s="176"/>
      <c r="C2488" s="176"/>
      <c r="D2488" s="176"/>
      <c r="E2488" s="176"/>
      <c r="F2488" s="176"/>
      <c r="G2488" s="176"/>
      <c r="H2488" s="176"/>
      <c r="I2488" s="176"/>
      <c r="J2488" s="176"/>
      <c r="K2488" s="176"/>
      <c r="L2488" s="176"/>
      <c r="M2488" s="176"/>
      <c r="N2488" s="176"/>
      <c r="O2488" s="176"/>
      <c r="P2488" s="176"/>
      <c r="Q2488" s="176"/>
      <c r="R2488" s="176"/>
      <c r="S2488" s="176"/>
      <c r="T2488" s="176"/>
      <c r="U2488" s="176"/>
      <c r="V2488" s="176"/>
      <c r="W2488" s="176"/>
      <c r="X2488" s="176"/>
      <c r="Y2488" s="176"/>
    </row>
    <row r="2489" spans="1:25">
      <c r="A2489" s="91"/>
      <c r="B2489" s="176"/>
      <c r="C2489" s="176"/>
      <c r="D2489" s="176"/>
      <c r="E2489" s="176"/>
      <c r="F2489" s="176"/>
      <c r="G2489" s="176"/>
      <c r="H2489" s="176"/>
      <c r="I2489" s="176"/>
      <c r="J2489" s="176"/>
      <c r="K2489" s="176"/>
      <c r="L2489" s="176"/>
      <c r="M2489" s="176"/>
      <c r="N2489" s="176"/>
      <c r="O2489" s="176"/>
      <c r="P2489" s="176"/>
      <c r="Q2489" s="176"/>
      <c r="R2489" s="176"/>
      <c r="S2489" s="176"/>
      <c r="T2489" s="176"/>
      <c r="U2489" s="176"/>
      <c r="V2489" s="176"/>
      <c r="W2489" s="176"/>
      <c r="X2489" s="176"/>
      <c r="Y2489" s="176"/>
    </row>
    <row r="2490" spans="1:25">
      <c r="A2490" s="91"/>
      <c r="B2490" s="176"/>
      <c r="C2490" s="176"/>
      <c r="D2490" s="176"/>
      <c r="E2490" s="176"/>
      <c r="F2490" s="176"/>
      <c r="G2490" s="176"/>
      <c r="H2490" s="176"/>
      <c r="I2490" s="176"/>
      <c r="J2490" s="176"/>
      <c r="K2490" s="176"/>
      <c r="L2490" s="176"/>
      <c r="M2490" s="176"/>
      <c r="N2490" s="176"/>
      <c r="O2490" s="176"/>
      <c r="P2490" s="176"/>
      <c r="Q2490" s="176"/>
      <c r="R2490" s="176"/>
      <c r="S2490" s="176"/>
      <c r="T2490" s="176"/>
      <c r="U2490" s="176"/>
      <c r="V2490" s="176"/>
      <c r="W2490" s="176"/>
      <c r="X2490" s="176"/>
      <c r="Y2490" s="176"/>
    </row>
    <row r="2491" spans="1:25">
      <c r="A2491" s="91"/>
      <c r="B2491" s="176"/>
      <c r="C2491" s="176"/>
      <c r="D2491" s="176"/>
      <c r="E2491" s="176"/>
      <c r="F2491" s="176"/>
      <c r="G2491" s="176"/>
      <c r="H2491" s="176"/>
      <c r="I2491" s="176"/>
      <c r="J2491" s="176"/>
      <c r="K2491" s="176"/>
      <c r="L2491" s="176"/>
      <c r="M2491" s="176"/>
      <c r="N2491" s="176"/>
      <c r="O2491" s="176"/>
      <c r="P2491" s="176"/>
      <c r="Q2491" s="176"/>
      <c r="R2491" s="176"/>
      <c r="S2491" s="176"/>
      <c r="T2491" s="176"/>
      <c r="U2491" s="176"/>
      <c r="V2491" s="176"/>
      <c r="W2491" s="176"/>
      <c r="X2491" s="176"/>
      <c r="Y2491" s="176"/>
    </row>
    <row r="2492" spans="1:25">
      <c r="A2492" s="91"/>
      <c r="B2492" s="176"/>
      <c r="C2492" s="176"/>
      <c r="D2492" s="176"/>
      <c r="E2492" s="176"/>
      <c r="F2492" s="176"/>
      <c r="G2492" s="176"/>
      <c r="H2492" s="176"/>
      <c r="I2492" s="176"/>
      <c r="J2492" s="176"/>
      <c r="K2492" s="176"/>
      <c r="L2492" s="176"/>
      <c r="M2492" s="176"/>
      <c r="N2492" s="176"/>
      <c r="O2492" s="176"/>
      <c r="P2492" s="176"/>
      <c r="Q2492" s="176"/>
      <c r="R2492" s="176"/>
      <c r="S2492" s="176"/>
      <c r="T2492" s="176"/>
      <c r="U2492" s="176"/>
      <c r="V2492" s="176"/>
      <c r="W2492" s="176"/>
      <c r="X2492" s="176"/>
      <c r="Y2492" s="176"/>
    </row>
    <row r="2493" spans="1:25">
      <c r="A2493" s="91"/>
      <c r="B2493" s="176"/>
      <c r="C2493" s="176"/>
      <c r="D2493" s="176"/>
      <c r="E2493" s="176"/>
      <c r="F2493" s="176"/>
      <c r="G2493" s="176"/>
      <c r="H2493" s="176"/>
      <c r="I2493" s="176"/>
      <c r="J2493" s="176"/>
      <c r="K2493" s="176"/>
      <c r="L2493" s="176"/>
      <c r="M2493" s="176"/>
      <c r="N2493" s="176"/>
      <c r="O2493" s="176"/>
      <c r="P2493" s="176"/>
      <c r="Q2493" s="176"/>
      <c r="R2493" s="176"/>
      <c r="S2493" s="176"/>
      <c r="T2493" s="176"/>
      <c r="U2493" s="176"/>
      <c r="V2493" s="176"/>
      <c r="W2493" s="176"/>
      <c r="X2493" s="176"/>
      <c r="Y2493" s="176"/>
    </row>
    <row r="2494" spans="1:25">
      <c r="A2494" s="91"/>
      <c r="B2494" s="176"/>
      <c r="C2494" s="176"/>
      <c r="D2494" s="176"/>
      <c r="E2494" s="176"/>
      <c r="F2494" s="176"/>
      <c r="G2494" s="176"/>
      <c r="H2494" s="176"/>
      <c r="I2494" s="176"/>
      <c r="J2494" s="176"/>
      <c r="K2494" s="176"/>
      <c r="L2494" s="176"/>
      <c r="M2494" s="176"/>
      <c r="N2494" s="176"/>
      <c r="O2494" s="176"/>
      <c r="P2494" s="176"/>
      <c r="Q2494" s="176"/>
      <c r="R2494" s="176"/>
      <c r="S2494" s="176"/>
      <c r="T2494" s="176"/>
      <c r="U2494" s="176"/>
      <c r="V2494" s="176"/>
      <c r="W2494" s="176"/>
      <c r="X2494" s="176"/>
      <c r="Y2494" s="176"/>
    </row>
    <row r="2495" spans="1:25">
      <c r="A2495" s="91"/>
      <c r="B2495" s="176"/>
      <c r="C2495" s="176"/>
      <c r="D2495" s="176"/>
      <c r="E2495" s="176"/>
      <c r="F2495" s="176"/>
      <c r="G2495" s="176"/>
      <c r="H2495" s="176"/>
      <c r="I2495" s="176"/>
      <c r="J2495" s="176"/>
      <c r="K2495" s="176"/>
      <c r="L2495" s="176"/>
      <c r="M2495" s="176"/>
      <c r="N2495" s="176"/>
      <c r="O2495" s="176"/>
      <c r="P2495" s="176"/>
      <c r="Q2495" s="176"/>
      <c r="R2495" s="176"/>
      <c r="S2495" s="176"/>
      <c r="T2495" s="176"/>
      <c r="U2495" s="176"/>
      <c r="V2495" s="176"/>
      <c r="W2495" s="176"/>
      <c r="X2495" s="176"/>
      <c r="Y2495" s="176"/>
    </row>
    <row r="2496" spans="1:25">
      <c r="A2496" s="91"/>
      <c r="B2496" s="176"/>
      <c r="C2496" s="176"/>
      <c r="D2496" s="176"/>
      <c r="E2496" s="176"/>
      <c r="F2496" s="176"/>
      <c r="G2496" s="176"/>
      <c r="H2496" s="176"/>
      <c r="I2496" s="176"/>
      <c r="J2496" s="176"/>
      <c r="K2496" s="176"/>
      <c r="L2496" s="176"/>
      <c r="M2496" s="176"/>
      <c r="N2496" s="176"/>
      <c r="O2496" s="176"/>
      <c r="P2496" s="176"/>
      <c r="Q2496" s="176"/>
      <c r="R2496" s="176"/>
      <c r="S2496" s="176"/>
      <c r="T2496" s="176"/>
      <c r="U2496" s="176"/>
      <c r="V2496" s="176"/>
      <c r="W2496" s="176"/>
      <c r="X2496" s="176"/>
      <c r="Y2496" s="176"/>
    </row>
    <row r="2497" spans="1:25">
      <c r="A2497" s="91"/>
      <c r="B2497" s="176"/>
      <c r="C2497" s="176"/>
      <c r="D2497" s="176"/>
      <c r="E2497" s="176"/>
      <c r="F2497" s="176"/>
      <c r="G2497" s="176"/>
      <c r="H2497" s="176"/>
      <c r="I2497" s="176"/>
      <c r="J2497" s="176"/>
      <c r="K2497" s="176"/>
      <c r="L2497" s="176"/>
      <c r="M2497" s="176"/>
      <c r="N2497" s="176"/>
      <c r="O2497" s="176"/>
      <c r="P2497" s="176"/>
      <c r="Q2497" s="176"/>
      <c r="R2497" s="176"/>
      <c r="S2497" s="176"/>
      <c r="T2497" s="176"/>
      <c r="U2497" s="176"/>
      <c r="V2497" s="176"/>
      <c r="W2497" s="176"/>
      <c r="X2497" s="176"/>
      <c r="Y2497" s="176"/>
    </row>
    <row r="2498" spans="1:25">
      <c r="A2498" s="91"/>
      <c r="B2498" s="176"/>
      <c r="C2498" s="176"/>
      <c r="D2498" s="176"/>
      <c r="E2498" s="176"/>
      <c r="F2498" s="176"/>
      <c r="G2498" s="176"/>
      <c r="H2498" s="176"/>
      <c r="I2498" s="176"/>
      <c r="J2498" s="176"/>
      <c r="K2498" s="176"/>
      <c r="L2498" s="176"/>
      <c r="M2498" s="176"/>
      <c r="N2498" s="176"/>
      <c r="O2498" s="176"/>
      <c r="P2498" s="176"/>
      <c r="Q2498" s="176"/>
      <c r="R2498" s="176"/>
      <c r="S2498" s="176"/>
      <c r="T2498" s="176"/>
      <c r="U2498" s="176"/>
      <c r="V2498" s="176"/>
      <c r="W2498" s="176"/>
      <c r="X2498" s="176"/>
      <c r="Y2498" s="176"/>
    </row>
    <row r="2499" spans="1:25">
      <c r="A2499" s="91"/>
      <c r="B2499" s="176"/>
      <c r="C2499" s="176"/>
      <c r="D2499" s="176"/>
      <c r="E2499" s="176"/>
      <c r="F2499" s="176"/>
      <c r="G2499" s="176"/>
      <c r="H2499" s="176"/>
      <c r="I2499" s="176"/>
      <c r="J2499" s="176"/>
      <c r="K2499" s="176"/>
      <c r="L2499" s="176"/>
      <c r="M2499" s="176"/>
      <c r="N2499" s="176"/>
      <c r="O2499" s="176"/>
      <c r="P2499" s="176"/>
      <c r="Q2499" s="176"/>
      <c r="R2499" s="176"/>
      <c r="S2499" s="176"/>
      <c r="T2499" s="176"/>
      <c r="U2499" s="176"/>
      <c r="V2499" s="176"/>
      <c r="W2499" s="176"/>
      <c r="X2499" s="176"/>
      <c r="Y2499" s="176"/>
    </row>
    <row r="2500" spans="1:25">
      <c r="A2500" s="91"/>
      <c r="B2500" s="176"/>
      <c r="C2500" s="176"/>
      <c r="D2500" s="176"/>
      <c r="E2500" s="176"/>
      <c r="F2500" s="176"/>
      <c r="G2500" s="176"/>
      <c r="H2500" s="176"/>
      <c r="I2500" s="176"/>
      <c r="J2500" s="176"/>
      <c r="K2500" s="176"/>
      <c r="L2500" s="176"/>
      <c r="M2500" s="176"/>
      <c r="N2500" s="176"/>
      <c r="O2500" s="176"/>
      <c r="P2500" s="176"/>
      <c r="Q2500" s="176"/>
      <c r="R2500" s="176"/>
      <c r="S2500" s="176"/>
      <c r="T2500" s="176"/>
      <c r="U2500" s="176"/>
      <c r="V2500" s="176"/>
      <c r="W2500" s="176"/>
      <c r="X2500" s="176"/>
      <c r="Y2500" s="176"/>
    </row>
    <row r="2501" spans="1:25">
      <c r="A2501" s="91"/>
      <c r="B2501" s="176"/>
      <c r="C2501" s="176"/>
      <c r="D2501" s="176"/>
      <c r="E2501" s="176"/>
      <c r="F2501" s="176"/>
      <c r="G2501" s="176"/>
      <c r="H2501" s="176"/>
      <c r="I2501" s="176"/>
      <c r="J2501" s="176"/>
      <c r="K2501" s="176"/>
      <c r="L2501" s="176"/>
      <c r="M2501" s="176"/>
      <c r="N2501" s="176"/>
      <c r="O2501" s="176"/>
      <c r="P2501" s="176"/>
      <c r="Q2501" s="176"/>
      <c r="R2501" s="176"/>
      <c r="S2501" s="176"/>
      <c r="T2501" s="176"/>
      <c r="U2501" s="176"/>
      <c r="V2501" s="176"/>
      <c r="W2501" s="176"/>
      <c r="X2501" s="176"/>
      <c r="Y2501" s="176"/>
    </row>
    <row r="2502" spans="1:25">
      <c r="A2502" s="91"/>
      <c r="B2502" s="176"/>
      <c r="C2502" s="176"/>
      <c r="D2502" s="176"/>
      <c r="E2502" s="176"/>
      <c r="F2502" s="176"/>
      <c r="G2502" s="176"/>
      <c r="H2502" s="176"/>
      <c r="I2502" s="176"/>
      <c r="J2502" s="176"/>
      <c r="K2502" s="176"/>
      <c r="L2502" s="176"/>
      <c r="M2502" s="176"/>
      <c r="N2502" s="176"/>
      <c r="O2502" s="176"/>
      <c r="P2502" s="176"/>
      <c r="Q2502" s="176"/>
      <c r="R2502" s="176"/>
      <c r="S2502" s="176"/>
      <c r="T2502" s="176"/>
      <c r="U2502" s="176"/>
      <c r="V2502" s="176"/>
      <c r="W2502" s="176"/>
      <c r="X2502" s="176"/>
      <c r="Y2502" s="176"/>
    </row>
    <row r="2503" spans="1:25">
      <c r="A2503" s="91"/>
      <c r="B2503" s="176"/>
      <c r="C2503" s="176"/>
      <c r="D2503" s="176"/>
      <c r="E2503" s="176"/>
      <c r="F2503" s="176"/>
      <c r="G2503" s="176"/>
      <c r="H2503" s="176"/>
      <c r="I2503" s="176"/>
      <c r="J2503" s="176"/>
      <c r="K2503" s="176"/>
      <c r="L2503" s="176"/>
      <c r="M2503" s="176"/>
      <c r="N2503" s="176"/>
      <c r="O2503" s="176"/>
      <c r="P2503" s="176"/>
      <c r="Q2503" s="176"/>
      <c r="R2503" s="176"/>
      <c r="S2503" s="176"/>
      <c r="T2503" s="176"/>
      <c r="U2503" s="176"/>
      <c r="V2503" s="176"/>
      <c r="W2503" s="176"/>
      <c r="X2503" s="176"/>
      <c r="Y2503" s="176"/>
    </row>
    <row r="2504" spans="1:25">
      <c r="A2504" s="91"/>
      <c r="B2504" s="176"/>
      <c r="C2504" s="176"/>
      <c r="D2504" s="176"/>
      <c r="E2504" s="176"/>
      <c r="F2504" s="176"/>
      <c r="G2504" s="176"/>
      <c r="H2504" s="176"/>
      <c r="I2504" s="176"/>
      <c r="J2504" s="176"/>
      <c r="K2504" s="176"/>
      <c r="L2504" s="176"/>
      <c r="M2504" s="176"/>
      <c r="N2504" s="176"/>
      <c r="O2504" s="176"/>
      <c r="P2504" s="176"/>
      <c r="Q2504" s="176"/>
      <c r="R2504" s="176"/>
      <c r="S2504" s="176"/>
      <c r="T2504" s="176"/>
      <c r="U2504" s="176"/>
      <c r="V2504" s="176"/>
      <c r="W2504" s="176"/>
      <c r="X2504" s="176"/>
      <c r="Y2504" s="176"/>
    </row>
    <row r="2505" spans="1:25">
      <c r="A2505" s="91"/>
      <c r="B2505" s="176"/>
      <c r="C2505" s="176"/>
      <c r="D2505" s="176"/>
      <c r="E2505" s="176"/>
      <c r="F2505" s="176"/>
      <c r="G2505" s="176"/>
      <c r="H2505" s="176"/>
      <c r="I2505" s="176"/>
      <c r="J2505" s="176"/>
      <c r="K2505" s="176"/>
      <c r="L2505" s="176"/>
      <c r="M2505" s="176"/>
      <c r="N2505" s="176"/>
      <c r="O2505" s="176"/>
      <c r="P2505" s="176"/>
      <c r="Q2505" s="176"/>
      <c r="R2505" s="176"/>
      <c r="S2505" s="176"/>
      <c r="T2505" s="176"/>
      <c r="U2505" s="176"/>
      <c r="V2505" s="176"/>
      <c r="W2505" s="176"/>
      <c r="X2505" s="176"/>
      <c r="Y2505" s="176"/>
    </row>
    <row r="2506" spans="1:25">
      <c r="A2506" s="91"/>
      <c r="B2506" s="176"/>
      <c r="C2506" s="176"/>
      <c r="D2506" s="176"/>
      <c r="E2506" s="176"/>
      <c r="F2506" s="176"/>
      <c r="G2506" s="176"/>
      <c r="H2506" s="176"/>
      <c r="I2506" s="176"/>
      <c r="J2506" s="176"/>
      <c r="K2506" s="176"/>
      <c r="L2506" s="176"/>
      <c r="M2506" s="176"/>
      <c r="N2506" s="176"/>
      <c r="O2506" s="176"/>
      <c r="P2506" s="176"/>
      <c r="Q2506" s="176"/>
      <c r="R2506" s="176"/>
      <c r="S2506" s="176"/>
      <c r="T2506" s="176"/>
      <c r="U2506" s="176"/>
      <c r="V2506" s="176"/>
      <c r="W2506" s="176"/>
      <c r="X2506" s="176"/>
      <c r="Y2506" s="176"/>
    </row>
    <row r="2507" spans="1:25">
      <c r="A2507" s="91"/>
      <c r="B2507" s="176"/>
      <c r="C2507" s="176"/>
      <c r="D2507" s="176"/>
      <c r="E2507" s="176"/>
      <c r="F2507" s="176"/>
      <c r="G2507" s="176"/>
      <c r="H2507" s="176"/>
      <c r="I2507" s="176"/>
      <c r="J2507" s="176"/>
      <c r="K2507" s="176"/>
      <c r="L2507" s="176"/>
      <c r="M2507" s="176"/>
      <c r="N2507" s="176"/>
      <c r="O2507" s="176"/>
      <c r="P2507" s="176"/>
      <c r="Q2507" s="176"/>
      <c r="R2507" s="176"/>
      <c r="S2507" s="176"/>
      <c r="T2507" s="176"/>
      <c r="U2507" s="176"/>
      <c r="V2507" s="176"/>
      <c r="W2507" s="176"/>
      <c r="X2507" s="176"/>
      <c r="Y2507" s="176"/>
    </row>
    <row r="2508" spans="1:25">
      <c r="A2508" s="91"/>
      <c r="B2508" s="176"/>
      <c r="C2508" s="176"/>
      <c r="D2508" s="176"/>
      <c r="E2508" s="176"/>
      <c r="F2508" s="176"/>
      <c r="G2508" s="176"/>
      <c r="H2508" s="176"/>
      <c r="I2508" s="176"/>
      <c r="J2508" s="176"/>
      <c r="K2508" s="176"/>
      <c r="L2508" s="176"/>
      <c r="M2508" s="176"/>
      <c r="N2508" s="176"/>
      <c r="O2508" s="176"/>
      <c r="P2508" s="176"/>
      <c r="Q2508" s="176"/>
      <c r="R2508" s="176"/>
      <c r="S2508" s="176"/>
      <c r="T2508" s="176"/>
      <c r="U2508" s="176"/>
      <c r="V2508" s="176"/>
      <c r="W2508" s="176"/>
      <c r="X2508" s="176"/>
      <c r="Y2508" s="176"/>
    </row>
    <row r="2509" spans="1:25">
      <c r="A2509" s="91"/>
      <c r="B2509" s="176"/>
      <c r="C2509" s="176"/>
      <c r="D2509" s="176"/>
      <c r="E2509" s="176"/>
      <c r="F2509" s="176"/>
      <c r="G2509" s="176"/>
      <c r="H2509" s="176"/>
      <c r="I2509" s="176"/>
      <c r="J2509" s="176"/>
      <c r="K2509" s="176"/>
      <c r="L2509" s="176"/>
      <c r="M2509" s="176"/>
      <c r="N2509" s="176"/>
      <c r="O2509" s="176"/>
      <c r="P2509" s="176"/>
      <c r="Q2509" s="176"/>
      <c r="R2509" s="176"/>
      <c r="S2509" s="176"/>
      <c r="T2509" s="176"/>
      <c r="U2509" s="176"/>
      <c r="V2509" s="176"/>
      <c r="W2509" s="176"/>
      <c r="X2509" s="176"/>
      <c r="Y2509" s="176"/>
    </row>
    <row r="2510" spans="1:25">
      <c r="A2510" s="91"/>
      <c r="B2510" s="176"/>
      <c r="C2510" s="176"/>
      <c r="D2510" s="176"/>
      <c r="E2510" s="176"/>
      <c r="F2510" s="176"/>
      <c r="G2510" s="176"/>
      <c r="H2510" s="176"/>
      <c r="I2510" s="176"/>
      <c r="J2510" s="176"/>
      <c r="K2510" s="176"/>
      <c r="L2510" s="176"/>
      <c r="M2510" s="176"/>
      <c r="N2510" s="176"/>
      <c r="O2510" s="176"/>
      <c r="P2510" s="176"/>
      <c r="Q2510" s="176"/>
      <c r="R2510" s="176"/>
      <c r="S2510" s="176"/>
      <c r="T2510" s="176"/>
      <c r="U2510" s="176"/>
      <c r="V2510" s="176"/>
      <c r="W2510" s="176"/>
      <c r="X2510" s="176"/>
      <c r="Y2510" s="176"/>
    </row>
    <row r="2511" spans="1:25">
      <c r="A2511" s="91"/>
      <c r="B2511" s="176"/>
      <c r="C2511" s="176"/>
      <c r="D2511" s="176"/>
      <c r="E2511" s="176"/>
      <c r="F2511" s="176"/>
      <c r="G2511" s="176"/>
      <c r="H2511" s="176"/>
      <c r="I2511" s="176"/>
      <c r="J2511" s="176"/>
      <c r="K2511" s="176"/>
      <c r="L2511" s="176"/>
      <c r="M2511" s="176"/>
      <c r="N2511" s="176"/>
      <c r="O2511" s="176"/>
      <c r="P2511" s="176"/>
      <c r="Q2511" s="176"/>
      <c r="R2511" s="176"/>
      <c r="S2511" s="176"/>
      <c r="T2511" s="176"/>
      <c r="U2511" s="176"/>
      <c r="V2511" s="176"/>
      <c r="W2511" s="176"/>
      <c r="X2511" s="176"/>
      <c r="Y2511" s="176"/>
    </row>
    <row r="2512" spans="1:25">
      <c r="A2512" s="91"/>
      <c r="B2512" s="176"/>
      <c r="C2512" s="176"/>
      <c r="D2512" s="176"/>
      <c r="E2512" s="176"/>
      <c r="F2512" s="176"/>
      <c r="G2512" s="176"/>
      <c r="H2512" s="176"/>
      <c r="I2512" s="176"/>
      <c r="J2512" s="176"/>
      <c r="K2512" s="176"/>
      <c r="L2512" s="176"/>
      <c r="M2512" s="176"/>
      <c r="N2512" s="176"/>
      <c r="O2512" s="176"/>
      <c r="P2512" s="176"/>
      <c r="Q2512" s="176"/>
      <c r="R2512" s="176"/>
      <c r="S2512" s="176"/>
      <c r="T2512" s="176"/>
      <c r="U2512" s="176"/>
      <c r="V2512" s="176"/>
      <c r="W2512" s="176"/>
      <c r="X2512" s="176"/>
      <c r="Y2512" s="176"/>
    </row>
    <row r="2513" spans="1:25">
      <c r="A2513" s="91"/>
      <c r="B2513" s="176"/>
      <c r="C2513" s="176"/>
      <c r="D2513" s="176"/>
      <c r="E2513" s="176"/>
      <c r="F2513" s="176"/>
      <c r="G2513" s="176"/>
      <c r="H2513" s="176"/>
      <c r="I2513" s="176"/>
      <c r="J2513" s="176"/>
      <c r="K2513" s="176"/>
      <c r="L2513" s="176"/>
      <c r="M2513" s="176"/>
      <c r="N2513" s="176"/>
      <c r="O2513" s="176"/>
      <c r="P2513" s="176"/>
      <c r="Q2513" s="176"/>
      <c r="R2513" s="176"/>
      <c r="S2513" s="176"/>
      <c r="T2513" s="176"/>
      <c r="U2513" s="176"/>
      <c r="V2513" s="176"/>
      <c r="W2513" s="176"/>
      <c r="X2513" s="176"/>
      <c r="Y2513" s="176"/>
    </row>
    <row r="2514" spans="1:25">
      <c r="A2514" s="91"/>
      <c r="B2514" s="176"/>
      <c r="C2514" s="176"/>
      <c r="D2514" s="176"/>
      <c r="E2514" s="176"/>
      <c r="F2514" s="176"/>
      <c r="G2514" s="176"/>
      <c r="H2514" s="176"/>
      <c r="I2514" s="176"/>
      <c r="J2514" s="176"/>
      <c r="K2514" s="176"/>
      <c r="L2514" s="176"/>
      <c r="M2514" s="176"/>
      <c r="N2514" s="176"/>
      <c r="O2514" s="176"/>
      <c r="P2514" s="176"/>
      <c r="Q2514" s="176"/>
      <c r="R2514" s="176"/>
      <c r="S2514" s="176"/>
      <c r="T2514" s="176"/>
      <c r="U2514" s="176"/>
      <c r="V2514" s="176"/>
      <c r="W2514" s="176"/>
      <c r="X2514" s="176"/>
      <c r="Y2514" s="176"/>
    </row>
    <row r="2515" spans="1:25">
      <c r="A2515" s="91"/>
      <c r="B2515" s="176"/>
      <c r="C2515" s="176"/>
      <c r="D2515" s="176"/>
      <c r="E2515" s="176"/>
      <c r="F2515" s="176"/>
      <c r="G2515" s="176"/>
      <c r="H2515" s="176"/>
      <c r="I2515" s="176"/>
      <c r="J2515" s="176"/>
      <c r="K2515" s="176"/>
      <c r="L2515" s="176"/>
      <c r="M2515" s="176"/>
      <c r="N2515" s="176"/>
      <c r="O2515" s="176"/>
      <c r="P2515" s="176"/>
      <c r="Q2515" s="176"/>
      <c r="R2515" s="176"/>
      <c r="S2515" s="176"/>
      <c r="T2515" s="176"/>
      <c r="U2515" s="176"/>
      <c r="V2515" s="176"/>
      <c r="W2515" s="176"/>
      <c r="X2515" s="176"/>
      <c r="Y2515" s="176"/>
    </row>
    <row r="2516" spans="1:25">
      <c r="A2516" s="91"/>
      <c r="B2516" s="176"/>
      <c r="C2516" s="176"/>
      <c r="D2516" s="176"/>
      <c r="E2516" s="176"/>
      <c r="F2516" s="176"/>
      <c r="G2516" s="176"/>
      <c r="H2516" s="176"/>
      <c r="I2516" s="176"/>
      <c r="J2516" s="176"/>
      <c r="K2516" s="176"/>
      <c r="L2516" s="176"/>
      <c r="M2516" s="176"/>
      <c r="N2516" s="176"/>
      <c r="O2516" s="176"/>
      <c r="P2516" s="176"/>
      <c r="Q2516" s="176"/>
      <c r="R2516" s="176"/>
      <c r="S2516" s="176"/>
      <c r="T2516" s="176"/>
      <c r="U2516" s="176"/>
      <c r="V2516" s="176"/>
      <c r="W2516" s="176"/>
      <c r="X2516" s="176"/>
      <c r="Y2516" s="176"/>
    </row>
    <row r="2517" spans="1:25">
      <c r="A2517" s="91"/>
      <c r="B2517" s="176"/>
      <c r="C2517" s="176"/>
      <c r="D2517" s="176"/>
      <c r="E2517" s="176"/>
      <c r="F2517" s="176"/>
      <c r="G2517" s="176"/>
      <c r="H2517" s="176"/>
      <c r="I2517" s="176"/>
      <c r="J2517" s="176"/>
      <c r="K2517" s="176"/>
      <c r="L2517" s="176"/>
      <c r="M2517" s="176"/>
      <c r="N2517" s="176"/>
      <c r="O2517" s="176"/>
      <c r="P2517" s="176"/>
      <c r="Q2517" s="176"/>
      <c r="R2517" s="176"/>
      <c r="S2517" s="176"/>
      <c r="T2517" s="176"/>
      <c r="U2517" s="176"/>
      <c r="V2517" s="176"/>
      <c r="W2517" s="176"/>
      <c r="X2517" s="176"/>
      <c r="Y2517" s="176"/>
    </row>
    <row r="2518" spans="1:25">
      <c r="A2518" s="91"/>
      <c r="B2518" s="176"/>
      <c r="C2518" s="176"/>
      <c r="D2518" s="176"/>
      <c r="E2518" s="176"/>
      <c r="F2518" s="176"/>
      <c r="G2518" s="176"/>
      <c r="H2518" s="176"/>
      <c r="I2518" s="176"/>
      <c r="J2518" s="176"/>
      <c r="K2518" s="176"/>
      <c r="L2518" s="176"/>
      <c r="M2518" s="176"/>
      <c r="N2518" s="176"/>
      <c r="O2518" s="176"/>
      <c r="P2518" s="176"/>
      <c r="Q2518" s="176"/>
      <c r="R2518" s="176"/>
      <c r="S2518" s="176"/>
      <c r="T2518" s="176"/>
      <c r="U2518" s="176"/>
      <c r="V2518" s="176"/>
      <c r="W2518" s="176"/>
      <c r="X2518" s="176"/>
      <c r="Y2518" s="176"/>
    </row>
    <row r="2519" spans="1:25">
      <c r="A2519" s="91"/>
      <c r="B2519" s="176"/>
      <c r="C2519" s="176"/>
      <c r="D2519" s="176"/>
      <c r="E2519" s="176"/>
      <c r="F2519" s="176"/>
      <c r="G2519" s="176"/>
      <c r="H2519" s="176"/>
      <c r="I2519" s="176"/>
      <c r="J2519" s="176"/>
      <c r="K2519" s="176"/>
      <c r="L2519" s="176"/>
      <c r="M2519" s="176"/>
      <c r="N2519" s="176"/>
      <c r="O2519" s="176"/>
      <c r="P2519" s="176"/>
      <c r="Q2519" s="176"/>
      <c r="R2519" s="176"/>
      <c r="S2519" s="176"/>
      <c r="T2519" s="176"/>
      <c r="U2519" s="176"/>
      <c r="V2519" s="176"/>
      <c r="W2519" s="176"/>
      <c r="X2519" s="176"/>
      <c r="Y2519" s="176"/>
    </row>
    <row r="2520" spans="1:25">
      <c r="A2520" s="91"/>
      <c r="B2520" s="176"/>
      <c r="C2520" s="176"/>
      <c r="D2520" s="176"/>
      <c r="E2520" s="176"/>
      <c r="F2520" s="176"/>
      <c r="G2520" s="176"/>
      <c r="H2520" s="176"/>
      <c r="I2520" s="176"/>
      <c r="J2520" s="176"/>
      <c r="K2520" s="176"/>
      <c r="L2520" s="176"/>
      <c r="M2520" s="176"/>
      <c r="N2520" s="176"/>
      <c r="O2520" s="176"/>
      <c r="P2520" s="176"/>
      <c r="Q2520" s="176"/>
      <c r="R2520" s="176"/>
      <c r="S2520" s="176"/>
      <c r="T2520" s="176"/>
      <c r="U2520" s="176"/>
      <c r="V2520" s="176"/>
      <c r="W2520" s="176"/>
      <c r="X2520" s="176"/>
      <c r="Y2520" s="176"/>
    </row>
    <row r="2521" spans="1:25">
      <c r="A2521" s="91"/>
      <c r="B2521" s="176"/>
      <c r="C2521" s="176"/>
      <c r="D2521" s="176"/>
      <c r="E2521" s="176"/>
      <c r="F2521" s="176"/>
      <c r="G2521" s="176"/>
      <c r="H2521" s="176"/>
      <c r="I2521" s="176"/>
      <c r="J2521" s="176"/>
      <c r="K2521" s="176"/>
      <c r="L2521" s="176"/>
      <c r="M2521" s="176"/>
      <c r="N2521" s="176"/>
      <c r="O2521" s="176"/>
      <c r="P2521" s="176"/>
      <c r="Q2521" s="176"/>
      <c r="R2521" s="176"/>
      <c r="S2521" s="176"/>
      <c r="T2521" s="176"/>
      <c r="U2521" s="176"/>
      <c r="V2521" s="176"/>
      <c r="W2521" s="176"/>
      <c r="X2521" s="176"/>
      <c r="Y2521" s="176"/>
    </row>
    <row r="2522" spans="1:25">
      <c r="A2522" s="91"/>
      <c r="B2522" s="176"/>
      <c r="C2522" s="176"/>
      <c r="D2522" s="176"/>
      <c r="E2522" s="176"/>
      <c r="F2522" s="176"/>
      <c r="G2522" s="176"/>
      <c r="H2522" s="176"/>
      <c r="I2522" s="176"/>
      <c r="J2522" s="176"/>
      <c r="K2522" s="176"/>
      <c r="L2522" s="176"/>
      <c r="M2522" s="176"/>
      <c r="N2522" s="176"/>
      <c r="O2522" s="176"/>
      <c r="P2522" s="176"/>
      <c r="Q2522" s="176"/>
      <c r="R2522" s="176"/>
      <c r="S2522" s="176"/>
      <c r="T2522" s="176"/>
      <c r="U2522" s="176"/>
      <c r="V2522" s="176"/>
      <c r="W2522" s="176"/>
      <c r="X2522" s="176"/>
      <c r="Y2522" s="176"/>
    </row>
    <row r="2523" spans="1:25">
      <c r="A2523" s="91"/>
      <c r="B2523" s="176"/>
      <c r="C2523" s="176"/>
      <c r="D2523" s="176"/>
      <c r="E2523" s="176"/>
      <c r="F2523" s="176"/>
      <c r="G2523" s="176"/>
      <c r="H2523" s="176"/>
      <c r="I2523" s="176"/>
      <c r="J2523" s="176"/>
      <c r="K2523" s="176"/>
      <c r="L2523" s="176"/>
      <c r="M2523" s="176"/>
      <c r="N2523" s="176"/>
      <c r="O2523" s="176"/>
      <c r="P2523" s="176"/>
      <c r="Q2523" s="176"/>
      <c r="R2523" s="176"/>
      <c r="S2523" s="176"/>
      <c r="T2523" s="176"/>
      <c r="U2523" s="176"/>
      <c r="V2523" s="176"/>
      <c r="W2523" s="176"/>
      <c r="X2523" s="176"/>
      <c r="Y2523" s="176"/>
    </row>
    <row r="2524" spans="1:25">
      <c r="A2524" s="91"/>
      <c r="B2524" s="176"/>
      <c r="C2524" s="176"/>
      <c r="D2524" s="176"/>
      <c r="E2524" s="176"/>
      <c r="F2524" s="176"/>
      <c r="G2524" s="176"/>
      <c r="H2524" s="176"/>
      <c r="I2524" s="176"/>
      <c r="J2524" s="176"/>
      <c r="K2524" s="176"/>
      <c r="L2524" s="176"/>
      <c r="M2524" s="176"/>
      <c r="N2524" s="176"/>
      <c r="O2524" s="176"/>
      <c r="P2524" s="176"/>
      <c r="Q2524" s="176"/>
      <c r="R2524" s="176"/>
      <c r="S2524" s="176"/>
      <c r="T2524" s="176"/>
      <c r="U2524" s="176"/>
      <c r="V2524" s="176"/>
      <c r="W2524" s="176"/>
      <c r="X2524" s="176"/>
      <c r="Y2524" s="176"/>
    </row>
    <row r="2525" spans="1:25">
      <c r="A2525" s="91"/>
      <c r="B2525" s="176"/>
      <c r="C2525" s="176"/>
      <c r="D2525" s="176"/>
      <c r="E2525" s="176"/>
      <c r="F2525" s="176"/>
      <c r="G2525" s="176"/>
      <c r="H2525" s="176"/>
      <c r="I2525" s="176"/>
      <c r="J2525" s="176"/>
      <c r="K2525" s="176"/>
      <c r="L2525" s="176"/>
      <c r="M2525" s="176"/>
      <c r="N2525" s="176"/>
      <c r="O2525" s="176"/>
      <c r="P2525" s="176"/>
      <c r="Q2525" s="176"/>
      <c r="R2525" s="176"/>
      <c r="S2525" s="176"/>
      <c r="T2525" s="176"/>
      <c r="U2525" s="176"/>
      <c r="V2525" s="176"/>
      <c r="W2525" s="176"/>
      <c r="X2525" s="176"/>
      <c r="Y2525" s="176"/>
    </row>
    <row r="2526" spans="1:25">
      <c r="A2526" s="91"/>
      <c r="B2526" s="176"/>
      <c r="C2526" s="176"/>
      <c r="D2526" s="176"/>
      <c r="E2526" s="176"/>
      <c r="F2526" s="176"/>
      <c r="G2526" s="176"/>
      <c r="H2526" s="176"/>
      <c r="I2526" s="176"/>
      <c r="J2526" s="176"/>
      <c r="K2526" s="176"/>
      <c r="L2526" s="176"/>
      <c r="M2526" s="176"/>
      <c r="N2526" s="176"/>
      <c r="O2526" s="176"/>
      <c r="P2526" s="176"/>
      <c r="Q2526" s="176"/>
      <c r="R2526" s="176"/>
      <c r="S2526" s="176"/>
      <c r="T2526" s="176"/>
      <c r="U2526" s="176"/>
      <c r="V2526" s="176"/>
      <c r="W2526" s="176"/>
      <c r="X2526" s="176"/>
      <c r="Y2526" s="176"/>
    </row>
    <row r="2527" spans="1:25">
      <c r="A2527" s="91"/>
      <c r="B2527" s="176"/>
      <c r="C2527" s="176"/>
      <c r="D2527" s="176"/>
      <c r="E2527" s="176"/>
      <c r="F2527" s="176"/>
      <c r="G2527" s="176"/>
      <c r="H2527" s="176"/>
      <c r="I2527" s="176"/>
      <c r="J2527" s="176"/>
      <c r="K2527" s="176"/>
      <c r="L2527" s="176"/>
      <c r="M2527" s="176"/>
      <c r="N2527" s="176"/>
      <c r="O2527" s="176"/>
      <c r="P2527" s="176"/>
      <c r="Q2527" s="176"/>
      <c r="R2527" s="176"/>
      <c r="S2527" s="176"/>
      <c r="T2527" s="176"/>
      <c r="U2527" s="176"/>
      <c r="V2527" s="176"/>
      <c r="W2527" s="176"/>
      <c r="X2527" s="176"/>
      <c r="Y2527" s="176"/>
    </row>
    <row r="2528" spans="1:25">
      <c r="A2528" s="91"/>
      <c r="B2528" s="176"/>
      <c r="C2528" s="176"/>
      <c r="D2528" s="176"/>
      <c r="E2528" s="176"/>
      <c r="F2528" s="176"/>
      <c r="G2528" s="176"/>
      <c r="H2528" s="176"/>
      <c r="I2528" s="176"/>
      <c r="J2528" s="176"/>
      <c r="K2528" s="176"/>
      <c r="L2528" s="176"/>
      <c r="M2528" s="176"/>
      <c r="N2528" s="176"/>
      <c r="O2528" s="176"/>
      <c r="P2528" s="176"/>
      <c r="Q2528" s="176"/>
      <c r="R2528" s="176"/>
      <c r="S2528" s="176"/>
      <c r="T2528" s="176"/>
      <c r="U2528" s="176"/>
      <c r="V2528" s="176"/>
      <c r="W2528" s="176"/>
      <c r="X2528" s="176"/>
      <c r="Y2528" s="176"/>
    </row>
    <row r="2529" spans="1:25">
      <c r="A2529" s="91"/>
      <c r="B2529" s="176"/>
      <c r="C2529" s="176"/>
      <c r="D2529" s="176"/>
      <c r="E2529" s="176"/>
      <c r="F2529" s="176"/>
      <c r="G2529" s="176"/>
      <c r="H2529" s="176"/>
      <c r="I2529" s="176"/>
      <c r="J2529" s="176"/>
      <c r="K2529" s="176"/>
      <c r="L2529" s="176"/>
      <c r="M2529" s="176"/>
      <c r="N2529" s="176"/>
      <c r="O2529" s="176"/>
      <c r="P2529" s="176"/>
      <c r="Q2529" s="176"/>
      <c r="R2529" s="176"/>
      <c r="S2529" s="176"/>
      <c r="T2529" s="176"/>
      <c r="U2529" s="176"/>
      <c r="V2529" s="176"/>
      <c r="W2529" s="176"/>
      <c r="X2529" s="176"/>
      <c r="Y2529" s="176"/>
    </row>
    <row r="2530" spans="1:25">
      <c r="A2530" s="91"/>
      <c r="B2530" s="176"/>
      <c r="C2530" s="176"/>
      <c r="D2530" s="176"/>
      <c r="E2530" s="176"/>
      <c r="F2530" s="176"/>
      <c r="G2530" s="176"/>
      <c r="H2530" s="176"/>
      <c r="I2530" s="176"/>
      <c r="J2530" s="176"/>
      <c r="K2530" s="176"/>
      <c r="L2530" s="176"/>
      <c r="M2530" s="176"/>
      <c r="N2530" s="176"/>
      <c r="O2530" s="176"/>
      <c r="P2530" s="176"/>
      <c r="Q2530" s="176"/>
      <c r="R2530" s="176"/>
      <c r="S2530" s="176"/>
      <c r="T2530" s="176"/>
      <c r="U2530" s="176"/>
      <c r="V2530" s="176"/>
      <c r="W2530" s="176"/>
      <c r="X2530" s="176"/>
      <c r="Y2530" s="176"/>
    </row>
    <row r="2531" spans="1:25">
      <c r="A2531" s="91"/>
      <c r="B2531" s="176"/>
      <c r="C2531" s="176"/>
      <c r="D2531" s="176"/>
      <c r="E2531" s="176"/>
      <c r="F2531" s="176"/>
      <c r="G2531" s="176"/>
      <c r="H2531" s="176"/>
      <c r="I2531" s="176"/>
      <c r="J2531" s="176"/>
      <c r="K2531" s="176"/>
      <c r="L2531" s="176"/>
      <c r="M2531" s="176"/>
      <c r="N2531" s="176"/>
      <c r="O2531" s="176"/>
      <c r="P2531" s="176"/>
      <c r="Q2531" s="176"/>
      <c r="R2531" s="176"/>
      <c r="S2531" s="176"/>
      <c r="T2531" s="176"/>
      <c r="U2531" s="176"/>
      <c r="V2531" s="176"/>
      <c r="W2531" s="176"/>
      <c r="X2531" s="176"/>
      <c r="Y2531" s="176"/>
    </row>
    <row r="2532" spans="1:25">
      <c r="A2532" s="91"/>
      <c r="B2532" s="176"/>
      <c r="C2532" s="176"/>
      <c r="D2532" s="176"/>
      <c r="E2532" s="176"/>
      <c r="F2532" s="176"/>
      <c r="G2532" s="176"/>
      <c r="H2532" s="176"/>
      <c r="I2532" s="176"/>
      <c r="J2532" s="176"/>
      <c r="K2532" s="176"/>
      <c r="L2532" s="176"/>
      <c r="M2532" s="176"/>
      <c r="N2532" s="176"/>
      <c r="O2532" s="176"/>
      <c r="P2532" s="176"/>
      <c r="Q2532" s="176"/>
      <c r="R2532" s="176"/>
      <c r="S2532" s="176"/>
      <c r="T2532" s="176"/>
      <c r="U2532" s="176"/>
      <c r="V2532" s="176"/>
      <c r="W2532" s="176"/>
      <c r="X2532" s="176"/>
      <c r="Y2532" s="176"/>
    </row>
    <row r="2533" spans="1:25">
      <c r="A2533" s="91"/>
      <c r="B2533" s="176"/>
      <c r="C2533" s="176"/>
      <c r="D2533" s="176"/>
      <c r="E2533" s="176"/>
      <c r="F2533" s="176"/>
      <c r="G2533" s="176"/>
      <c r="H2533" s="176"/>
      <c r="I2533" s="176"/>
      <c r="J2533" s="176"/>
      <c r="K2533" s="176"/>
      <c r="L2533" s="176"/>
      <c r="M2533" s="176"/>
      <c r="N2533" s="176"/>
      <c r="O2533" s="176"/>
      <c r="P2533" s="176"/>
      <c r="Q2533" s="176"/>
      <c r="R2533" s="176"/>
      <c r="S2533" s="176"/>
      <c r="T2533" s="176"/>
      <c r="U2533" s="176"/>
      <c r="V2533" s="176"/>
      <c r="W2533" s="176"/>
      <c r="X2533" s="176"/>
      <c r="Y2533" s="176"/>
    </row>
    <row r="2534" spans="1:25">
      <c r="A2534" s="91"/>
      <c r="B2534" s="176"/>
      <c r="C2534" s="176"/>
      <c r="D2534" s="176"/>
      <c r="E2534" s="176"/>
      <c r="F2534" s="176"/>
      <c r="G2534" s="176"/>
      <c r="H2534" s="176"/>
      <c r="I2534" s="176"/>
      <c r="J2534" s="176"/>
      <c r="K2534" s="176"/>
      <c r="L2534" s="176"/>
      <c r="M2534" s="176"/>
      <c r="N2534" s="176"/>
      <c r="O2534" s="176"/>
      <c r="P2534" s="176"/>
      <c r="Q2534" s="176"/>
      <c r="R2534" s="176"/>
      <c r="S2534" s="176"/>
      <c r="T2534" s="176"/>
      <c r="U2534" s="176"/>
      <c r="V2534" s="176"/>
      <c r="W2534" s="176"/>
      <c r="X2534" s="176"/>
      <c r="Y2534" s="176"/>
    </row>
    <row r="2535" spans="1:25">
      <c r="A2535" s="91"/>
      <c r="B2535" s="176"/>
      <c r="C2535" s="176"/>
      <c r="D2535" s="176"/>
      <c r="E2535" s="176"/>
      <c r="F2535" s="176"/>
      <c r="G2535" s="176"/>
      <c r="H2535" s="176"/>
      <c r="I2535" s="176"/>
      <c r="J2535" s="176"/>
      <c r="K2535" s="176"/>
      <c r="L2535" s="176"/>
      <c r="M2535" s="176"/>
      <c r="N2535" s="176"/>
      <c r="O2535" s="176"/>
      <c r="P2535" s="176"/>
      <c r="Q2535" s="176"/>
      <c r="R2535" s="176"/>
      <c r="S2535" s="176"/>
      <c r="T2535" s="176"/>
      <c r="U2535" s="176"/>
      <c r="V2535" s="176"/>
      <c r="W2535" s="176"/>
      <c r="X2535" s="176"/>
      <c r="Y2535" s="176"/>
    </row>
    <row r="2536" spans="1:25">
      <c r="A2536" s="91"/>
      <c r="B2536" s="176"/>
      <c r="C2536" s="176"/>
      <c r="D2536" s="176"/>
      <c r="E2536" s="176"/>
      <c r="F2536" s="176"/>
      <c r="G2536" s="176"/>
      <c r="H2536" s="176"/>
      <c r="I2536" s="176"/>
      <c r="J2536" s="176"/>
      <c r="K2536" s="176"/>
      <c r="L2536" s="176"/>
      <c r="M2536" s="176"/>
      <c r="N2536" s="176"/>
      <c r="O2536" s="176"/>
      <c r="P2536" s="176"/>
      <c r="Q2536" s="176"/>
      <c r="R2536" s="176"/>
      <c r="S2536" s="176"/>
      <c r="T2536" s="176"/>
      <c r="U2536" s="176"/>
      <c r="V2536" s="176"/>
      <c r="W2536" s="176"/>
      <c r="X2536" s="176"/>
      <c r="Y2536" s="176"/>
    </row>
    <row r="2537" spans="1:25">
      <c r="A2537" s="91"/>
      <c r="B2537" s="176"/>
      <c r="C2537" s="176"/>
      <c r="D2537" s="176"/>
      <c r="E2537" s="176"/>
      <c r="F2537" s="176"/>
      <c r="G2537" s="176"/>
      <c r="H2537" s="176"/>
      <c r="I2537" s="176"/>
      <c r="J2537" s="176"/>
      <c r="K2537" s="176"/>
      <c r="L2537" s="176"/>
      <c r="M2537" s="176"/>
      <c r="N2537" s="176"/>
      <c r="O2537" s="176"/>
      <c r="P2537" s="176"/>
      <c r="Q2537" s="176"/>
      <c r="R2537" s="176"/>
      <c r="S2537" s="176"/>
      <c r="T2537" s="176"/>
      <c r="U2537" s="176"/>
      <c r="V2537" s="176"/>
      <c r="W2537" s="176"/>
      <c r="X2537" s="176"/>
      <c r="Y2537" s="176"/>
    </row>
    <row r="2538" spans="1:25">
      <c r="A2538" s="91"/>
      <c r="B2538" s="176"/>
      <c r="C2538" s="176"/>
      <c r="D2538" s="176"/>
      <c r="E2538" s="176"/>
      <c r="F2538" s="176"/>
      <c r="G2538" s="176"/>
      <c r="H2538" s="176"/>
      <c r="I2538" s="176"/>
      <c r="J2538" s="176"/>
      <c r="K2538" s="176"/>
      <c r="L2538" s="176"/>
      <c r="M2538" s="176"/>
      <c r="N2538" s="176"/>
      <c r="O2538" s="176"/>
      <c r="P2538" s="176"/>
      <c r="Q2538" s="176"/>
      <c r="R2538" s="176"/>
      <c r="S2538" s="176"/>
      <c r="T2538" s="176"/>
      <c r="U2538" s="176"/>
      <c r="V2538" s="176"/>
      <c r="W2538" s="176"/>
      <c r="X2538" s="176"/>
      <c r="Y2538" s="176"/>
    </row>
    <row r="2539" spans="1:25">
      <c r="A2539" s="91"/>
      <c r="B2539" s="176"/>
      <c r="C2539" s="176"/>
      <c r="D2539" s="176"/>
      <c r="E2539" s="176"/>
      <c r="F2539" s="176"/>
      <c r="G2539" s="176"/>
      <c r="H2539" s="176"/>
      <c r="I2539" s="176"/>
      <c r="J2539" s="176"/>
      <c r="K2539" s="176"/>
      <c r="L2539" s="176"/>
      <c r="M2539" s="176"/>
      <c r="N2539" s="176"/>
      <c r="O2539" s="176"/>
      <c r="P2539" s="176"/>
      <c r="Q2539" s="176"/>
      <c r="R2539" s="176"/>
      <c r="S2539" s="176"/>
      <c r="T2539" s="176"/>
      <c r="U2539" s="176"/>
      <c r="V2539" s="176"/>
      <c r="W2539" s="176"/>
      <c r="X2539" s="176"/>
      <c r="Y2539" s="176"/>
    </row>
    <row r="2540" spans="1:25">
      <c r="A2540" s="91"/>
      <c r="B2540" s="176"/>
      <c r="C2540" s="176"/>
      <c r="D2540" s="176"/>
      <c r="E2540" s="176"/>
      <c r="F2540" s="176"/>
      <c r="G2540" s="176"/>
      <c r="H2540" s="176"/>
      <c r="I2540" s="176"/>
      <c r="J2540" s="176"/>
      <c r="K2540" s="176"/>
      <c r="L2540" s="176"/>
      <c r="M2540" s="176"/>
      <c r="N2540" s="176"/>
      <c r="O2540" s="176"/>
      <c r="P2540" s="176"/>
      <c r="Q2540" s="176"/>
      <c r="R2540" s="176"/>
      <c r="S2540" s="176"/>
      <c r="T2540" s="176"/>
      <c r="U2540" s="176"/>
      <c r="V2540" s="176"/>
      <c r="W2540" s="176"/>
      <c r="X2540" s="176"/>
      <c r="Y2540" s="176"/>
    </row>
    <row r="2541" spans="1:25">
      <c r="A2541" s="91"/>
      <c r="B2541" s="176"/>
      <c r="C2541" s="176"/>
      <c r="D2541" s="176"/>
      <c r="E2541" s="176"/>
      <c r="F2541" s="176"/>
      <c r="G2541" s="176"/>
      <c r="H2541" s="176"/>
      <c r="I2541" s="176"/>
      <c r="J2541" s="176"/>
      <c r="K2541" s="176"/>
      <c r="L2541" s="176"/>
      <c r="M2541" s="176"/>
      <c r="N2541" s="176"/>
      <c r="O2541" s="176"/>
      <c r="P2541" s="176"/>
      <c r="Q2541" s="176"/>
      <c r="R2541" s="176"/>
      <c r="S2541" s="176"/>
      <c r="T2541" s="176"/>
      <c r="U2541" s="176"/>
      <c r="V2541" s="176"/>
      <c r="W2541" s="176"/>
      <c r="X2541" s="176"/>
      <c r="Y2541" s="176"/>
    </row>
    <row r="2542" spans="1:25">
      <c r="A2542" s="91"/>
      <c r="B2542" s="176"/>
      <c r="C2542" s="176"/>
      <c r="D2542" s="176"/>
      <c r="E2542" s="176"/>
      <c r="F2542" s="176"/>
      <c r="G2542" s="176"/>
      <c r="H2542" s="176"/>
      <c r="I2542" s="176"/>
      <c r="J2542" s="176"/>
      <c r="K2542" s="176"/>
      <c r="L2542" s="176"/>
      <c r="M2542" s="176"/>
      <c r="N2542" s="176"/>
      <c r="O2542" s="176"/>
      <c r="P2542" s="176"/>
      <c r="Q2542" s="176"/>
      <c r="R2542" s="176"/>
      <c r="S2542" s="176"/>
      <c r="T2542" s="176"/>
      <c r="U2542" s="176"/>
      <c r="V2542" s="176"/>
      <c r="W2542" s="176"/>
      <c r="X2542" s="176"/>
      <c r="Y2542" s="176"/>
    </row>
    <row r="2543" spans="1:25">
      <c r="A2543" s="91"/>
      <c r="B2543" s="176"/>
      <c r="C2543" s="176"/>
      <c r="D2543" s="176"/>
      <c r="E2543" s="176"/>
      <c r="F2543" s="176"/>
      <c r="G2543" s="176"/>
      <c r="H2543" s="176"/>
      <c r="I2543" s="176"/>
      <c r="J2543" s="176"/>
      <c r="K2543" s="176"/>
      <c r="L2543" s="176"/>
      <c r="M2543" s="176"/>
      <c r="N2543" s="176"/>
      <c r="O2543" s="176"/>
      <c r="P2543" s="176"/>
      <c r="Q2543" s="176"/>
      <c r="R2543" s="176"/>
      <c r="S2543" s="176"/>
      <c r="T2543" s="176"/>
      <c r="U2543" s="176"/>
      <c r="V2543" s="176"/>
      <c r="W2543" s="176"/>
      <c r="X2543" s="176"/>
      <c r="Y2543" s="176"/>
    </row>
    <row r="2544" spans="1:25">
      <c r="A2544" s="91"/>
      <c r="B2544" s="176"/>
      <c r="C2544" s="176"/>
      <c r="D2544" s="176"/>
      <c r="E2544" s="176"/>
      <c r="F2544" s="176"/>
      <c r="G2544" s="176"/>
      <c r="H2544" s="176"/>
      <c r="I2544" s="176"/>
      <c r="J2544" s="176"/>
      <c r="K2544" s="176"/>
      <c r="L2544" s="176"/>
      <c r="M2544" s="176"/>
      <c r="N2544" s="176"/>
      <c r="O2544" s="176"/>
      <c r="P2544" s="176"/>
      <c r="Q2544" s="176"/>
      <c r="R2544" s="176"/>
      <c r="S2544" s="176"/>
      <c r="T2544" s="176"/>
      <c r="U2544" s="176"/>
      <c r="V2544" s="176"/>
      <c r="W2544" s="176"/>
      <c r="X2544" s="176"/>
      <c r="Y2544" s="176"/>
    </row>
    <row r="2545" spans="1:25">
      <c r="A2545" s="91"/>
      <c r="B2545" s="176"/>
      <c r="C2545" s="176"/>
      <c r="D2545" s="176"/>
      <c r="E2545" s="176"/>
      <c r="F2545" s="176"/>
      <c r="G2545" s="176"/>
      <c r="H2545" s="176"/>
      <c r="I2545" s="176"/>
      <c r="J2545" s="176"/>
      <c r="K2545" s="176"/>
      <c r="L2545" s="176"/>
      <c r="M2545" s="176"/>
      <c r="N2545" s="176"/>
      <c r="O2545" s="176"/>
      <c r="P2545" s="176"/>
      <c r="Q2545" s="176"/>
      <c r="R2545" s="176"/>
      <c r="S2545" s="176"/>
      <c r="T2545" s="176"/>
      <c r="U2545" s="176"/>
      <c r="V2545" s="176"/>
      <c r="W2545" s="176"/>
      <c r="X2545" s="176"/>
      <c r="Y2545" s="176"/>
    </row>
    <row r="2546" spans="1:25">
      <c r="A2546" s="91"/>
      <c r="B2546" s="176"/>
      <c r="C2546" s="176"/>
      <c r="D2546" s="176"/>
      <c r="E2546" s="176"/>
      <c r="F2546" s="176"/>
      <c r="G2546" s="176"/>
      <c r="H2546" s="176"/>
      <c r="I2546" s="176"/>
      <c r="J2546" s="176"/>
      <c r="K2546" s="176"/>
      <c r="L2546" s="176"/>
      <c r="M2546" s="176"/>
      <c r="N2546" s="176"/>
      <c r="O2546" s="176"/>
      <c r="P2546" s="176"/>
      <c r="Q2546" s="176"/>
      <c r="R2546" s="176"/>
      <c r="S2546" s="176"/>
      <c r="T2546" s="176"/>
      <c r="U2546" s="176"/>
      <c r="V2546" s="176"/>
      <c r="W2546" s="176"/>
      <c r="X2546" s="176"/>
      <c r="Y2546" s="176"/>
    </row>
    <row r="2547" spans="1:25">
      <c r="A2547" s="91"/>
      <c r="B2547" s="176"/>
      <c r="C2547" s="176"/>
      <c r="D2547" s="176"/>
      <c r="E2547" s="176"/>
      <c r="F2547" s="176"/>
      <c r="G2547" s="176"/>
      <c r="H2547" s="176"/>
      <c r="I2547" s="176"/>
      <c r="J2547" s="176"/>
      <c r="K2547" s="176"/>
      <c r="L2547" s="176"/>
      <c r="M2547" s="176"/>
      <c r="N2547" s="176"/>
      <c r="O2547" s="176"/>
      <c r="P2547" s="176"/>
      <c r="Q2547" s="176"/>
      <c r="R2547" s="176"/>
      <c r="S2547" s="176"/>
      <c r="T2547" s="176"/>
      <c r="U2547" s="176"/>
      <c r="V2547" s="176"/>
      <c r="W2547" s="176"/>
      <c r="X2547" s="176"/>
      <c r="Y2547" s="176"/>
    </row>
    <row r="2548" spans="1:25">
      <c r="A2548" s="91"/>
      <c r="B2548" s="176"/>
      <c r="C2548" s="176"/>
      <c r="D2548" s="176"/>
      <c r="E2548" s="176"/>
      <c r="F2548" s="176"/>
      <c r="G2548" s="176"/>
      <c r="H2548" s="176"/>
      <c r="I2548" s="176"/>
      <c r="J2548" s="176"/>
      <c r="K2548" s="176"/>
      <c r="L2548" s="176"/>
      <c r="M2548" s="176"/>
      <c r="N2548" s="176"/>
      <c r="O2548" s="176"/>
      <c r="P2548" s="176"/>
      <c r="Q2548" s="176"/>
      <c r="R2548" s="176"/>
      <c r="S2548" s="176"/>
      <c r="T2548" s="176"/>
      <c r="U2548" s="176"/>
      <c r="V2548" s="176"/>
      <c r="W2548" s="176"/>
      <c r="X2548" s="176"/>
      <c r="Y2548" s="176"/>
    </row>
    <row r="2549" spans="1:25">
      <c r="A2549" s="91"/>
      <c r="B2549" s="176"/>
      <c r="C2549" s="176"/>
      <c r="D2549" s="176"/>
      <c r="E2549" s="176"/>
      <c r="F2549" s="176"/>
      <c r="G2549" s="176"/>
      <c r="H2549" s="176"/>
      <c r="I2549" s="176"/>
      <c r="J2549" s="176"/>
      <c r="K2549" s="176"/>
      <c r="L2549" s="176"/>
      <c r="M2549" s="176"/>
      <c r="N2549" s="176"/>
      <c r="O2549" s="176"/>
      <c r="P2549" s="176"/>
      <c r="Q2549" s="176"/>
      <c r="R2549" s="176"/>
      <c r="S2549" s="176"/>
      <c r="T2549" s="176"/>
      <c r="U2549" s="176"/>
      <c r="V2549" s="176"/>
      <c r="W2549" s="176"/>
      <c r="X2549" s="176"/>
      <c r="Y2549" s="176"/>
    </row>
    <row r="2550" spans="1:25">
      <c r="A2550" s="91"/>
      <c r="B2550" s="176"/>
      <c r="C2550" s="176"/>
      <c r="D2550" s="176"/>
      <c r="E2550" s="176"/>
      <c r="F2550" s="176"/>
      <c r="G2550" s="176"/>
      <c r="H2550" s="176"/>
      <c r="I2550" s="176"/>
      <c r="J2550" s="176"/>
      <c r="K2550" s="176"/>
      <c r="L2550" s="176"/>
      <c r="M2550" s="176"/>
      <c r="N2550" s="176"/>
      <c r="O2550" s="176"/>
      <c r="P2550" s="176"/>
      <c r="Q2550" s="176"/>
      <c r="R2550" s="176"/>
      <c r="S2550" s="176"/>
      <c r="T2550" s="176"/>
      <c r="U2550" s="176"/>
      <c r="V2550" s="176"/>
      <c r="W2550" s="176"/>
      <c r="X2550" s="176"/>
      <c r="Y2550" s="176"/>
    </row>
    <row r="2551" spans="1:25">
      <c r="A2551" s="91"/>
      <c r="B2551" s="176"/>
      <c r="C2551" s="176"/>
      <c r="D2551" s="176"/>
      <c r="E2551" s="176"/>
      <c r="F2551" s="176"/>
      <c r="G2551" s="176"/>
      <c r="H2551" s="176"/>
      <c r="I2551" s="176"/>
      <c r="J2551" s="176"/>
      <c r="K2551" s="176"/>
      <c r="L2551" s="176"/>
      <c r="M2551" s="176"/>
      <c r="N2551" s="176"/>
      <c r="O2551" s="176"/>
      <c r="P2551" s="176"/>
      <c r="Q2551" s="176"/>
      <c r="R2551" s="176"/>
      <c r="S2551" s="176"/>
      <c r="T2551" s="176"/>
      <c r="U2551" s="176"/>
      <c r="V2551" s="176"/>
      <c r="W2551" s="176"/>
      <c r="X2551" s="176"/>
      <c r="Y2551" s="176"/>
    </row>
    <row r="2552" spans="1:25">
      <c r="A2552" s="91"/>
      <c r="B2552" s="176"/>
      <c r="C2552" s="176"/>
      <c r="D2552" s="176"/>
      <c r="E2552" s="176"/>
      <c r="F2552" s="176"/>
      <c r="G2552" s="176"/>
      <c r="H2552" s="176"/>
      <c r="I2552" s="176"/>
      <c r="J2552" s="176"/>
      <c r="K2552" s="176"/>
      <c r="L2552" s="176"/>
      <c r="M2552" s="176"/>
      <c r="N2552" s="176"/>
      <c r="O2552" s="176"/>
      <c r="P2552" s="176"/>
      <c r="Q2552" s="176"/>
      <c r="R2552" s="176"/>
      <c r="S2552" s="176"/>
      <c r="T2552" s="176"/>
      <c r="U2552" s="176"/>
      <c r="V2552" s="176"/>
      <c r="W2552" s="176"/>
      <c r="X2552" s="176"/>
      <c r="Y2552" s="176"/>
    </row>
    <row r="2553" spans="1:25">
      <c r="A2553" s="91"/>
      <c r="B2553" s="176"/>
      <c r="C2553" s="176"/>
      <c r="D2553" s="176"/>
      <c r="E2553" s="176"/>
      <c r="F2553" s="176"/>
      <c r="G2553" s="176"/>
      <c r="H2553" s="176"/>
      <c r="I2553" s="176"/>
      <c r="J2553" s="176"/>
      <c r="K2553" s="176"/>
      <c r="L2553" s="176"/>
      <c r="M2553" s="176"/>
      <c r="N2553" s="176"/>
      <c r="O2553" s="176"/>
      <c r="P2553" s="176"/>
      <c r="Q2553" s="176"/>
      <c r="R2553" s="176"/>
      <c r="S2553" s="176"/>
      <c r="T2553" s="176"/>
      <c r="U2553" s="176"/>
      <c r="V2553" s="176"/>
      <c r="W2553" s="176"/>
      <c r="X2553" s="176"/>
      <c r="Y2553" s="176"/>
    </row>
    <row r="2554" spans="1:25">
      <c r="A2554" s="91"/>
      <c r="B2554" s="176"/>
      <c r="C2554" s="176"/>
      <c r="D2554" s="176"/>
      <c r="E2554" s="176"/>
      <c r="F2554" s="176"/>
      <c r="G2554" s="176"/>
      <c r="H2554" s="176"/>
      <c r="I2554" s="176"/>
      <c r="J2554" s="176"/>
      <c r="K2554" s="176"/>
      <c r="L2554" s="176"/>
      <c r="M2554" s="176"/>
      <c r="N2554" s="176"/>
      <c r="O2554" s="176"/>
      <c r="P2554" s="176"/>
      <c r="Q2554" s="176"/>
      <c r="R2554" s="176"/>
      <c r="S2554" s="176"/>
      <c r="T2554" s="176"/>
      <c r="U2554" s="176"/>
      <c r="V2554" s="176"/>
      <c r="W2554" s="176"/>
      <c r="X2554" s="176"/>
      <c r="Y2554" s="176"/>
    </row>
    <row r="2555" spans="1:25">
      <c r="A2555" s="91"/>
      <c r="B2555" s="176"/>
      <c r="C2555" s="176"/>
      <c r="D2555" s="176"/>
      <c r="E2555" s="176"/>
      <c r="F2555" s="176"/>
      <c r="G2555" s="176"/>
      <c r="H2555" s="176"/>
      <c r="I2555" s="176"/>
      <c r="J2555" s="176"/>
      <c r="K2555" s="176"/>
      <c r="L2555" s="176"/>
      <c r="M2555" s="176"/>
      <c r="N2555" s="176"/>
      <c r="O2555" s="176"/>
      <c r="P2555" s="176"/>
      <c r="Q2555" s="176"/>
      <c r="R2555" s="176"/>
      <c r="S2555" s="176"/>
      <c r="T2555" s="176"/>
      <c r="U2555" s="176"/>
      <c r="V2555" s="176"/>
      <c r="W2555" s="176"/>
      <c r="X2555" s="176"/>
      <c r="Y2555" s="176"/>
    </row>
    <row r="2556" spans="1:25">
      <c r="A2556" s="91"/>
      <c r="B2556" s="176"/>
      <c r="C2556" s="176"/>
      <c r="D2556" s="176"/>
      <c r="E2556" s="176"/>
      <c r="F2556" s="176"/>
      <c r="G2556" s="176"/>
      <c r="H2556" s="176"/>
      <c r="I2556" s="176"/>
      <c r="J2556" s="176"/>
      <c r="K2556" s="176"/>
      <c r="L2556" s="176"/>
      <c r="M2556" s="176"/>
      <c r="N2556" s="176"/>
      <c r="O2556" s="176"/>
      <c r="P2556" s="176"/>
      <c r="Q2556" s="176"/>
      <c r="R2556" s="176"/>
      <c r="S2556" s="176"/>
      <c r="T2556" s="176"/>
      <c r="U2556" s="176"/>
      <c r="V2556" s="176"/>
      <c r="W2556" s="176"/>
      <c r="X2556" s="176"/>
      <c r="Y2556" s="176"/>
    </row>
    <row r="2557" spans="1:25">
      <c r="A2557" s="91"/>
      <c r="B2557" s="176"/>
      <c r="C2557" s="176"/>
      <c r="D2557" s="176"/>
      <c r="E2557" s="176"/>
      <c r="F2557" s="176"/>
      <c r="G2557" s="176"/>
      <c r="H2557" s="176"/>
      <c r="I2557" s="176"/>
      <c r="J2557" s="176"/>
      <c r="K2557" s="176"/>
      <c r="L2557" s="176"/>
      <c r="M2557" s="176"/>
      <c r="N2557" s="176"/>
      <c r="O2557" s="176"/>
      <c r="P2557" s="176"/>
      <c r="Q2557" s="176"/>
      <c r="R2557" s="176"/>
      <c r="S2557" s="176"/>
      <c r="T2557" s="176"/>
      <c r="U2557" s="176"/>
      <c r="V2557" s="176"/>
      <c r="W2557" s="176"/>
      <c r="X2557" s="176"/>
      <c r="Y2557" s="176"/>
    </row>
    <row r="2558" spans="1:25">
      <c r="A2558" s="91"/>
      <c r="B2558" s="176"/>
      <c r="C2558" s="176"/>
      <c r="D2558" s="176"/>
      <c r="E2558" s="176"/>
      <c r="F2558" s="176"/>
      <c r="G2558" s="176"/>
      <c r="H2558" s="176"/>
      <c r="I2558" s="176"/>
      <c r="J2558" s="176"/>
      <c r="K2558" s="176"/>
      <c r="L2558" s="176"/>
      <c r="M2558" s="176"/>
      <c r="N2558" s="176"/>
      <c r="O2558" s="176"/>
      <c r="P2558" s="176"/>
      <c r="Q2558" s="176"/>
      <c r="R2558" s="176"/>
      <c r="S2558" s="176"/>
      <c r="T2558" s="176"/>
      <c r="U2558" s="176"/>
      <c r="V2558" s="176"/>
      <c r="W2558" s="176"/>
      <c r="X2558" s="176"/>
      <c r="Y2558" s="176"/>
    </row>
    <row r="2559" spans="1:25">
      <c r="A2559" s="91"/>
      <c r="B2559" s="176"/>
      <c r="C2559" s="176"/>
      <c r="D2559" s="176"/>
      <c r="E2559" s="176"/>
      <c r="F2559" s="176"/>
      <c r="G2559" s="176"/>
      <c r="H2559" s="176"/>
      <c r="I2559" s="176"/>
      <c r="J2559" s="176"/>
      <c r="K2559" s="176"/>
      <c r="L2559" s="176"/>
      <c r="M2559" s="176"/>
      <c r="N2559" s="176"/>
      <c r="O2559" s="176"/>
      <c r="P2559" s="176"/>
      <c r="Q2559" s="176"/>
      <c r="R2559" s="176"/>
      <c r="S2559" s="176"/>
      <c r="T2559" s="176"/>
      <c r="U2559" s="176"/>
      <c r="V2559" s="176"/>
      <c r="W2559" s="176"/>
      <c r="X2559" s="176"/>
      <c r="Y2559" s="176"/>
    </row>
    <row r="2560" spans="1:25">
      <c r="A2560" s="91"/>
      <c r="B2560" s="176"/>
      <c r="C2560" s="176"/>
      <c r="D2560" s="176"/>
      <c r="E2560" s="176"/>
      <c r="F2560" s="176"/>
      <c r="G2560" s="176"/>
      <c r="H2560" s="176"/>
      <c r="I2560" s="176"/>
      <c r="J2560" s="176"/>
      <c r="K2560" s="176"/>
      <c r="L2560" s="176"/>
      <c r="M2560" s="176"/>
      <c r="N2560" s="176"/>
      <c r="O2560" s="176"/>
      <c r="P2560" s="176"/>
      <c r="Q2560" s="176"/>
      <c r="R2560" s="176"/>
      <c r="S2560" s="176"/>
      <c r="T2560" s="176"/>
      <c r="U2560" s="176"/>
      <c r="V2560" s="176"/>
      <c r="W2560" s="176"/>
      <c r="X2560" s="176"/>
      <c r="Y2560" s="176"/>
    </row>
    <row r="2561" spans="1:25">
      <c r="A2561" s="91"/>
      <c r="B2561" s="176"/>
      <c r="C2561" s="176"/>
      <c r="D2561" s="176"/>
      <c r="E2561" s="176"/>
      <c r="F2561" s="176"/>
      <c r="G2561" s="176"/>
      <c r="H2561" s="176"/>
      <c r="I2561" s="176"/>
      <c r="J2561" s="176"/>
      <c r="K2561" s="176"/>
      <c r="L2561" s="176"/>
      <c r="M2561" s="176"/>
      <c r="N2561" s="176"/>
      <c r="O2561" s="176"/>
      <c r="P2561" s="176"/>
      <c r="Q2561" s="176"/>
      <c r="R2561" s="176"/>
      <c r="S2561" s="176"/>
      <c r="T2561" s="176"/>
      <c r="U2561" s="176"/>
      <c r="V2561" s="176"/>
      <c r="W2561" s="176"/>
      <c r="X2561" s="176"/>
      <c r="Y2561" s="176"/>
    </row>
    <row r="2562" spans="1:25">
      <c r="A2562" s="91"/>
      <c r="B2562" s="176"/>
      <c r="C2562" s="176"/>
      <c r="D2562" s="176"/>
      <c r="E2562" s="176"/>
      <c r="F2562" s="176"/>
      <c r="G2562" s="176"/>
      <c r="H2562" s="176"/>
      <c r="I2562" s="176"/>
      <c r="J2562" s="176"/>
      <c r="K2562" s="176"/>
      <c r="L2562" s="176"/>
      <c r="M2562" s="176"/>
      <c r="N2562" s="176"/>
      <c r="O2562" s="176"/>
      <c r="P2562" s="176"/>
      <c r="Q2562" s="176"/>
      <c r="R2562" s="176"/>
      <c r="S2562" s="176"/>
      <c r="T2562" s="176"/>
      <c r="U2562" s="176"/>
      <c r="V2562" s="176"/>
      <c r="W2562" s="176"/>
      <c r="X2562" s="176"/>
      <c r="Y2562" s="176"/>
    </row>
    <row r="2563" spans="1:25">
      <c r="A2563" s="91"/>
      <c r="B2563" s="176"/>
      <c r="C2563" s="176"/>
      <c r="D2563" s="176"/>
      <c r="E2563" s="176"/>
      <c r="F2563" s="176"/>
      <c r="G2563" s="176"/>
      <c r="H2563" s="176"/>
      <c r="I2563" s="176"/>
      <c r="J2563" s="176"/>
      <c r="K2563" s="176"/>
      <c r="L2563" s="176"/>
      <c r="M2563" s="176"/>
      <c r="N2563" s="176"/>
      <c r="O2563" s="176"/>
      <c r="P2563" s="176"/>
      <c r="Q2563" s="176"/>
      <c r="R2563" s="176"/>
      <c r="S2563" s="176"/>
      <c r="T2563" s="176"/>
      <c r="U2563" s="176"/>
      <c r="V2563" s="176"/>
      <c r="W2563" s="176"/>
      <c r="X2563" s="176"/>
      <c r="Y2563" s="176"/>
    </row>
    <row r="2564" spans="1:25">
      <c r="A2564" s="91"/>
      <c r="B2564" s="176"/>
      <c r="C2564" s="176"/>
      <c r="D2564" s="176"/>
      <c r="E2564" s="176"/>
      <c r="F2564" s="176"/>
      <c r="G2564" s="176"/>
      <c r="H2564" s="176"/>
      <c r="I2564" s="176"/>
      <c r="J2564" s="176"/>
      <c r="K2564" s="176"/>
      <c r="L2564" s="176"/>
      <c r="M2564" s="176"/>
      <c r="N2564" s="176"/>
      <c r="O2564" s="176"/>
      <c r="P2564" s="176"/>
      <c r="Q2564" s="176"/>
      <c r="R2564" s="176"/>
      <c r="S2564" s="176"/>
      <c r="T2564" s="176"/>
      <c r="U2564" s="176"/>
      <c r="V2564" s="176"/>
      <c r="W2564" s="176"/>
      <c r="X2564" s="176"/>
      <c r="Y2564" s="176"/>
    </row>
    <row r="2565" spans="1:25">
      <c r="A2565" s="91"/>
      <c r="B2565" s="176"/>
      <c r="C2565" s="176"/>
      <c r="D2565" s="176"/>
      <c r="E2565" s="176"/>
      <c r="F2565" s="176"/>
      <c r="G2565" s="176"/>
      <c r="H2565" s="176"/>
      <c r="I2565" s="176"/>
      <c r="J2565" s="176"/>
      <c r="K2565" s="176"/>
      <c r="L2565" s="176"/>
      <c r="M2565" s="176"/>
      <c r="N2565" s="176"/>
      <c r="O2565" s="176"/>
      <c r="P2565" s="176"/>
      <c r="Q2565" s="176"/>
      <c r="R2565" s="176"/>
      <c r="S2565" s="176"/>
      <c r="T2565" s="176"/>
      <c r="U2565" s="176"/>
      <c r="V2565" s="176"/>
      <c r="W2565" s="176"/>
      <c r="X2565" s="176"/>
      <c r="Y2565" s="176"/>
    </row>
    <row r="2566" spans="1:25">
      <c r="A2566" s="91"/>
      <c r="B2566" s="176"/>
      <c r="C2566" s="176"/>
      <c r="D2566" s="176"/>
      <c r="E2566" s="176"/>
      <c r="F2566" s="176"/>
      <c r="G2566" s="176"/>
      <c r="H2566" s="176"/>
      <c r="I2566" s="176"/>
      <c r="J2566" s="176"/>
      <c r="K2566" s="176"/>
      <c r="L2566" s="176"/>
      <c r="M2566" s="176"/>
      <c r="N2566" s="176"/>
      <c r="O2566" s="176"/>
      <c r="P2566" s="176"/>
      <c r="Q2566" s="176"/>
      <c r="R2566" s="176"/>
      <c r="S2566" s="176"/>
      <c r="T2566" s="176"/>
      <c r="U2566" s="176"/>
      <c r="V2566" s="176"/>
      <c r="W2566" s="176"/>
      <c r="X2566" s="176"/>
      <c r="Y2566" s="176"/>
    </row>
    <row r="2567" spans="1:25">
      <c r="A2567" s="91"/>
      <c r="B2567" s="176"/>
      <c r="C2567" s="176"/>
      <c r="D2567" s="176"/>
      <c r="E2567" s="176"/>
      <c r="F2567" s="176"/>
      <c r="G2567" s="176"/>
      <c r="H2567" s="176"/>
      <c r="I2567" s="176"/>
      <c r="J2567" s="176"/>
      <c r="K2567" s="176"/>
      <c r="L2567" s="176"/>
      <c r="M2567" s="176"/>
      <c r="N2567" s="176"/>
      <c r="O2567" s="176"/>
      <c r="P2567" s="176"/>
      <c r="Q2567" s="176"/>
      <c r="R2567" s="176"/>
      <c r="S2567" s="176"/>
      <c r="T2567" s="176"/>
      <c r="U2567" s="176"/>
      <c r="V2567" s="176"/>
      <c r="W2567" s="176"/>
      <c r="X2567" s="176"/>
      <c r="Y2567" s="176"/>
    </row>
    <row r="2568" spans="1:25">
      <c r="A2568" s="91"/>
      <c r="B2568" s="176"/>
      <c r="C2568" s="176"/>
      <c r="D2568" s="176"/>
      <c r="E2568" s="176"/>
      <c r="F2568" s="176"/>
      <c r="G2568" s="176"/>
      <c r="H2568" s="176"/>
      <c r="I2568" s="176"/>
      <c r="J2568" s="176"/>
      <c r="K2568" s="176"/>
      <c r="L2568" s="176"/>
      <c r="M2568" s="176"/>
      <c r="N2568" s="176"/>
      <c r="O2568" s="176"/>
      <c r="P2568" s="176"/>
      <c r="Q2568" s="176"/>
      <c r="R2568" s="176"/>
      <c r="S2568" s="176"/>
      <c r="T2568" s="176"/>
      <c r="U2568" s="176"/>
      <c r="V2568" s="176"/>
      <c r="W2568" s="176"/>
      <c r="X2568" s="176"/>
      <c r="Y2568" s="176"/>
    </row>
    <row r="2569" spans="1:25">
      <c r="A2569" s="91"/>
      <c r="B2569" s="176"/>
      <c r="C2569" s="176"/>
      <c r="D2569" s="176"/>
      <c r="E2569" s="176"/>
      <c r="F2569" s="176"/>
      <c r="G2569" s="176"/>
      <c r="H2569" s="176"/>
      <c r="I2569" s="176"/>
      <c r="J2569" s="176"/>
      <c r="K2569" s="176"/>
      <c r="L2569" s="176"/>
      <c r="M2569" s="176"/>
      <c r="N2569" s="176"/>
      <c r="O2569" s="176"/>
      <c r="P2569" s="176"/>
      <c r="Q2569" s="176"/>
      <c r="R2569" s="176"/>
      <c r="S2569" s="176"/>
      <c r="T2569" s="176"/>
      <c r="U2569" s="176"/>
      <c r="V2569" s="176"/>
      <c r="W2569" s="176"/>
      <c r="X2569" s="176"/>
      <c r="Y2569" s="176"/>
    </row>
    <row r="2570" spans="1:25">
      <c r="A2570" s="91"/>
      <c r="B2570" s="176"/>
      <c r="C2570" s="176"/>
      <c r="D2570" s="176"/>
      <c r="E2570" s="176"/>
      <c r="F2570" s="176"/>
      <c r="G2570" s="176"/>
      <c r="H2570" s="176"/>
      <c r="I2570" s="176"/>
      <c r="J2570" s="176"/>
      <c r="K2570" s="176"/>
      <c r="L2570" s="176"/>
      <c r="M2570" s="176"/>
      <c r="N2570" s="176"/>
      <c r="O2570" s="176"/>
      <c r="P2570" s="176"/>
      <c r="Q2570" s="176"/>
      <c r="R2570" s="176"/>
      <c r="S2570" s="176"/>
      <c r="T2570" s="176"/>
      <c r="U2570" s="176"/>
      <c r="V2570" s="176"/>
      <c r="W2570" s="176"/>
      <c r="X2570" s="176"/>
      <c r="Y2570" s="176"/>
    </row>
    <row r="2571" spans="1:25">
      <c r="A2571" s="91"/>
      <c r="B2571" s="176"/>
      <c r="C2571" s="176"/>
      <c r="D2571" s="176"/>
      <c r="E2571" s="176"/>
      <c r="F2571" s="176"/>
      <c r="G2571" s="176"/>
      <c r="H2571" s="176"/>
      <c r="I2571" s="176"/>
      <c r="J2571" s="176"/>
      <c r="K2571" s="176"/>
      <c r="L2571" s="176"/>
      <c r="M2571" s="176"/>
      <c r="N2571" s="176"/>
      <c r="O2571" s="176"/>
      <c r="P2571" s="176"/>
      <c r="Q2571" s="176"/>
      <c r="R2571" s="176"/>
      <c r="S2571" s="176"/>
      <c r="T2571" s="176"/>
      <c r="U2571" s="176"/>
      <c r="V2571" s="176"/>
      <c r="W2571" s="176"/>
      <c r="X2571" s="176"/>
      <c r="Y2571" s="176"/>
    </row>
    <row r="2572" spans="1:25">
      <c r="A2572" s="91"/>
      <c r="B2572" s="176"/>
      <c r="C2572" s="176"/>
      <c r="D2572" s="176"/>
      <c r="E2572" s="176"/>
      <c r="F2572" s="176"/>
      <c r="G2572" s="176"/>
      <c r="H2572" s="176"/>
      <c r="I2572" s="176"/>
      <c r="J2572" s="176"/>
      <c r="K2572" s="176"/>
      <c r="L2572" s="176"/>
      <c r="M2572" s="176"/>
      <c r="N2572" s="176"/>
      <c r="O2572" s="176"/>
      <c r="P2572" s="176"/>
      <c r="Q2572" s="176"/>
      <c r="R2572" s="176"/>
      <c r="S2572" s="176"/>
      <c r="T2572" s="176"/>
      <c r="U2572" s="176"/>
      <c r="V2572" s="176"/>
      <c r="W2572" s="176"/>
      <c r="X2572" s="176"/>
      <c r="Y2572" s="176"/>
    </row>
    <row r="2573" spans="1:25">
      <c r="A2573" s="91"/>
      <c r="B2573" s="176"/>
      <c r="C2573" s="176"/>
      <c r="D2573" s="176"/>
      <c r="E2573" s="176"/>
      <c r="F2573" s="176"/>
      <c r="G2573" s="176"/>
      <c r="H2573" s="176"/>
      <c r="I2573" s="176"/>
      <c r="J2573" s="176"/>
      <c r="K2573" s="176"/>
      <c r="L2573" s="176"/>
      <c r="M2573" s="176"/>
      <c r="N2573" s="176"/>
      <c r="O2573" s="176"/>
      <c r="P2573" s="176"/>
      <c r="Q2573" s="176"/>
      <c r="R2573" s="176"/>
      <c r="S2573" s="176"/>
      <c r="T2573" s="176"/>
      <c r="U2573" s="176"/>
      <c r="V2573" s="176"/>
      <c r="W2573" s="176"/>
      <c r="X2573" s="176"/>
      <c r="Y2573" s="176"/>
    </row>
    <row r="2574" spans="1:25">
      <c r="A2574" s="91"/>
      <c r="B2574" s="176"/>
      <c r="C2574" s="176"/>
      <c r="D2574" s="176"/>
      <c r="E2574" s="176"/>
      <c r="F2574" s="176"/>
      <c r="G2574" s="176"/>
      <c r="H2574" s="176"/>
      <c r="I2574" s="176"/>
      <c r="J2574" s="176"/>
      <c r="K2574" s="176"/>
      <c r="L2574" s="176"/>
      <c r="M2574" s="176"/>
      <c r="N2574" s="176"/>
      <c r="O2574" s="176"/>
      <c r="P2574" s="176"/>
      <c r="Q2574" s="176"/>
      <c r="R2574" s="176"/>
      <c r="S2574" s="176"/>
      <c r="T2574" s="176"/>
      <c r="U2574" s="176"/>
      <c r="V2574" s="176"/>
      <c r="W2574" s="176"/>
      <c r="X2574" s="176"/>
      <c r="Y2574" s="176"/>
    </row>
    <row r="2575" spans="1:25">
      <c r="A2575" s="91"/>
      <c r="B2575" s="176"/>
      <c r="C2575" s="176"/>
      <c r="D2575" s="176"/>
      <c r="E2575" s="176"/>
      <c r="F2575" s="176"/>
      <c r="G2575" s="176"/>
      <c r="H2575" s="176"/>
      <c r="I2575" s="176"/>
      <c r="J2575" s="176"/>
      <c r="K2575" s="176"/>
      <c r="L2575" s="176"/>
      <c r="M2575" s="176"/>
      <c r="N2575" s="176"/>
      <c r="O2575" s="176"/>
      <c r="P2575" s="176"/>
      <c r="Q2575" s="176"/>
      <c r="R2575" s="176"/>
      <c r="S2575" s="176"/>
      <c r="T2575" s="176"/>
      <c r="U2575" s="176"/>
      <c r="V2575" s="176"/>
      <c r="W2575" s="176"/>
      <c r="X2575" s="176"/>
      <c r="Y2575" s="176"/>
    </row>
    <row r="2576" spans="1:25">
      <c r="A2576" s="91"/>
      <c r="B2576" s="176"/>
      <c r="C2576" s="176"/>
      <c r="D2576" s="176"/>
      <c r="E2576" s="176"/>
      <c r="F2576" s="176"/>
      <c r="G2576" s="176"/>
      <c r="H2576" s="176"/>
      <c r="I2576" s="176"/>
      <c r="J2576" s="176"/>
      <c r="K2576" s="176"/>
      <c r="L2576" s="176"/>
      <c r="M2576" s="176"/>
      <c r="N2576" s="176"/>
      <c r="O2576" s="176"/>
      <c r="P2576" s="176"/>
      <c r="Q2576" s="176"/>
      <c r="R2576" s="176"/>
      <c r="S2576" s="176"/>
      <c r="T2576" s="176"/>
      <c r="U2576" s="176"/>
      <c r="V2576" s="176"/>
      <c r="W2576" s="176"/>
      <c r="X2576" s="176"/>
      <c r="Y2576" s="176"/>
    </row>
    <row r="2577" spans="1:25">
      <c r="A2577" s="91"/>
      <c r="B2577" s="176"/>
      <c r="C2577" s="176"/>
      <c r="D2577" s="176"/>
      <c r="E2577" s="176"/>
      <c r="F2577" s="176"/>
      <c r="G2577" s="176"/>
      <c r="H2577" s="176"/>
      <c r="I2577" s="176"/>
      <c r="J2577" s="176"/>
      <c r="K2577" s="176"/>
      <c r="L2577" s="176"/>
      <c r="M2577" s="176"/>
      <c r="N2577" s="176"/>
      <c r="O2577" s="176"/>
      <c r="P2577" s="176"/>
      <c r="Q2577" s="176"/>
      <c r="R2577" s="176"/>
      <c r="S2577" s="176"/>
      <c r="T2577" s="176"/>
      <c r="U2577" s="176"/>
      <c r="V2577" s="176"/>
      <c r="W2577" s="176"/>
      <c r="X2577" s="176"/>
      <c r="Y2577" s="176"/>
    </row>
    <row r="2578" spans="1:25">
      <c r="A2578" s="91"/>
      <c r="B2578" s="176"/>
      <c r="C2578" s="176"/>
      <c r="D2578" s="176"/>
      <c r="E2578" s="176"/>
      <c r="F2578" s="176"/>
      <c r="G2578" s="176"/>
      <c r="H2578" s="176"/>
      <c r="I2578" s="176"/>
      <c r="J2578" s="176"/>
      <c r="K2578" s="176"/>
      <c r="L2578" s="176"/>
      <c r="M2578" s="176"/>
      <c r="N2578" s="176"/>
      <c r="O2578" s="176"/>
      <c r="P2578" s="176"/>
      <c r="Q2578" s="176"/>
      <c r="R2578" s="176"/>
      <c r="S2578" s="176"/>
      <c r="T2578" s="176"/>
      <c r="U2578" s="176"/>
      <c r="V2578" s="176"/>
      <c r="W2578" s="176"/>
      <c r="X2578" s="176"/>
      <c r="Y2578" s="176"/>
    </row>
    <row r="2579" spans="1:25">
      <c r="A2579" s="91"/>
      <c r="B2579" s="176"/>
      <c r="C2579" s="176"/>
      <c r="D2579" s="176"/>
      <c r="E2579" s="176"/>
      <c r="F2579" s="176"/>
      <c r="G2579" s="176"/>
      <c r="H2579" s="176"/>
      <c r="I2579" s="176"/>
      <c r="J2579" s="176"/>
      <c r="K2579" s="176"/>
      <c r="L2579" s="176"/>
      <c r="M2579" s="176"/>
      <c r="N2579" s="176"/>
      <c r="O2579" s="176"/>
      <c r="P2579" s="176"/>
      <c r="Q2579" s="176"/>
      <c r="R2579" s="176"/>
      <c r="S2579" s="176"/>
      <c r="T2579" s="176"/>
      <c r="U2579" s="176"/>
      <c r="V2579" s="176"/>
      <c r="W2579" s="176"/>
      <c r="X2579" s="176"/>
      <c r="Y2579" s="176"/>
    </row>
    <row r="2580" spans="1:25">
      <c r="A2580" s="91"/>
      <c r="B2580" s="176"/>
      <c r="C2580" s="176"/>
      <c r="D2580" s="176"/>
      <c r="E2580" s="176"/>
      <c r="F2580" s="176"/>
      <c r="G2580" s="176"/>
      <c r="H2580" s="176"/>
      <c r="I2580" s="176"/>
      <c r="J2580" s="176"/>
      <c r="K2580" s="176"/>
      <c r="L2580" s="176"/>
      <c r="M2580" s="176"/>
      <c r="N2580" s="176"/>
      <c r="O2580" s="176"/>
      <c r="P2580" s="176"/>
      <c r="Q2580" s="176"/>
      <c r="R2580" s="176"/>
      <c r="S2580" s="176"/>
      <c r="T2580" s="176"/>
      <c r="U2580" s="176"/>
      <c r="V2580" s="176"/>
      <c r="W2580" s="176"/>
      <c r="X2580" s="176"/>
      <c r="Y2580" s="176"/>
    </row>
    <row r="2581" spans="1:25">
      <c r="A2581" s="91"/>
      <c r="B2581" s="176"/>
      <c r="C2581" s="176"/>
      <c r="D2581" s="176"/>
      <c r="E2581" s="176"/>
      <c r="F2581" s="176"/>
      <c r="G2581" s="176"/>
      <c r="H2581" s="176"/>
      <c r="I2581" s="176"/>
      <c r="J2581" s="176"/>
      <c r="K2581" s="176"/>
      <c r="L2581" s="176"/>
      <c r="M2581" s="176"/>
      <c r="N2581" s="176"/>
      <c r="O2581" s="176"/>
      <c r="P2581" s="176"/>
      <c r="Q2581" s="176"/>
      <c r="R2581" s="176"/>
      <c r="S2581" s="176"/>
      <c r="T2581" s="176"/>
      <c r="U2581" s="176"/>
      <c r="V2581" s="176"/>
      <c r="W2581" s="176"/>
      <c r="X2581" s="176"/>
      <c r="Y2581" s="176"/>
    </row>
    <row r="2582" spans="1:25">
      <c r="A2582" s="91"/>
      <c r="B2582" s="176"/>
      <c r="C2582" s="176"/>
      <c r="D2582" s="176"/>
      <c r="E2582" s="176"/>
      <c r="F2582" s="176"/>
      <c r="G2582" s="176"/>
      <c r="H2582" s="176"/>
      <c r="I2582" s="176"/>
      <c r="J2582" s="176"/>
      <c r="K2582" s="176"/>
      <c r="L2582" s="176"/>
      <c r="M2582" s="176"/>
      <c r="N2582" s="176"/>
      <c r="O2582" s="176"/>
      <c r="P2582" s="176"/>
      <c r="Q2582" s="176"/>
      <c r="R2582" s="176"/>
      <c r="S2582" s="176"/>
      <c r="T2582" s="176"/>
      <c r="U2582" s="176"/>
      <c r="V2582" s="176"/>
      <c r="W2582" s="176"/>
      <c r="X2582" s="176"/>
      <c r="Y2582" s="176"/>
    </row>
    <row r="2583" spans="1:25">
      <c r="A2583" s="91"/>
      <c r="B2583" s="176"/>
      <c r="C2583" s="176"/>
      <c r="D2583" s="176"/>
      <c r="E2583" s="176"/>
      <c r="F2583" s="176"/>
      <c r="G2583" s="176"/>
      <c r="H2583" s="176"/>
      <c r="I2583" s="176"/>
      <c r="J2583" s="176"/>
      <c r="K2583" s="176"/>
      <c r="L2583" s="176"/>
      <c r="M2583" s="176"/>
      <c r="N2583" s="176"/>
      <c r="O2583" s="176"/>
      <c r="P2583" s="176"/>
      <c r="Q2583" s="176"/>
      <c r="R2583" s="176"/>
      <c r="S2583" s="176"/>
      <c r="T2583" s="176"/>
      <c r="U2583" s="176"/>
      <c r="V2583" s="176"/>
      <c r="W2583" s="176"/>
      <c r="X2583" s="176"/>
      <c r="Y2583" s="176"/>
    </row>
    <row r="2584" spans="1:25">
      <c r="A2584" s="91"/>
      <c r="B2584" s="176"/>
      <c r="C2584" s="176"/>
      <c r="D2584" s="176"/>
      <c r="E2584" s="176"/>
      <c r="F2584" s="176"/>
      <c r="G2584" s="176"/>
      <c r="H2584" s="176"/>
      <c r="I2584" s="176"/>
      <c r="J2584" s="176"/>
      <c r="K2584" s="176"/>
      <c r="L2584" s="176"/>
      <c r="M2584" s="176"/>
      <c r="N2584" s="176"/>
      <c r="O2584" s="176"/>
      <c r="P2584" s="176"/>
      <c r="Q2584" s="176"/>
      <c r="R2584" s="176"/>
      <c r="S2584" s="176"/>
      <c r="T2584" s="176"/>
      <c r="U2584" s="176"/>
      <c r="V2584" s="176"/>
      <c r="W2584" s="176"/>
      <c r="X2584" s="176"/>
      <c r="Y2584" s="176"/>
    </row>
    <row r="2585" spans="1:25">
      <c r="A2585" s="91"/>
      <c r="B2585" s="176"/>
      <c r="C2585" s="176"/>
      <c r="D2585" s="176"/>
      <c r="E2585" s="176"/>
      <c r="F2585" s="176"/>
      <c r="G2585" s="176"/>
      <c r="H2585" s="176"/>
      <c r="I2585" s="176"/>
      <c r="J2585" s="176"/>
      <c r="K2585" s="176"/>
      <c r="L2585" s="176"/>
      <c r="M2585" s="176"/>
      <c r="N2585" s="176"/>
      <c r="O2585" s="176"/>
      <c r="P2585" s="176"/>
      <c r="Q2585" s="176"/>
      <c r="R2585" s="176"/>
      <c r="S2585" s="176"/>
      <c r="T2585" s="176"/>
      <c r="U2585" s="176"/>
      <c r="V2585" s="176"/>
      <c r="W2585" s="176"/>
      <c r="X2585" s="176"/>
      <c r="Y2585" s="176"/>
    </row>
    <row r="2586" spans="1:25">
      <c r="A2586" s="91"/>
      <c r="B2586" s="176"/>
      <c r="C2586" s="176"/>
      <c r="D2586" s="176"/>
      <c r="E2586" s="176"/>
      <c r="F2586" s="176"/>
      <c r="G2586" s="176"/>
      <c r="H2586" s="176"/>
      <c r="I2586" s="176"/>
      <c r="J2586" s="176"/>
      <c r="K2586" s="176"/>
      <c r="L2586" s="176"/>
      <c r="M2586" s="176"/>
      <c r="N2586" s="176"/>
      <c r="O2586" s="176"/>
      <c r="P2586" s="176"/>
      <c r="Q2586" s="176"/>
      <c r="R2586" s="176"/>
      <c r="S2586" s="176"/>
      <c r="T2586" s="176"/>
      <c r="U2586" s="176"/>
      <c r="V2586" s="176"/>
      <c r="W2586" s="176"/>
      <c r="X2586" s="176"/>
      <c r="Y2586" s="176"/>
    </row>
    <row r="2587" spans="1:25">
      <c r="A2587" s="91"/>
      <c r="B2587" s="176"/>
      <c r="C2587" s="176"/>
      <c r="D2587" s="176"/>
      <c r="E2587" s="176"/>
      <c r="F2587" s="176"/>
      <c r="G2587" s="176"/>
      <c r="H2587" s="176"/>
      <c r="I2587" s="176"/>
      <c r="J2587" s="176"/>
      <c r="K2587" s="176"/>
      <c r="L2587" s="176"/>
      <c r="M2587" s="176"/>
      <c r="N2587" s="176"/>
      <c r="O2587" s="176"/>
      <c r="P2587" s="176"/>
      <c r="Q2587" s="176"/>
      <c r="R2587" s="176"/>
      <c r="S2587" s="176"/>
      <c r="T2587" s="176"/>
      <c r="U2587" s="176"/>
      <c r="V2587" s="176"/>
      <c r="W2587" s="176"/>
      <c r="X2587" s="176"/>
      <c r="Y2587" s="176"/>
    </row>
    <row r="2588" spans="1:25">
      <c r="A2588" s="91"/>
      <c r="B2588" s="176"/>
      <c r="C2588" s="176"/>
      <c r="D2588" s="176"/>
      <c r="E2588" s="176"/>
      <c r="F2588" s="176"/>
      <c r="G2588" s="176"/>
      <c r="H2588" s="176"/>
      <c r="I2588" s="176"/>
      <c r="J2588" s="176"/>
      <c r="K2588" s="176"/>
      <c r="L2588" s="176"/>
      <c r="M2588" s="176"/>
      <c r="N2588" s="176"/>
      <c r="O2588" s="176"/>
      <c r="P2588" s="176"/>
      <c r="Q2588" s="176"/>
      <c r="R2588" s="176"/>
      <c r="S2588" s="176"/>
      <c r="T2588" s="176"/>
      <c r="U2588" s="176"/>
      <c r="V2588" s="176"/>
      <c r="W2588" s="176"/>
      <c r="X2588" s="176"/>
      <c r="Y2588" s="176"/>
    </row>
    <row r="2589" spans="1:25">
      <c r="A2589" s="91"/>
      <c r="B2589" s="176"/>
      <c r="C2589" s="176"/>
      <c r="D2589" s="176"/>
      <c r="E2589" s="176"/>
      <c r="F2589" s="176"/>
      <c r="G2589" s="176"/>
      <c r="H2589" s="176"/>
      <c r="I2589" s="176"/>
      <c r="J2589" s="176"/>
      <c r="K2589" s="176"/>
      <c r="L2589" s="176"/>
      <c r="M2589" s="176"/>
      <c r="N2589" s="176"/>
      <c r="O2589" s="176"/>
      <c r="P2589" s="176"/>
      <c r="Q2589" s="176"/>
      <c r="R2589" s="176"/>
      <c r="S2589" s="176"/>
      <c r="T2589" s="176"/>
      <c r="U2589" s="176"/>
      <c r="V2589" s="176"/>
      <c r="W2589" s="176"/>
      <c r="X2589" s="176"/>
      <c r="Y2589" s="176"/>
    </row>
    <row r="2590" spans="1:25">
      <c r="A2590" s="91"/>
      <c r="B2590" s="176"/>
      <c r="C2590" s="176"/>
      <c r="D2590" s="176"/>
      <c r="E2590" s="176"/>
      <c r="F2590" s="176"/>
      <c r="G2590" s="176"/>
      <c r="H2590" s="176"/>
      <c r="I2590" s="176"/>
      <c r="J2590" s="176"/>
      <c r="K2590" s="176"/>
      <c r="L2590" s="176"/>
      <c r="M2590" s="176"/>
      <c r="N2590" s="176"/>
      <c r="O2590" s="176"/>
      <c r="P2590" s="176"/>
      <c r="Q2590" s="176"/>
      <c r="R2590" s="176"/>
      <c r="S2590" s="176"/>
      <c r="T2590" s="176"/>
      <c r="U2590" s="176"/>
      <c r="V2590" s="176"/>
      <c r="W2590" s="176"/>
      <c r="X2590" s="176"/>
      <c r="Y2590" s="176"/>
    </row>
    <row r="2591" spans="1:25">
      <c r="A2591" s="91"/>
      <c r="B2591" s="176"/>
      <c r="C2591" s="176"/>
      <c r="D2591" s="176"/>
      <c r="E2591" s="176"/>
      <c r="F2591" s="176"/>
      <c r="G2591" s="176"/>
      <c r="H2591" s="176"/>
      <c r="I2591" s="176"/>
      <c r="J2591" s="176"/>
      <c r="K2591" s="176"/>
      <c r="L2591" s="176"/>
      <c r="M2591" s="176"/>
      <c r="N2591" s="176"/>
      <c r="O2591" s="176"/>
      <c r="P2591" s="176"/>
      <c r="Q2591" s="176"/>
      <c r="R2591" s="176"/>
      <c r="S2591" s="176"/>
      <c r="T2591" s="176"/>
      <c r="U2591" s="176"/>
      <c r="V2591" s="176"/>
      <c r="W2591" s="176"/>
      <c r="X2591" s="176"/>
      <c r="Y2591" s="176"/>
    </row>
    <row r="2592" spans="1:25">
      <c r="A2592" s="91"/>
      <c r="B2592" s="176"/>
      <c r="C2592" s="176"/>
      <c r="D2592" s="176"/>
      <c r="E2592" s="176"/>
      <c r="F2592" s="176"/>
      <c r="G2592" s="176"/>
      <c r="H2592" s="176"/>
      <c r="I2592" s="176"/>
      <c r="J2592" s="176"/>
      <c r="K2592" s="176"/>
      <c r="L2592" s="176"/>
      <c r="M2592" s="176"/>
      <c r="N2592" s="176"/>
      <c r="O2592" s="176"/>
      <c r="P2592" s="176"/>
      <c r="Q2592" s="176"/>
      <c r="R2592" s="176"/>
      <c r="S2592" s="176"/>
      <c r="T2592" s="176"/>
      <c r="U2592" s="176"/>
      <c r="V2592" s="176"/>
      <c r="W2592" s="176"/>
      <c r="X2592" s="176"/>
      <c r="Y2592" s="176"/>
    </row>
    <row r="2593" spans="1:25">
      <c r="A2593" s="91"/>
      <c r="B2593" s="176"/>
      <c r="C2593" s="176"/>
      <c r="D2593" s="176"/>
      <c r="E2593" s="176"/>
      <c r="F2593" s="176"/>
      <c r="G2593" s="176"/>
      <c r="H2593" s="176"/>
      <c r="I2593" s="176"/>
      <c r="J2593" s="176"/>
      <c r="K2593" s="176"/>
      <c r="L2593" s="176"/>
      <c r="M2593" s="176"/>
      <c r="N2593" s="176"/>
      <c r="O2593" s="176"/>
      <c r="P2593" s="176"/>
      <c r="Q2593" s="176"/>
      <c r="R2593" s="176"/>
      <c r="S2593" s="176"/>
      <c r="T2593" s="176"/>
      <c r="U2593" s="176"/>
      <c r="V2593" s="176"/>
      <c r="W2593" s="176"/>
      <c r="X2593" s="176"/>
      <c r="Y2593" s="176"/>
    </row>
    <row r="2594" spans="1:25">
      <c r="A2594" s="91"/>
      <c r="B2594" s="176"/>
      <c r="C2594" s="176"/>
      <c r="D2594" s="176"/>
      <c r="E2594" s="176"/>
      <c r="F2594" s="176"/>
      <c r="G2594" s="176"/>
      <c r="H2594" s="176"/>
      <c r="I2594" s="176"/>
      <c r="J2594" s="176"/>
      <c r="K2594" s="176"/>
      <c r="L2594" s="176"/>
      <c r="M2594" s="176"/>
      <c r="N2594" s="176"/>
      <c r="O2594" s="176"/>
      <c r="P2594" s="176"/>
      <c r="Q2594" s="176"/>
      <c r="R2594" s="176"/>
      <c r="S2594" s="176"/>
      <c r="T2594" s="176"/>
      <c r="U2594" s="176"/>
      <c r="V2594" s="176"/>
      <c r="W2594" s="176"/>
      <c r="X2594" s="176"/>
      <c r="Y2594" s="176"/>
    </row>
    <row r="2595" spans="1:25">
      <c r="A2595" s="91"/>
      <c r="B2595" s="176"/>
      <c r="C2595" s="176"/>
      <c r="D2595" s="176"/>
      <c r="E2595" s="176"/>
      <c r="F2595" s="176"/>
      <c r="G2595" s="176"/>
      <c r="H2595" s="176"/>
      <c r="I2595" s="176"/>
      <c r="J2595" s="176"/>
      <c r="K2595" s="176"/>
      <c r="L2595" s="176"/>
      <c r="M2595" s="176"/>
      <c r="N2595" s="176"/>
      <c r="O2595" s="176"/>
      <c r="P2595" s="176"/>
      <c r="Q2595" s="176"/>
      <c r="R2595" s="176"/>
      <c r="S2595" s="176"/>
      <c r="T2595" s="176"/>
      <c r="U2595" s="176"/>
      <c r="V2595" s="176"/>
      <c r="W2595" s="176"/>
      <c r="X2595" s="176"/>
      <c r="Y2595" s="176"/>
    </row>
    <row r="2596" spans="1:25">
      <c r="A2596" s="91"/>
      <c r="B2596" s="176"/>
      <c r="C2596" s="176"/>
      <c r="D2596" s="176"/>
      <c r="E2596" s="176"/>
      <c r="F2596" s="176"/>
      <c r="G2596" s="176"/>
      <c r="H2596" s="176"/>
      <c r="I2596" s="176"/>
      <c r="J2596" s="176"/>
      <c r="K2596" s="176"/>
      <c r="L2596" s="176"/>
      <c r="M2596" s="176"/>
      <c r="N2596" s="176"/>
      <c r="O2596" s="176"/>
      <c r="P2596" s="176"/>
      <c r="Q2596" s="176"/>
      <c r="R2596" s="176"/>
      <c r="S2596" s="176"/>
      <c r="T2596" s="176"/>
      <c r="U2596" s="176"/>
      <c r="V2596" s="176"/>
      <c r="W2596" s="176"/>
      <c r="X2596" s="176"/>
      <c r="Y2596" s="176"/>
    </row>
    <row r="2597" spans="1:25">
      <c r="A2597" s="91"/>
      <c r="B2597" s="176"/>
      <c r="C2597" s="176"/>
      <c r="D2597" s="176"/>
      <c r="E2597" s="176"/>
      <c r="F2597" s="176"/>
      <c r="G2597" s="176"/>
      <c r="H2597" s="176"/>
      <c r="I2597" s="176"/>
      <c r="J2597" s="176"/>
      <c r="K2597" s="176"/>
      <c r="L2597" s="176"/>
      <c r="M2597" s="176"/>
      <c r="N2597" s="176"/>
      <c r="O2597" s="176"/>
      <c r="P2597" s="176"/>
      <c r="Q2597" s="176"/>
      <c r="R2597" s="176"/>
      <c r="S2597" s="176"/>
      <c r="T2597" s="176"/>
      <c r="U2597" s="176"/>
      <c r="V2597" s="176"/>
      <c r="W2597" s="176"/>
      <c r="X2597" s="176"/>
      <c r="Y2597" s="176"/>
    </row>
    <row r="2598" spans="1:25">
      <c r="A2598" s="91"/>
      <c r="B2598" s="176"/>
      <c r="C2598" s="176"/>
      <c r="D2598" s="176"/>
      <c r="E2598" s="176"/>
      <c r="F2598" s="176"/>
      <c r="G2598" s="176"/>
      <c r="H2598" s="176"/>
      <c r="I2598" s="176"/>
      <c r="J2598" s="176"/>
      <c r="K2598" s="176"/>
      <c r="L2598" s="176"/>
      <c r="M2598" s="176"/>
      <c r="N2598" s="176"/>
      <c r="O2598" s="176"/>
      <c r="P2598" s="176"/>
      <c r="Q2598" s="176"/>
      <c r="R2598" s="176"/>
      <c r="S2598" s="176"/>
      <c r="T2598" s="176"/>
      <c r="U2598" s="176"/>
      <c r="V2598" s="176"/>
      <c r="W2598" s="176"/>
      <c r="X2598" s="176"/>
      <c r="Y2598" s="176"/>
    </row>
    <row r="2599" spans="1:25">
      <c r="A2599" s="91"/>
      <c r="B2599" s="176"/>
      <c r="C2599" s="176"/>
      <c r="D2599" s="176"/>
      <c r="E2599" s="176"/>
      <c r="F2599" s="176"/>
      <c r="G2599" s="176"/>
      <c r="H2599" s="176"/>
      <c r="I2599" s="176"/>
      <c r="J2599" s="176"/>
      <c r="K2599" s="176"/>
      <c r="L2599" s="176"/>
      <c r="M2599" s="176"/>
      <c r="N2599" s="176"/>
      <c r="O2599" s="176"/>
      <c r="P2599" s="176"/>
      <c r="Q2599" s="176"/>
      <c r="R2599" s="176"/>
      <c r="S2599" s="176"/>
      <c r="T2599" s="176"/>
      <c r="U2599" s="176"/>
      <c r="V2599" s="176"/>
      <c r="W2599" s="176"/>
      <c r="X2599" s="176"/>
      <c r="Y2599" s="176"/>
    </row>
    <row r="2600" spans="1:25">
      <c r="A2600" s="91"/>
      <c r="B2600" s="176"/>
      <c r="C2600" s="176"/>
      <c r="D2600" s="176"/>
      <c r="E2600" s="176"/>
      <c r="F2600" s="176"/>
      <c r="G2600" s="176"/>
      <c r="H2600" s="176"/>
      <c r="I2600" s="176"/>
      <c r="J2600" s="176"/>
      <c r="K2600" s="176"/>
      <c r="L2600" s="176"/>
      <c r="M2600" s="176"/>
      <c r="N2600" s="176"/>
      <c r="O2600" s="176"/>
      <c r="P2600" s="176"/>
      <c r="Q2600" s="176"/>
      <c r="R2600" s="176"/>
      <c r="S2600" s="176"/>
      <c r="T2600" s="176"/>
      <c r="U2600" s="176"/>
      <c r="V2600" s="176"/>
      <c r="W2600" s="176"/>
      <c r="X2600" s="176"/>
      <c r="Y2600" s="176"/>
    </row>
    <row r="2601" spans="1:25">
      <c r="A2601" s="91"/>
      <c r="B2601" s="176"/>
      <c r="C2601" s="176"/>
      <c r="D2601" s="176"/>
      <c r="E2601" s="176"/>
      <c r="F2601" s="176"/>
      <c r="G2601" s="176"/>
      <c r="H2601" s="176"/>
      <c r="I2601" s="176"/>
      <c r="J2601" s="176"/>
      <c r="K2601" s="176"/>
      <c r="L2601" s="176"/>
      <c r="M2601" s="176"/>
      <c r="N2601" s="176"/>
      <c r="O2601" s="176"/>
      <c r="P2601" s="176"/>
      <c r="Q2601" s="176"/>
      <c r="R2601" s="176"/>
      <c r="S2601" s="176"/>
      <c r="T2601" s="176"/>
      <c r="U2601" s="176"/>
      <c r="V2601" s="176"/>
      <c r="W2601" s="176"/>
      <c r="X2601" s="176"/>
      <c r="Y2601" s="176"/>
    </row>
    <row r="2602" spans="1:25">
      <c r="A2602" s="91"/>
      <c r="B2602" s="176"/>
      <c r="C2602" s="176"/>
      <c r="D2602" s="176"/>
      <c r="E2602" s="176"/>
      <c r="F2602" s="176"/>
      <c r="G2602" s="176"/>
      <c r="H2602" s="176"/>
      <c r="I2602" s="176"/>
      <c r="J2602" s="176"/>
      <c r="K2602" s="176"/>
      <c r="L2602" s="176"/>
      <c r="M2602" s="176"/>
      <c r="N2602" s="176"/>
      <c r="O2602" s="176"/>
      <c r="P2602" s="176"/>
      <c r="Q2602" s="176"/>
      <c r="R2602" s="176"/>
      <c r="S2602" s="176"/>
      <c r="T2602" s="176"/>
      <c r="U2602" s="176"/>
      <c r="V2602" s="176"/>
      <c r="W2602" s="176"/>
      <c r="X2602" s="176"/>
      <c r="Y2602" s="176"/>
    </row>
    <row r="2603" spans="1:25">
      <c r="A2603" s="91"/>
      <c r="B2603" s="176"/>
      <c r="C2603" s="176"/>
      <c r="D2603" s="176"/>
      <c r="E2603" s="176"/>
      <c r="F2603" s="176"/>
      <c r="G2603" s="176"/>
      <c r="H2603" s="176"/>
      <c r="I2603" s="176"/>
      <c r="J2603" s="176"/>
      <c r="K2603" s="176"/>
      <c r="L2603" s="176"/>
      <c r="M2603" s="176"/>
      <c r="N2603" s="176"/>
      <c r="O2603" s="176"/>
      <c r="P2603" s="176"/>
      <c r="Q2603" s="176"/>
      <c r="R2603" s="176"/>
      <c r="S2603" s="176"/>
      <c r="T2603" s="176"/>
      <c r="U2603" s="176"/>
      <c r="V2603" s="176"/>
      <c r="W2603" s="176"/>
      <c r="X2603" s="176"/>
      <c r="Y2603" s="176"/>
    </row>
    <row r="2604" spans="1:25">
      <c r="A2604" s="91"/>
      <c r="B2604" s="176"/>
      <c r="C2604" s="176"/>
      <c r="D2604" s="176"/>
      <c r="E2604" s="176"/>
      <c r="F2604" s="176"/>
      <c r="G2604" s="176"/>
      <c r="H2604" s="176"/>
      <c r="I2604" s="176"/>
      <c r="J2604" s="176"/>
      <c r="K2604" s="176"/>
      <c r="L2604" s="176"/>
      <c r="M2604" s="176"/>
      <c r="N2604" s="176"/>
      <c r="O2604" s="176"/>
      <c r="P2604" s="176"/>
      <c r="Q2604" s="176"/>
      <c r="R2604" s="176"/>
      <c r="S2604" s="176"/>
      <c r="T2604" s="176"/>
      <c r="U2604" s="176"/>
      <c r="V2604" s="176"/>
      <c r="W2604" s="176"/>
      <c r="X2604" s="176"/>
      <c r="Y2604" s="176"/>
    </row>
    <row r="2605" spans="1:25">
      <c r="A2605" s="91"/>
      <c r="B2605" s="176"/>
      <c r="C2605" s="176"/>
      <c r="D2605" s="176"/>
      <c r="E2605" s="176"/>
      <c r="F2605" s="176"/>
      <c r="G2605" s="176"/>
      <c r="H2605" s="176"/>
      <c r="I2605" s="176"/>
      <c r="J2605" s="176"/>
      <c r="K2605" s="176"/>
      <c r="L2605" s="176"/>
      <c r="M2605" s="176"/>
      <c r="N2605" s="176"/>
      <c r="O2605" s="176"/>
      <c r="P2605" s="176"/>
      <c r="Q2605" s="176"/>
      <c r="R2605" s="176"/>
      <c r="S2605" s="176"/>
      <c r="T2605" s="176"/>
      <c r="U2605" s="176"/>
      <c r="V2605" s="176"/>
      <c r="W2605" s="176"/>
      <c r="X2605" s="176"/>
      <c r="Y2605" s="176"/>
    </row>
    <row r="2606" spans="1:25">
      <c r="A2606" s="91"/>
      <c r="B2606" s="176"/>
      <c r="C2606" s="176"/>
      <c r="D2606" s="176"/>
      <c r="E2606" s="176"/>
      <c r="F2606" s="176"/>
      <c r="G2606" s="176"/>
      <c r="H2606" s="176"/>
      <c r="I2606" s="176"/>
      <c r="J2606" s="176"/>
      <c r="K2606" s="176"/>
      <c r="L2606" s="176"/>
      <c r="M2606" s="176"/>
      <c r="N2606" s="176"/>
      <c r="O2606" s="176"/>
      <c r="P2606" s="176"/>
      <c r="Q2606" s="176"/>
      <c r="R2606" s="176"/>
      <c r="S2606" s="176"/>
      <c r="T2606" s="176"/>
      <c r="U2606" s="176"/>
      <c r="V2606" s="176"/>
      <c r="W2606" s="176"/>
      <c r="X2606" s="176"/>
      <c r="Y2606" s="176"/>
    </row>
    <row r="2607" spans="1:25">
      <c r="A2607" s="91"/>
      <c r="B2607" s="176"/>
      <c r="C2607" s="176"/>
      <c r="D2607" s="176"/>
      <c r="E2607" s="176"/>
      <c r="F2607" s="176"/>
      <c r="G2607" s="176"/>
      <c r="H2607" s="176"/>
      <c r="I2607" s="176"/>
      <c r="J2607" s="176"/>
      <c r="K2607" s="176"/>
      <c r="L2607" s="176"/>
      <c r="M2607" s="176"/>
      <c r="N2607" s="176"/>
      <c r="O2607" s="176"/>
      <c r="P2607" s="176"/>
      <c r="Q2607" s="176"/>
      <c r="R2607" s="176"/>
      <c r="S2607" s="176"/>
      <c r="T2607" s="176"/>
      <c r="U2607" s="176"/>
      <c r="V2607" s="176"/>
      <c r="W2607" s="176"/>
      <c r="X2607" s="176"/>
      <c r="Y2607" s="176"/>
    </row>
    <row r="2608" spans="1:25">
      <c r="A2608" s="91"/>
      <c r="B2608" s="176"/>
      <c r="C2608" s="176"/>
      <c r="D2608" s="176"/>
      <c r="E2608" s="176"/>
      <c r="F2608" s="176"/>
      <c r="G2608" s="176"/>
      <c r="H2608" s="176"/>
      <c r="I2608" s="176"/>
      <c r="J2608" s="176"/>
      <c r="K2608" s="176"/>
      <c r="L2608" s="176"/>
      <c r="M2608" s="176"/>
      <c r="N2608" s="176"/>
      <c r="O2608" s="176"/>
      <c r="P2608" s="176"/>
      <c r="Q2608" s="176"/>
      <c r="R2608" s="176"/>
      <c r="S2608" s="176"/>
      <c r="T2608" s="176"/>
      <c r="U2608" s="176"/>
      <c r="V2608" s="176"/>
      <c r="W2608" s="176"/>
      <c r="X2608" s="176"/>
      <c r="Y2608" s="176"/>
    </row>
    <row r="2609" spans="1:25">
      <c r="A2609" s="91"/>
      <c r="B2609" s="176"/>
      <c r="C2609" s="176"/>
      <c r="D2609" s="176"/>
      <c r="E2609" s="176"/>
      <c r="F2609" s="176"/>
      <c r="G2609" s="176"/>
      <c r="H2609" s="176"/>
      <c r="I2609" s="176"/>
      <c r="J2609" s="176"/>
      <c r="K2609" s="176"/>
      <c r="L2609" s="176"/>
      <c r="M2609" s="176"/>
      <c r="N2609" s="176"/>
      <c r="O2609" s="176"/>
      <c r="P2609" s="176"/>
      <c r="Q2609" s="176"/>
      <c r="R2609" s="176"/>
      <c r="S2609" s="176"/>
      <c r="T2609" s="176"/>
      <c r="U2609" s="176"/>
      <c r="V2609" s="176"/>
      <c r="W2609" s="176"/>
      <c r="X2609" s="176"/>
      <c r="Y2609" s="176"/>
    </row>
    <row r="2610" spans="1:25">
      <c r="A2610" s="91"/>
      <c r="B2610" s="176"/>
      <c r="C2610" s="176"/>
      <c r="D2610" s="176"/>
      <c r="E2610" s="176"/>
      <c r="F2610" s="176"/>
      <c r="G2610" s="176"/>
      <c r="H2610" s="176"/>
      <c r="I2610" s="176"/>
      <c r="J2610" s="176"/>
      <c r="K2610" s="176"/>
      <c r="L2610" s="176"/>
      <c r="M2610" s="176"/>
      <c r="N2610" s="176"/>
      <c r="O2610" s="176"/>
      <c r="P2610" s="176"/>
      <c r="Q2610" s="176"/>
      <c r="R2610" s="176"/>
      <c r="S2610" s="176"/>
      <c r="T2610" s="176"/>
      <c r="U2610" s="176"/>
      <c r="V2610" s="176"/>
      <c r="W2610" s="176"/>
      <c r="X2610" s="176"/>
      <c r="Y2610" s="176"/>
    </row>
    <row r="2611" spans="1:25">
      <c r="A2611" s="91"/>
      <c r="B2611" s="176"/>
      <c r="C2611" s="176"/>
      <c r="D2611" s="176"/>
      <c r="E2611" s="176"/>
      <c r="F2611" s="176"/>
      <c r="G2611" s="176"/>
      <c r="H2611" s="176"/>
      <c r="I2611" s="176"/>
      <c r="J2611" s="176"/>
      <c r="K2611" s="176"/>
      <c r="L2611" s="176"/>
      <c r="M2611" s="176"/>
      <c r="N2611" s="176"/>
      <c r="O2611" s="176"/>
      <c r="P2611" s="176"/>
      <c r="Q2611" s="176"/>
      <c r="R2611" s="176"/>
      <c r="S2611" s="176"/>
      <c r="T2611" s="176"/>
      <c r="U2611" s="176"/>
      <c r="V2611" s="176"/>
      <c r="W2611" s="176"/>
      <c r="X2611" s="176"/>
      <c r="Y2611" s="176"/>
    </row>
    <row r="2612" spans="1:25">
      <c r="A2612" s="91"/>
      <c r="B2612" s="176"/>
      <c r="C2612" s="176"/>
      <c r="D2612" s="176"/>
      <c r="E2612" s="176"/>
      <c r="F2612" s="176"/>
      <c r="G2612" s="176"/>
      <c r="H2612" s="176"/>
      <c r="I2612" s="176"/>
      <c r="J2612" s="176"/>
      <c r="K2612" s="176"/>
      <c r="L2612" s="176"/>
      <c r="M2612" s="176"/>
      <c r="N2612" s="176"/>
      <c r="O2612" s="176"/>
      <c r="P2612" s="176"/>
      <c r="Q2612" s="176"/>
      <c r="R2612" s="176"/>
      <c r="S2612" s="176"/>
      <c r="T2612" s="176"/>
      <c r="U2612" s="176"/>
      <c r="V2612" s="176"/>
      <c r="W2612" s="176"/>
      <c r="X2612" s="176"/>
      <c r="Y2612" s="176"/>
    </row>
    <row r="2613" spans="1:25">
      <c r="A2613" s="91"/>
      <c r="B2613" s="176"/>
      <c r="C2613" s="176"/>
      <c r="D2613" s="176"/>
      <c r="E2613" s="176"/>
      <c r="F2613" s="176"/>
      <c r="G2613" s="176"/>
      <c r="H2613" s="176"/>
      <c r="I2613" s="176"/>
      <c r="J2613" s="176"/>
      <c r="K2613" s="176"/>
      <c r="L2613" s="176"/>
      <c r="M2613" s="176"/>
      <c r="N2613" s="176"/>
      <c r="O2613" s="176"/>
      <c r="P2613" s="176"/>
      <c r="Q2613" s="176"/>
      <c r="R2613" s="176"/>
      <c r="S2613" s="176"/>
      <c r="T2613" s="176"/>
      <c r="U2613" s="176"/>
      <c r="V2613" s="176"/>
      <c r="W2613" s="176"/>
      <c r="X2613" s="176"/>
      <c r="Y2613" s="176"/>
    </row>
    <row r="2614" spans="1:25">
      <c r="A2614" s="91"/>
      <c r="B2614" s="176"/>
      <c r="C2614" s="176"/>
      <c r="D2614" s="176"/>
      <c r="E2614" s="176"/>
      <c r="F2614" s="176"/>
      <c r="G2614" s="176"/>
      <c r="H2614" s="176"/>
      <c r="I2614" s="176"/>
      <c r="J2614" s="176"/>
      <c r="K2614" s="176"/>
      <c r="L2614" s="176"/>
      <c r="M2614" s="176"/>
      <c r="N2614" s="176"/>
      <c r="O2614" s="176"/>
      <c r="P2614" s="176"/>
      <c r="Q2614" s="176"/>
      <c r="R2614" s="176"/>
      <c r="S2614" s="176"/>
      <c r="T2614" s="176"/>
      <c r="U2614" s="176"/>
      <c r="V2614" s="176"/>
      <c r="W2614" s="176"/>
      <c r="X2614" s="176"/>
      <c r="Y2614" s="176"/>
    </row>
    <row r="2615" spans="1:25">
      <c r="A2615" s="91"/>
      <c r="B2615" s="176"/>
      <c r="C2615" s="176"/>
      <c r="D2615" s="176"/>
      <c r="E2615" s="176"/>
      <c r="F2615" s="176"/>
      <c r="G2615" s="176"/>
      <c r="H2615" s="176"/>
      <c r="I2615" s="176"/>
      <c r="J2615" s="176"/>
      <c r="K2615" s="176"/>
      <c r="L2615" s="176"/>
      <c r="M2615" s="176"/>
      <c r="N2615" s="176"/>
      <c r="O2615" s="176"/>
      <c r="P2615" s="176"/>
      <c r="Q2615" s="176"/>
      <c r="R2615" s="176"/>
      <c r="S2615" s="176"/>
      <c r="T2615" s="176"/>
      <c r="U2615" s="176"/>
      <c r="V2615" s="176"/>
      <c r="W2615" s="176"/>
      <c r="X2615" s="176"/>
      <c r="Y2615" s="176"/>
    </row>
    <row r="2616" spans="1:25">
      <c r="A2616" s="91"/>
      <c r="B2616" s="176"/>
      <c r="C2616" s="176"/>
      <c r="D2616" s="176"/>
      <c r="E2616" s="176"/>
      <c r="F2616" s="176"/>
      <c r="G2616" s="176"/>
      <c r="H2616" s="176"/>
      <c r="I2616" s="176"/>
      <c r="J2616" s="176"/>
      <c r="K2616" s="176"/>
      <c r="L2616" s="176"/>
      <c r="M2616" s="176"/>
      <c r="N2616" s="176"/>
      <c r="O2616" s="176"/>
      <c r="P2616" s="176"/>
      <c r="Q2616" s="176"/>
      <c r="R2616" s="176"/>
      <c r="S2616" s="176"/>
      <c r="T2616" s="176"/>
      <c r="U2616" s="176"/>
      <c r="V2616" s="176"/>
      <c r="W2616" s="176"/>
      <c r="X2616" s="176"/>
      <c r="Y2616" s="176"/>
    </row>
    <row r="2617" spans="1:25">
      <c r="A2617" s="91"/>
      <c r="B2617" s="176"/>
      <c r="C2617" s="176"/>
      <c r="D2617" s="176"/>
      <c r="E2617" s="176"/>
      <c r="F2617" s="176"/>
      <c r="G2617" s="176"/>
      <c r="H2617" s="176"/>
      <c r="I2617" s="176"/>
      <c r="J2617" s="176"/>
      <c r="K2617" s="176"/>
      <c r="L2617" s="176"/>
      <c r="M2617" s="176"/>
      <c r="N2617" s="176"/>
      <c r="O2617" s="176"/>
      <c r="P2617" s="176"/>
      <c r="Q2617" s="176"/>
      <c r="R2617" s="176"/>
      <c r="S2617" s="176"/>
      <c r="T2617" s="176"/>
      <c r="U2617" s="176"/>
      <c r="V2617" s="176"/>
      <c r="W2617" s="176"/>
      <c r="X2617" s="176"/>
      <c r="Y2617" s="176"/>
    </row>
    <row r="2618" spans="1:25">
      <c r="A2618" s="91"/>
      <c r="B2618" s="176"/>
      <c r="C2618" s="176"/>
      <c r="D2618" s="176"/>
      <c r="E2618" s="176"/>
      <c r="F2618" s="176"/>
      <c r="G2618" s="176"/>
      <c r="H2618" s="176"/>
      <c r="I2618" s="176"/>
      <c r="J2618" s="176"/>
      <c r="K2618" s="176"/>
      <c r="L2618" s="176"/>
      <c r="M2618" s="176"/>
      <c r="N2618" s="176"/>
      <c r="O2618" s="176"/>
      <c r="P2618" s="176"/>
      <c r="Q2618" s="176"/>
      <c r="R2618" s="176"/>
      <c r="S2618" s="176"/>
      <c r="T2618" s="176"/>
      <c r="U2618" s="176"/>
      <c r="V2618" s="176"/>
      <c r="W2618" s="176"/>
      <c r="X2618" s="176"/>
      <c r="Y2618" s="176"/>
    </row>
    <row r="2619" spans="1:25">
      <c r="A2619" s="91"/>
      <c r="B2619" s="176"/>
      <c r="C2619" s="176"/>
      <c r="D2619" s="176"/>
      <c r="E2619" s="176"/>
      <c r="F2619" s="176"/>
      <c r="G2619" s="176"/>
      <c r="H2619" s="176"/>
      <c r="I2619" s="176"/>
      <c r="J2619" s="176"/>
      <c r="K2619" s="176"/>
      <c r="L2619" s="176"/>
      <c r="M2619" s="176"/>
      <c r="N2619" s="176"/>
      <c r="O2619" s="176"/>
      <c r="P2619" s="176"/>
      <c r="Q2619" s="176"/>
      <c r="R2619" s="176"/>
      <c r="S2619" s="176"/>
      <c r="T2619" s="176"/>
      <c r="U2619" s="176"/>
      <c r="V2619" s="176"/>
      <c r="W2619" s="176"/>
      <c r="X2619" s="176"/>
      <c r="Y2619" s="176"/>
    </row>
    <row r="2620" spans="1:25">
      <c r="A2620" s="91"/>
      <c r="B2620" s="176"/>
      <c r="C2620" s="176"/>
      <c r="D2620" s="176"/>
      <c r="E2620" s="176"/>
      <c r="F2620" s="176"/>
      <c r="G2620" s="176"/>
      <c r="H2620" s="176"/>
      <c r="I2620" s="176"/>
      <c r="J2620" s="176"/>
      <c r="K2620" s="176"/>
      <c r="L2620" s="176"/>
      <c r="M2620" s="176"/>
      <c r="N2620" s="176"/>
      <c r="O2620" s="176"/>
      <c r="P2620" s="176"/>
      <c r="Q2620" s="176"/>
      <c r="R2620" s="176"/>
      <c r="S2620" s="176"/>
      <c r="T2620" s="176"/>
      <c r="U2620" s="176"/>
      <c r="V2620" s="176"/>
      <c r="W2620" s="176"/>
      <c r="X2620" s="176"/>
      <c r="Y2620" s="176"/>
    </row>
    <row r="2621" spans="1:25">
      <c r="A2621" s="91"/>
      <c r="B2621" s="176"/>
      <c r="C2621" s="176"/>
      <c r="D2621" s="176"/>
      <c r="E2621" s="176"/>
      <c r="F2621" s="176"/>
      <c r="G2621" s="176"/>
      <c r="H2621" s="176"/>
      <c r="I2621" s="176"/>
      <c r="J2621" s="176"/>
      <c r="K2621" s="176"/>
      <c r="L2621" s="176"/>
      <c r="M2621" s="176"/>
      <c r="N2621" s="176"/>
      <c r="O2621" s="176"/>
      <c r="P2621" s="176"/>
      <c r="Q2621" s="176"/>
      <c r="R2621" s="176"/>
      <c r="S2621" s="176"/>
      <c r="T2621" s="176"/>
      <c r="U2621" s="176"/>
      <c r="V2621" s="176"/>
      <c r="W2621" s="176"/>
      <c r="X2621" s="176"/>
      <c r="Y2621" s="176"/>
    </row>
    <row r="2622" spans="1:25">
      <c r="A2622" s="91"/>
      <c r="B2622" s="176"/>
      <c r="C2622" s="176"/>
      <c r="D2622" s="176"/>
      <c r="E2622" s="176"/>
      <c r="F2622" s="176"/>
      <c r="G2622" s="176"/>
      <c r="H2622" s="176"/>
      <c r="I2622" s="176"/>
      <c r="J2622" s="176"/>
      <c r="K2622" s="176"/>
      <c r="L2622" s="176"/>
      <c r="M2622" s="176"/>
      <c r="N2622" s="176"/>
      <c r="O2622" s="176"/>
      <c r="P2622" s="176"/>
      <c r="Q2622" s="176"/>
      <c r="R2622" s="176"/>
      <c r="S2622" s="176"/>
      <c r="T2622" s="176"/>
      <c r="U2622" s="176"/>
      <c r="V2622" s="176"/>
      <c r="W2622" s="176"/>
      <c r="X2622" s="176"/>
      <c r="Y2622" s="176"/>
    </row>
    <row r="2623" spans="1:25">
      <c r="A2623" s="91"/>
      <c r="B2623" s="176"/>
      <c r="C2623" s="176"/>
      <c r="D2623" s="176"/>
      <c r="E2623" s="176"/>
      <c r="F2623" s="176"/>
      <c r="G2623" s="176"/>
      <c r="H2623" s="176"/>
      <c r="I2623" s="176"/>
      <c r="J2623" s="176"/>
      <c r="K2623" s="176"/>
      <c r="L2623" s="176"/>
      <c r="M2623" s="176"/>
      <c r="N2623" s="176"/>
      <c r="O2623" s="176"/>
      <c r="P2623" s="176"/>
      <c r="Q2623" s="176"/>
      <c r="R2623" s="176"/>
      <c r="S2623" s="176"/>
      <c r="T2623" s="176"/>
      <c r="U2623" s="176"/>
      <c r="V2623" s="176"/>
      <c r="W2623" s="176"/>
      <c r="X2623" s="176"/>
      <c r="Y2623" s="176"/>
    </row>
    <row r="2624" spans="1:25">
      <c r="A2624" s="91"/>
      <c r="B2624" s="176"/>
      <c r="C2624" s="176"/>
      <c r="D2624" s="176"/>
      <c r="E2624" s="176"/>
      <c r="F2624" s="176"/>
      <c r="G2624" s="176"/>
      <c r="H2624" s="176"/>
      <c r="I2624" s="176"/>
      <c r="J2624" s="176"/>
      <c r="K2624" s="176"/>
      <c r="L2624" s="176"/>
      <c r="M2624" s="176"/>
      <c r="N2624" s="176"/>
      <c r="O2624" s="176"/>
      <c r="P2624" s="176"/>
      <c r="Q2624" s="176"/>
      <c r="R2624" s="176"/>
      <c r="S2624" s="176"/>
      <c r="T2624" s="176"/>
      <c r="U2624" s="176"/>
      <c r="V2624" s="176"/>
      <c r="W2624" s="176"/>
      <c r="X2624" s="176"/>
      <c r="Y2624" s="176"/>
    </row>
    <row r="2625" spans="1:25">
      <c r="A2625" s="91"/>
      <c r="B2625" s="176"/>
      <c r="C2625" s="176"/>
      <c r="D2625" s="176"/>
      <c r="E2625" s="176"/>
      <c r="F2625" s="176"/>
      <c r="G2625" s="176"/>
      <c r="H2625" s="176"/>
      <c r="I2625" s="176"/>
      <c r="J2625" s="176"/>
      <c r="K2625" s="176"/>
      <c r="L2625" s="176"/>
      <c r="M2625" s="176"/>
      <c r="N2625" s="176"/>
      <c r="O2625" s="176"/>
      <c r="P2625" s="176"/>
      <c r="Q2625" s="176"/>
      <c r="R2625" s="176"/>
      <c r="S2625" s="176"/>
      <c r="T2625" s="176"/>
      <c r="U2625" s="176"/>
      <c r="V2625" s="176"/>
      <c r="W2625" s="176"/>
      <c r="X2625" s="176"/>
      <c r="Y2625" s="176"/>
    </row>
    <row r="2626" spans="1:25">
      <c r="A2626" s="91"/>
      <c r="B2626" s="176"/>
      <c r="C2626" s="176"/>
      <c r="D2626" s="176"/>
      <c r="E2626" s="176"/>
      <c r="F2626" s="176"/>
      <c r="G2626" s="176"/>
      <c r="H2626" s="176"/>
      <c r="I2626" s="176"/>
      <c r="J2626" s="176"/>
      <c r="K2626" s="176"/>
      <c r="L2626" s="176"/>
      <c r="M2626" s="176"/>
      <c r="N2626" s="176"/>
      <c r="O2626" s="176"/>
      <c r="P2626" s="176"/>
      <c r="Q2626" s="176"/>
      <c r="R2626" s="176"/>
      <c r="S2626" s="176"/>
      <c r="T2626" s="176"/>
      <c r="U2626" s="176"/>
      <c r="V2626" s="176"/>
      <c r="W2626" s="176"/>
      <c r="X2626" s="176"/>
      <c r="Y2626" s="176"/>
    </row>
    <row r="2627" spans="1:25">
      <c r="A2627" s="91"/>
      <c r="B2627" s="176"/>
      <c r="C2627" s="176"/>
      <c r="D2627" s="176"/>
      <c r="E2627" s="176"/>
      <c r="F2627" s="176"/>
      <c r="G2627" s="176"/>
      <c r="H2627" s="176"/>
      <c r="I2627" s="176"/>
      <c r="J2627" s="176"/>
      <c r="K2627" s="176"/>
      <c r="L2627" s="176"/>
      <c r="M2627" s="176"/>
      <c r="N2627" s="176"/>
      <c r="O2627" s="176"/>
      <c r="P2627" s="176"/>
      <c r="Q2627" s="176"/>
      <c r="R2627" s="176"/>
      <c r="S2627" s="176"/>
      <c r="T2627" s="176"/>
      <c r="U2627" s="176"/>
      <c r="V2627" s="176"/>
      <c r="W2627" s="176"/>
      <c r="X2627" s="176"/>
      <c r="Y2627" s="176"/>
    </row>
    <row r="2628" spans="1:25">
      <c r="A2628" s="91"/>
      <c r="B2628" s="176"/>
      <c r="C2628" s="176"/>
      <c r="D2628" s="176"/>
      <c r="E2628" s="176"/>
      <c r="F2628" s="176"/>
      <c r="G2628" s="176"/>
      <c r="H2628" s="176"/>
      <c r="I2628" s="176"/>
      <c r="J2628" s="176"/>
      <c r="K2628" s="176"/>
      <c r="L2628" s="176"/>
      <c r="M2628" s="176"/>
      <c r="N2628" s="176"/>
      <c r="O2628" s="176"/>
      <c r="P2628" s="176"/>
      <c r="Q2628" s="176"/>
      <c r="R2628" s="176"/>
      <c r="S2628" s="176"/>
      <c r="T2628" s="176"/>
      <c r="U2628" s="176"/>
      <c r="V2628" s="176"/>
      <c r="W2628" s="176"/>
      <c r="X2628" s="176"/>
      <c r="Y2628" s="176"/>
    </row>
    <row r="2629" spans="1:25">
      <c r="A2629" s="91"/>
      <c r="B2629" s="176"/>
      <c r="C2629" s="176"/>
      <c r="D2629" s="176"/>
      <c r="E2629" s="176"/>
      <c r="F2629" s="176"/>
      <c r="G2629" s="176"/>
      <c r="H2629" s="176"/>
      <c r="I2629" s="176"/>
      <c r="J2629" s="176"/>
      <c r="K2629" s="176"/>
      <c r="L2629" s="176"/>
      <c r="M2629" s="176"/>
      <c r="N2629" s="176"/>
      <c r="O2629" s="176"/>
      <c r="P2629" s="176"/>
      <c r="Q2629" s="176"/>
      <c r="R2629" s="176"/>
      <c r="S2629" s="176"/>
      <c r="T2629" s="176"/>
      <c r="U2629" s="176"/>
      <c r="V2629" s="176"/>
      <c r="W2629" s="176"/>
      <c r="X2629" s="176"/>
      <c r="Y2629" s="176"/>
    </row>
    <row r="2630" spans="1:25">
      <c r="A2630" s="91"/>
      <c r="B2630" s="176"/>
      <c r="C2630" s="176"/>
      <c r="D2630" s="176"/>
      <c r="E2630" s="176"/>
      <c r="F2630" s="176"/>
      <c r="G2630" s="176"/>
      <c r="H2630" s="176"/>
      <c r="I2630" s="176"/>
      <c r="J2630" s="176"/>
      <c r="K2630" s="176"/>
      <c r="L2630" s="176"/>
      <c r="M2630" s="176"/>
      <c r="N2630" s="176"/>
      <c r="O2630" s="176"/>
      <c r="P2630" s="176"/>
      <c r="Q2630" s="176"/>
      <c r="R2630" s="176"/>
      <c r="S2630" s="176"/>
      <c r="T2630" s="176"/>
      <c r="U2630" s="176"/>
      <c r="V2630" s="176"/>
      <c r="W2630" s="176"/>
      <c r="X2630" s="176"/>
      <c r="Y2630" s="176"/>
    </row>
    <row r="2631" spans="1:25">
      <c r="A2631" s="91"/>
      <c r="B2631" s="176"/>
      <c r="C2631" s="176"/>
      <c r="D2631" s="176"/>
      <c r="E2631" s="176"/>
      <c r="F2631" s="176"/>
      <c r="G2631" s="176"/>
      <c r="H2631" s="176"/>
      <c r="I2631" s="176"/>
      <c r="J2631" s="176"/>
      <c r="K2631" s="176"/>
      <c r="L2631" s="176"/>
      <c r="M2631" s="176"/>
      <c r="N2631" s="176"/>
      <c r="O2631" s="176"/>
      <c r="P2631" s="176"/>
      <c r="Q2631" s="176"/>
      <c r="R2631" s="176"/>
      <c r="S2631" s="176"/>
      <c r="T2631" s="176"/>
      <c r="U2631" s="176"/>
      <c r="V2631" s="176"/>
      <c r="W2631" s="176"/>
      <c r="X2631" s="176"/>
      <c r="Y2631" s="176"/>
    </row>
    <row r="2632" spans="1:25">
      <c r="A2632" s="91"/>
      <c r="B2632" s="176"/>
      <c r="C2632" s="176"/>
      <c r="D2632" s="176"/>
      <c r="E2632" s="176"/>
      <c r="F2632" s="176"/>
      <c r="G2632" s="176"/>
      <c r="H2632" s="176"/>
      <c r="I2632" s="176"/>
      <c r="J2632" s="176"/>
      <c r="K2632" s="176"/>
      <c r="L2632" s="176"/>
      <c r="M2632" s="176"/>
      <c r="N2632" s="176"/>
      <c r="O2632" s="176"/>
      <c r="P2632" s="176"/>
      <c r="Q2632" s="176"/>
      <c r="R2632" s="176"/>
      <c r="S2632" s="176"/>
      <c r="T2632" s="176"/>
      <c r="U2632" s="176"/>
      <c r="V2632" s="176"/>
      <c r="W2632" s="176"/>
      <c r="X2632" s="176"/>
      <c r="Y2632" s="176"/>
    </row>
    <row r="2633" spans="1:25">
      <c r="A2633" s="91"/>
      <c r="B2633" s="176"/>
      <c r="C2633" s="176"/>
      <c r="D2633" s="176"/>
      <c r="E2633" s="176"/>
      <c r="F2633" s="176"/>
      <c r="G2633" s="176"/>
      <c r="H2633" s="176"/>
      <c r="I2633" s="176"/>
      <c r="J2633" s="176"/>
      <c r="K2633" s="176"/>
      <c r="L2633" s="176"/>
      <c r="M2633" s="176"/>
      <c r="N2633" s="176"/>
      <c r="O2633" s="176"/>
      <c r="P2633" s="176"/>
      <c r="Q2633" s="176"/>
      <c r="R2633" s="176"/>
      <c r="S2633" s="176"/>
      <c r="T2633" s="176"/>
      <c r="U2633" s="176"/>
      <c r="V2633" s="176"/>
      <c r="W2633" s="176"/>
      <c r="X2633" s="176"/>
      <c r="Y2633" s="176"/>
    </row>
    <row r="2634" spans="1:25">
      <c r="A2634" s="91"/>
      <c r="B2634" s="176"/>
      <c r="C2634" s="176"/>
      <c r="D2634" s="176"/>
      <c r="E2634" s="176"/>
      <c r="F2634" s="176"/>
      <c r="G2634" s="176"/>
      <c r="H2634" s="176"/>
      <c r="I2634" s="176"/>
      <c r="J2634" s="176"/>
      <c r="K2634" s="176"/>
      <c r="L2634" s="176"/>
      <c r="M2634" s="176"/>
      <c r="N2634" s="176"/>
      <c r="O2634" s="176"/>
      <c r="P2634" s="176"/>
      <c r="Q2634" s="176"/>
      <c r="R2634" s="176"/>
      <c r="S2634" s="176"/>
      <c r="T2634" s="176"/>
      <c r="U2634" s="176"/>
      <c r="V2634" s="176"/>
      <c r="W2634" s="176"/>
      <c r="X2634" s="176"/>
      <c r="Y2634" s="176"/>
    </row>
    <row r="2635" spans="1:25">
      <c r="A2635" s="91"/>
      <c r="B2635" s="176"/>
      <c r="C2635" s="176"/>
      <c r="D2635" s="176"/>
      <c r="E2635" s="176"/>
      <c r="F2635" s="176"/>
      <c r="G2635" s="176"/>
      <c r="H2635" s="176"/>
      <c r="I2635" s="176"/>
      <c r="J2635" s="176"/>
      <c r="K2635" s="176"/>
      <c r="L2635" s="176"/>
      <c r="M2635" s="176"/>
      <c r="N2635" s="176"/>
      <c r="O2635" s="176"/>
      <c r="P2635" s="176"/>
      <c r="Q2635" s="176"/>
      <c r="R2635" s="176"/>
      <c r="S2635" s="176"/>
      <c r="T2635" s="176"/>
      <c r="U2635" s="176"/>
      <c r="V2635" s="176"/>
      <c r="W2635" s="176"/>
      <c r="X2635" s="176"/>
      <c r="Y2635" s="176"/>
    </row>
    <row r="2636" spans="1:25">
      <c r="A2636" s="91"/>
      <c r="B2636" s="176"/>
      <c r="C2636" s="176"/>
      <c r="D2636" s="176"/>
      <c r="E2636" s="176"/>
      <c r="F2636" s="176"/>
      <c r="G2636" s="176"/>
      <c r="H2636" s="176"/>
      <c r="I2636" s="176"/>
      <c r="J2636" s="176"/>
      <c r="K2636" s="176"/>
      <c r="L2636" s="176"/>
      <c r="M2636" s="176"/>
      <c r="N2636" s="176"/>
      <c r="O2636" s="176"/>
      <c r="P2636" s="176"/>
      <c r="Q2636" s="176"/>
      <c r="R2636" s="176"/>
      <c r="S2636" s="176"/>
      <c r="T2636" s="176"/>
      <c r="U2636" s="176"/>
      <c r="V2636" s="176"/>
      <c r="W2636" s="176"/>
      <c r="X2636" s="176"/>
      <c r="Y2636" s="176"/>
    </row>
    <row r="2637" spans="1:25">
      <c r="A2637" s="91"/>
      <c r="B2637" s="176"/>
      <c r="C2637" s="176"/>
      <c r="D2637" s="176"/>
      <c r="E2637" s="176"/>
      <c r="F2637" s="176"/>
      <c r="G2637" s="176"/>
      <c r="H2637" s="176"/>
      <c r="I2637" s="176"/>
      <c r="J2637" s="176"/>
      <c r="K2637" s="176"/>
      <c r="L2637" s="176"/>
      <c r="M2637" s="176"/>
      <c r="N2637" s="176"/>
      <c r="O2637" s="176"/>
      <c r="P2637" s="176"/>
      <c r="Q2637" s="176"/>
      <c r="R2637" s="176"/>
      <c r="S2637" s="176"/>
      <c r="T2637" s="176"/>
      <c r="U2637" s="176"/>
      <c r="V2637" s="176"/>
      <c r="W2637" s="176"/>
      <c r="X2637" s="176"/>
      <c r="Y2637" s="176"/>
    </row>
    <row r="2638" spans="1:25">
      <c r="A2638" s="91"/>
      <c r="B2638" s="176"/>
      <c r="C2638" s="176"/>
      <c r="D2638" s="176"/>
      <c r="E2638" s="176"/>
      <c r="F2638" s="176"/>
      <c r="G2638" s="176"/>
      <c r="H2638" s="176"/>
      <c r="I2638" s="176"/>
      <c r="J2638" s="176"/>
      <c r="K2638" s="176"/>
      <c r="L2638" s="176"/>
      <c r="M2638" s="176"/>
      <c r="N2638" s="176"/>
      <c r="O2638" s="176"/>
      <c r="P2638" s="176"/>
      <c r="Q2638" s="176"/>
      <c r="R2638" s="176"/>
      <c r="S2638" s="176"/>
      <c r="T2638" s="176"/>
      <c r="U2638" s="176"/>
      <c r="V2638" s="176"/>
      <c r="W2638" s="176"/>
      <c r="X2638" s="176"/>
      <c r="Y2638" s="176"/>
    </row>
    <row r="2639" spans="1:25">
      <c r="A2639" s="91"/>
      <c r="B2639" s="176"/>
      <c r="C2639" s="176"/>
      <c r="D2639" s="176"/>
      <c r="E2639" s="176"/>
      <c r="F2639" s="176"/>
      <c r="G2639" s="176"/>
      <c r="H2639" s="176"/>
      <c r="I2639" s="176"/>
      <c r="J2639" s="176"/>
      <c r="K2639" s="176"/>
      <c r="L2639" s="176"/>
      <c r="M2639" s="176"/>
      <c r="N2639" s="176"/>
      <c r="O2639" s="176"/>
      <c r="P2639" s="176"/>
      <c r="Q2639" s="176"/>
      <c r="R2639" s="176"/>
      <c r="S2639" s="176"/>
      <c r="T2639" s="176"/>
      <c r="U2639" s="176"/>
      <c r="V2639" s="176"/>
      <c r="W2639" s="176"/>
      <c r="X2639" s="176"/>
      <c r="Y2639" s="176"/>
    </row>
    <row r="2640" spans="1:25">
      <c r="A2640" s="91"/>
      <c r="B2640" s="176"/>
      <c r="C2640" s="176"/>
      <c r="D2640" s="176"/>
      <c r="E2640" s="176"/>
      <c r="F2640" s="176"/>
      <c r="G2640" s="176"/>
      <c r="H2640" s="176"/>
      <c r="I2640" s="176"/>
      <c r="J2640" s="176"/>
      <c r="K2640" s="176"/>
      <c r="L2640" s="176"/>
      <c r="M2640" s="176"/>
      <c r="N2640" s="176"/>
      <c r="O2640" s="176"/>
      <c r="P2640" s="176"/>
      <c r="Q2640" s="176"/>
      <c r="R2640" s="176"/>
      <c r="S2640" s="176"/>
      <c r="T2640" s="176"/>
      <c r="U2640" s="176"/>
      <c r="V2640" s="176"/>
      <c r="W2640" s="176"/>
      <c r="X2640" s="176"/>
      <c r="Y2640" s="176"/>
    </row>
    <row r="2641" spans="1:25">
      <c r="A2641" s="91"/>
      <c r="B2641" s="176"/>
      <c r="C2641" s="176"/>
      <c r="D2641" s="176"/>
      <c r="E2641" s="176"/>
      <c r="F2641" s="176"/>
      <c r="G2641" s="176"/>
      <c r="H2641" s="176"/>
      <c r="I2641" s="176"/>
      <c r="J2641" s="176"/>
      <c r="K2641" s="176"/>
      <c r="L2641" s="176"/>
      <c r="M2641" s="176"/>
      <c r="N2641" s="176"/>
      <c r="O2641" s="176"/>
      <c r="P2641" s="176"/>
      <c r="Q2641" s="176"/>
      <c r="R2641" s="176"/>
      <c r="S2641" s="176"/>
      <c r="T2641" s="176"/>
      <c r="U2641" s="176"/>
      <c r="V2641" s="176"/>
      <c r="W2641" s="176"/>
      <c r="X2641" s="176"/>
      <c r="Y2641" s="176"/>
    </row>
    <row r="2642" spans="1:25">
      <c r="A2642" s="91"/>
      <c r="B2642" s="176"/>
      <c r="C2642" s="176"/>
      <c r="D2642" s="176"/>
      <c r="E2642" s="176"/>
      <c r="F2642" s="176"/>
      <c r="G2642" s="176"/>
      <c r="H2642" s="176"/>
      <c r="I2642" s="176"/>
      <c r="J2642" s="176"/>
      <c r="K2642" s="176"/>
      <c r="L2642" s="176"/>
      <c r="M2642" s="176"/>
      <c r="N2642" s="176"/>
      <c r="O2642" s="176"/>
      <c r="P2642" s="176"/>
      <c r="Q2642" s="176"/>
      <c r="R2642" s="176"/>
      <c r="S2642" s="176"/>
      <c r="T2642" s="176"/>
      <c r="U2642" s="176"/>
      <c r="V2642" s="176"/>
      <c r="W2642" s="176"/>
      <c r="X2642" s="176"/>
      <c r="Y2642" s="176"/>
    </row>
    <row r="2643" spans="1:25">
      <c r="A2643" s="91"/>
      <c r="B2643" s="176"/>
      <c r="C2643" s="176"/>
      <c r="D2643" s="176"/>
      <c r="E2643" s="176"/>
      <c r="F2643" s="176"/>
      <c r="G2643" s="176"/>
      <c r="H2643" s="176"/>
      <c r="I2643" s="176"/>
      <c r="J2643" s="176"/>
      <c r="K2643" s="176"/>
      <c r="L2643" s="176"/>
      <c r="M2643" s="176"/>
      <c r="N2643" s="176"/>
      <c r="O2643" s="176"/>
      <c r="P2643" s="176"/>
      <c r="Q2643" s="176"/>
      <c r="R2643" s="176"/>
      <c r="S2643" s="176"/>
      <c r="T2643" s="176"/>
      <c r="U2643" s="176"/>
      <c r="V2643" s="176"/>
      <c r="W2643" s="176"/>
      <c r="X2643" s="176"/>
      <c r="Y2643" s="176"/>
    </row>
    <row r="2644" spans="1:25">
      <c r="A2644" s="91"/>
      <c r="B2644" s="176"/>
      <c r="C2644" s="176"/>
      <c r="D2644" s="176"/>
      <c r="E2644" s="176"/>
      <c r="F2644" s="176"/>
      <c r="G2644" s="176"/>
      <c r="H2644" s="176"/>
      <c r="I2644" s="176"/>
      <c r="J2644" s="176"/>
      <c r="K2644" s="176"/>
      <c r="L2644" s="176"/>
      <c r="M2644" s="176"/>
      <c r="N2644" s="176"/>
      <c r="O2644" s="176"/>
      <c r="P2644" s="176"/>
      <c r="Q2644" s="176"/>
      <c r="R2644" s="176"/>
      <c r="S2644" s="176"/>
      <c r="T2644" s="176"/>
      <c r="U2644" s="176"/>
      <c r="V2644" s="176"/>
      <c r="W2644" s="176"/>
      <c r="X2644" s="176"/>
      <c r="Y2644" s="176"/>
    </row>
    <row r="2645" spans="1:25">
      <c r="A2645" s="91"/>
      <c r="B2645" s="176"/>
      <c r="C2645" s="176"/>
      <c r="D2645" s="176"/>
      <c r="E2645" s="176"/>
      <c r="F2645" s="176"/>
      <c r="G2645" s="176"/>
      <c r="H2645" s="176"/>
      <c r="I2645" s="176"/>
      <c r="J2645" s="176"/>
      <c r="K2645" s="176"/>
      <c r="L2645" s="176"/>
      <c r="M2645" s="176"/>
      <c r="N2645" s="176"/>
      <c r="O2645" s="176"/>
      <c r="P2645" s="176"/>
      <c r="Q2645" s="176"/>
      <c r="R2645" s="176"/>
      <c r="S2645" s="176"/>
      <c r="T2645" s="176"/>
      <c r="U2645" s="176"/>
      <c r="V2645" s="176"/>
      <c r="W2645" s="176"/>
      <c r="X2645" s="176"/>
      <c r="Y2645" s="176"/>
    </row>
    <row r="2646" spans="1:25">
      <c r="A2646" s="91"/>
      <c r="B2646" s="176"/>
      <c r="C2646" s="176"/>
      <c r="D2646" s="176"/>
      <c r="E2646" s="176"/>
      <c r="F2646" s="176"/>
      <c r="G2646" s="176"/>
      <c r="H2646" s="176"/>
      <c r="I2646" s="176"/>
      <c r="J2646" s="176"/>
      <c r="K2646" s="176"/>
      <c r="L2646" s="176"/>
      <c r="M2646" s="176"/>
      <c r="N2646" s="176"/>
      <c r="O2646" s="176"/>
      <c r="P2646" s="176"/>
      <c r="Q2646" s="176"/>
      <c r="R2646" s="176"/>
      <c r="S2646" s="176"/>
      <c r="T2646" s="176"/>
      <c r="U2646" s="176"/>
      <c r="V2646" s="176"/>
      <c r="W2646" s="176"/>
      <c r="X2646" s="176"/>
      <c r="Y2646" s="176"/>
    </row>
    <row r="2647" spans="1:25">
      <c r="A2647" s="91"/>
      <c r="B2647" s="176"/>
      <c r="C2647" s="176"/>
      <c r="D2647" s="176"/>
      <c r="E2647" s="176"/>
      <c r="F2647" s="176"/>
      <c r="G2647" s="176"/>
      <c r="H2647" s="176"/>
      <c r="I2647" s="176"/>
      <c r="J2647" s="176"/>
      <c r="K2647" s="176"/>
      <c r="L2647" s="176"/>
      <c r="M2647" s="176"/>
      <c r="N2647" s="176"/>
      <c r="O2647" s="176"/>
      <c r="P2647" s="176"/>
      <c r="Q2647" s="176"/>
      <c r="R2647" s="176"/>
      <c r="S2647" s="176"/>
      <c r="T2647" s="176"/>
      <c r="U2647" s="176"/>
      <c r="V2647" s="176"/>
      <c r="W2647" s="176"/>
      <c r="X2647" s="176"/>
      <c r="Y2647" s="176"/>
    </row>
    <row r="2648" spans="1:25">
      <c r="A2648" s="91"/>
      <c r="B2648" s="176"/>
      <c r="C2648" s="176"/>
      <c r="D2648" s="176"/>
      <c r="E2648" s="176"/>
      <c r="F2648" s="176"/>
      <c r="G2648" s="176"/>
      <c r="H2648" s="176"/>
      <c r="I2648" s="176"/>
      <c r="J2648" s="176"/>
      <c r="K2648" s="176"/>
      <c r="L2648" s="176"/>
      <c r="M2648" s="176"/>
      <c r="N2648" s="176"/>
      <c r="O2648" s="176"/>
      <c r="P2648" s="176"/>
      <c r="Q2648" s="176"/>
      <c r="R2648" s="176"/>
      <c r="S2648" s="176"/>
      <c r="T2648" s="176"/>
      <c r="U2648" s="176"/>
      <c r="V2648" s="176"/>
      <c r="W2648" s="176"/>
      <c r="X2648" s="176"/>
      <c r="Y2648" s="176"/>
    </row>
    <row r="2649" spans="1:25">
      <c r="A2649" s="91"/>
      <c r="B2649" s="176"/>
      <c r="C2649" s="176"/>
      <c r="D2649" s="176"/>
      <c r="E2649" s="176"/>
      <c r="F2649" s="176"/>
      <c r="G2649" s="176"/>
      <c r="H2649" s="176"/>
      <c r="I2649" s="176"/>
      <c r="J2649" s="176"/>
      <c r="K2649" s="176"/>
      <c r="L2649" s="176"/>
      <c r="M2649" s="176"/>
      <c r="N2649" s="176"/>
      <c r="O2649" s="176"/>
      <c r="P2649" s="176"/>
      <c r="Q2649" s="176"/>
      <c r="R2649" s="176"/>
      <c r="S2649" s="176"/>
      <c r="T2649" s="176"/>
      <c r="U2649" s="176"/>
      <c r="V2649" s="176"/>
      <c r="W2649" s="176"/>
      <c r="X2649" s="176"/>
      <c r="Y2649" s="176"/>
    </row>
    <row r="2650" spans="1:25">
      <c r="A2650" s="91"/>
      <c r="B2650" s="176"/>
      <c r="C2650" s="176"/>
      <c r="D2650" s="176"/>
      <c r="E2650" s="176"/>
      <c r="F2650" s="176"/>
      <c r="G2650" s="176"/>
      <c r="H2650" s="176"/>
      <c r="I2650" s="176"/>
      <c r="J2650" s="176"/>
      <c r="K2650" s="176"/>
      <c r="L2650" s="176"/>
      <c r="M2650" s="176"/>
      <c r="N2650" s="176"/>
      <c r="O2650" s="176"/>
      <c r="P2650" s="176"/>
      <c r="Q2650" s="176"/>
      <c r="R2650" s="176"/>
      <c r="S2650" s="176"/>
      <c r="T2650" s="176"/>
      <c r="U2650" s="176"/>
      <c r="V2650" s="176"/>
      <c r="W2650" s="176"/>
      <c r="X2650" s="176"/>
      <c r="Y2650" s="176"/>
    </row>
    <row r="2651" spans="1:25">
      <c r="A2651" s="91"/>
      <c r="B2651" s="176"/>
      <c r="C2651" s="176"/>
      <c r="D2651" s="176"/>
      <c r="E2651" s="176"/>
      <c r="F2651" s="176"/>
      <c r="G2651" s="176"/>
      <c r="H2651" s="176"/>
      <c r="I2651" s="176"/>
      <c r="J2651" s="176"/>
      <c r="K2651" s="176"/>
      <c r="L2651" s="176"/>
      <c r="M2651" s="176"/>
      <c r="N2651" s="176"/>
      <c r="O2651" s="176"/>
      <c r="P2651" s="176"/>
      <c r="Q2651" s="176"/>
      <c r="R2651" s="176"/>
      <c r="S2651" s="176"/>
      <c r="T2651" s="176"/>
      <c r="U2651" s="176"/>
      <c r="V2651" s="176"/>
      <c r="W2651" s="176"/>
      <c r="X2651" s="176"/>
      <c r="Y2651" s="176"/>
    </row>
    <row r="2652" spans="1:25">
      <c r="A2652" s="91"/>
      <c r="B2652" s="176"/>
      <c r="C2652" s="176"/>
      <c r="D2652" s="176"/>
      <c r="E2652" s="176"/>
      <c r="F2652" s="176"/>
      <c r="G2652" s="176"/>
      <c r="H2652" s="176"/>
      <c r="I2652" s="176"/>
      <c r="J2652" s="176"/>
      <c r="K2652" s="176"/>
      <c r="L2652" s="176"/>
      <c r="M2652" s="176"/>
      <c r="N2652" s="176"/>
      <c r="O2652" s="176"/>
      <c r="P2652" s="176"/>
      <c r="Q2652" s="176"/>
      <c r="R2652" s="176"/>
      <c r="S2652" s="176"/>
      <c r="T2652" s="176"/>
      <c r="U2652" s="176"/>
      <c r="V2652" s="176"/>
      <c r="W2652" s="176"/>
      <c r="X2652" s="176"/>
      <c r="Y2652" s="176"/>
    </row>
    <row r="2653" spans="1:25">
      <c r="A2653" s="91"/>
      <c r="B2653" s="176"/>
      <c r="C2653" s="176"/>
      <c r="D2653" s="176"/>
      <c r="E2653" s="176"/>
      <c r="F2653" s="176"/>
      <c r="G2653" s="176"/>
      <c r="H2653" s="176"/>
      <c r="I2653" s="176"/>
      <c r="J2653" s="176"/>
      <c r="K2653" s="176"/>
      <c r="L2653" s="176"/>
      <c r="M2653" s="176"/>
      <c r="N2653" s="176"/>
      <c r="O2653" s="176"/>
      <c r="P2653" s="176"/>
      <c r="Q2653" s="176"/>
      <c r="R2653" s="176"/>
      <c r="S2653" s="176"/>
      <c r="T2653" s="176"/>
      <c r="U2653" s="176"/>
      <c r="V2653" s="176"/>
      <c r="W2653" s="176"/>
      <c r="X2653" s="176"/>
      <c r="Y2653" s="176"/>
    </row>
    <row r="2654" spans="1:25">
      <c r="A2654" s="91"/>
      <c r="B2654" s="176"/>
      <c r="C2654" s="176"/>
      <c r="D2654" s="176"/>
      <c r="E2654" s="176"/>
      <c r="F2654" s="176"/>
      <c r="G2654" s="176"/>
      <c r="H2654" s="176"/>
      <c r="I2654" s="176"/>
      <c r="J2654" s="176"/>
      <c r="K2654" s="176"/>
      <c r="L2654" s="176"/>
      <c r="M2654" s="176"/>
      <c r="N2654" s="176"/>
      <c r="O2654" s="176"/>
      <c r="P2654" s="176"/>
      <c r="Q2654" s="176"/>
      <c r="R2654" s="176"/>
      <c r="S2654" s="176"/>
      <c r="T2654" s="176"/>
      <c r="U2654" s="176"/>
      <c r="V2654" s="176"/>
      <c r="W2654" s="176"/>
      <c r="X2654" s="176"/>
      <c r="Y2654" s="176"/>
    </row>
    <row r="2655" spans="1:25">
      <c r="A2655" s="91"/>
      <c r="B2655" s="176"/>
      <c r="C2655" s="176"/>
      <c r="D2655" s="176"/>
      <c r="E2655" s="176"/>
      <c r="F2655" s="176"/>
      <c r="G2655" s="176"/>
      <c r="H2655" s="176"/>
      <c r="I2655" s="176"/>
      <c r="J2655" s="176"/>
      <c r="K2655" s="176"/>
      <c r="L2655" s="176"/>
      <c r="M2655" s="176"/>
      <c r="N2655" s="176"/>
      <c r="O2655" s="176"/>
      <c r="P2655" s="176"/>
      <c r="Q2655" s="176"/>
      <c r="R2655" s="176"/>
      <c r="S2655" s="176"/>
      <c r="T2655" s="176"/>
      <c r="U2655" s="176"/>
      <c r="V2655" s="176"/>
      <c r="W2655" s="176"/>
      <c r="X2655" s="176"/>
      <c r="Y2655" s="176"/>
    </row>
    <row r="2656" spans="1:25">
      <c r="A2656" s="91"/>
      <c r="B2656" s="176"/>
      <c r="C2656" s="176"/>
      <c r="D2656" s="176"/>
      <c r="E2656" s="176"/>
      <c r="F2656" s="176"/>
      <c r="G2656" s="176"/>
      <c r="H2656" s="176"/>
      <c r="I2656" s="176"/>
      <c r="J2656" s="176"/>
      <c r="K2656" s="176"/>
      <c r="L2656" s="176"/>
      <c r="M2656" s="176"/>
      <c r="N2656" s="176"/>
      <c r="O2656" s="176"/>
      <c r="P2656" s="176"/>
      <c r="Q2656" s="176"/>
      <c r="R2656" s="176"/>
      <c r="S2656" s="176"/>
      <c r="T2656" s="176"/>
      <c r="U2656" s="176"/>
      <c r="V2656" s="176"/>
      <c r="W2656" s="176"/>
      <c r="X2656" s="176"/>
      <c r="Y2656" s="176"/>
    </row>
    <row r="2657" spans="1:25">
      <c r="A2657" s="91"/>
      <c r="B2657" s="176"/>
      <c r="C2657" s="176"/>
      <c r="D2657" s="176"/>
      <c r="E2657" s="176"/>
      <c r="F2657" s="176"/>
      <c r="G2657" s="176"/>
      <c r="H2657" s="176"/>
      <c r="I2657" s="176"/>
      <c r="J2657" s="176"/>
      <c r="K2657" s="176"/>
      <c r="L2657" s="176"/>
      <c r="M2657" s="176"/>
      <c r="N2657" s="176"/>
      <c r="O2657" s="176"/>
      <c r="P2657" s="176"/>
      <c r="Q2657" s="176"/>
      <c r="R2657" s="176"/>
      <c r="S2657" s="176"/>
      <c r="T2657" s="176"/>
      <c r="U2657" s="176"/>
      <c r="V2657" s="176"/>
      <c r="W2657" s="176"/>
      <c r="X2657" s="176"/>
      <c r="Y2657" s="176"/>
    </row>
    <row r="2658" spans="1:25">
      <c r="A2658" s="91"/>
      <c r="B2658" s="176"/>
      <c r="C2658" s="176"/>
      <c r="D2658" s="176"/>
      <c r="E2658" s="176"/>
      <c r="F2658" s="176"/>
      <c r="G2658" s="176"/>
      <c r="H2658" s="176"/>
      <c r="I2658" s="176"/>
      <c r="J2658" s="176"/>
      <c r="K2658" s="176"/>
      <c r="L2658" s="176"/>
      <c r="M2658" s="176"/>
      <c r="N2658" s="176"/>
      <c r="O2658" s="176"/>
      <c r="P2658" s="176"/>
      <c r="Q2658" s="176"/>
      <c r="R2658" s="176"/>
      <c r="S2658" s="176"/>
      <c r="T2658" s="176"/>
      <c r="U2658" s="176"/>
      <c r="V2658" s="176"/>
      <c r="W2658" s="176"/>
      <c r="X2658" s="176"/>
      <c r="Y2658" s="176"/>
    </row>
    <row r="2659" spans="1:25">
      <c r="A2659" s="91"/>
      <c r="B2659" s="176"/>
      <c r="C2659" s="176"/>
      <c r="D2659" s="176"/>
      <c r="E2659" s="176"/>
      <c r="F2659" s="176"/>
      <c r="G2659" s="176"/>
      <c r="H2659" s="176"/>
      <c r="I2659" s="176"/>
      <c r="J2659" s="176"/>
      <c r="K2659" s="176"/>
      <c r="L2659" s="176"/>
      <c r="M2659" s="176"/>
      <c r="N2659" s="176"/>
      <c r="O2659" s="176"/>
      <c r="P2659" s="176"/>
      <c r="Q2659" s="176"/>
      <c r="R2659" s="176"/>
      <c r="S2659" s="176"/>
      <c r="T2659" s="176"/>
      <c r="U2659" s="176"/>
      <c r="V2659" s="176"/>
      <c r="W2659" s="176"/>
      <c r="X2659" s="176"/>
      <c r="Y2659" s="176"/>
    </row>
    <row r="2660" spans="1:25">
      <c r="A2660" s="91"/>
      <c r="B2660" s="176"/>
      <c r="C2660" s="176"/>
      <c r="D2660" s="176"/>
      <c r="E2660" s="176"/>
      <c r="F2660" s="176"/>
      <c r="G2660" s="176"/>
      <c r="H2660" s="176"/>
      <c r="I2660" s="176"/>
      <c r="J2660" s="176"/>
      <c r="K2660" s="176"/>
      <c r="L2660" s="176"/>
      <c r="M2660" s="176"/>
      <c r="N2660" s="176"/>
      <c r="O2660" s="176"/>
      <c r="P2660" s="176"/>
      <c r="Q2660" s="176"/>
      <c r="R2660" s="176"/>
      <c r="S2660" s="176"/>
      <c r="T2660" s="176"/>
      <c r="U2660" s="176"/>
      <c r="V2660" s="176"/>
      <c r="W2660" s="176"/>
      <c r="X2660" s="176"/>
      <c r="Y2660" s="176"/>
    </row>
    <row r="2661" spans="1:25">
      <c r="A2661" s="91"/>
      <c r="B2661" s="176"/>
      <c r="C2661" s="176"/>
      <c r="D2661" s="176"/>
      <c r="E2661" s="176"/>
      <c r="F2661" s="176"/>
      <c r="G2661" s="176"/>
      <c r="H2661" s="176"/>
      <c r="I2661" s="176"/>
      <c r="J2661" s="176"/>
      <c r="K2661" s="176"/>
      <c r="L2661" s="176"/>
      <c r="M2661" s="176"/>
      <c r="N2661" s="176"/>
      <c r="O2661" s="176"/>
      <c r="P2661" s="176"/>
      <c r="Q2661" s="176"/>
      <c r="R2661" s="176"/>
      <c r="S2661" s="176"/>
      <c r="T2661" s="176"/>
      <c r="U2661" s="176"/>
      <c r="V2661" s="176"/>
      <c r="W2661" s="176"/>
      <c r="X2661" s="176"/>
      <c r="Y2661" s="176"/>
    </row>
    <row r="2662" spans="1:25">
      <c r="A2662" s="91"/>
      <c r="B2662" s="176"/>
      <c r="C2662" s="176"/>
      <c r="D2662" s="176"/>
      <c r="E2662" s="176"/>
      <c r="F2662" s="176"/>
      <c r="G2662" s="176"/>
      <c r="H2662" s="176"/>
      <c r="I2662" s="176"/>
      <c r="J2662" s="176"/>
      <c r="K2662" s="176"/>
      <c r="L2662" s="176"/>
      <c r="M2662" s="176"/>
      <c r="N2662" s="176"/>
      <c r="O2662" s="176"/>
      <c r="P2662" s="176"/>
      <c r="Q2662" s="176"/>
      <c r="R2662" s="176"/>
      <c r="S2662" s="176"/>
      <c r="T2662" s="176"/>
      <c r="U2662" s="176"/>
      <c r="V2662" s="176"/>
      <c r="W2662" s="176"/>
      <c r="X2662" s="176"/>
      <c r="Y2662" s="176"/>
    </row>
    <row r="2663" spans="1:25">
      <c r="A2663" s="91"/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</row>
    <row r="2664" spans="1:25">
      <c r="A2664" s="91"/>
      <c r="B2664" s="176"/>
      <c r="C2664" s="176"/>
      <c r="D2664" s="176"/>
      <c r="E2664" s="176"/>
      <c r="F2664" s="176"/>
      <c r="G2664" s="176"/>
      <c r="H2664" s="176"/>
      <c r="I2664" s="176"/>
      <c r="J2664" s="176"/>
      <c r="K2664" s="176"/>
      <c r="L2664" s="176"/>
      <c r="M2664" s="176"/>
      <c r="N2664" s="176"/>
      <c r="O2664" s="176"/>
      <c r="P2664" s="176"/>
      <c r="Q2664" s="176"/>
      <c r="R2664" s="176"/>
      <c r="S2664" s="176"/>
      <c r="T2664" s="176"/>
      <c r="U2664" s="176"/>
      <c r="V2664" s="176"/>
      <c r="W2664" s="176"/>
      <c r="X2664" s="176"/>
      <c r="Y2664" s="176"/>
    </row>
    <row r="2665" spans="1:25">
      <c r="A2665" s="91"/>
      <c r="B2665" s="176"/>
      <c r="C2665" s="176"/>
      <c r="D2665" s="176"/>
      <c r="E2665" s="176"/>
      <c r="F2665" s="176"/>
      <c r="G2665" s="176"/>
      <c r="H2665" s="176"/>
      <c r="I2665" s="176"/>
      <c r="J2665" s="176"/>
      <c r="K2665" s="176"/>
      <c r="L2665" s="176"/>
      <c r="M2665" s="176"/>
      <c r="N2665" s="176"/>
      <c r="O2665" s="176"/>
      <c r="P2665" s="176"/>
      <c r="Q2665" s="176"/>
      <c r="R2665" s="176"/>
      <c r="S2665" s="176"/>
      <c r="T2665" s="176"/>
      <c r="U2665" s="176"/>
      <c r="V2665" s="176"/>
      <c r="W2665" s="176"/>
      <c r="X2665" s="176"/>
      <c r="Y2665" s="176"/>
    </row>
    <row r="2666" spans="1:25">
      <c r="A2666" s="91"/>
      <c r="B2666" s="176"/>
      <c r="C2666" s="176"/>
      <c r="D2666" s="176"/>
      <c r="E2666" s="176"/>
      <c r="F2666" s="176"/>
      <c r="G2666" s="176"/>
      <c r="H2666" s="176"/>
      <c r="I2666" s="176"/>
      <c r="J2666" s="176"/>
      <c r="K2666" s="176"/>
      <c r="L2666" s="176"/>
      <c r="M2666" s="176"/>
      <c r="N2666" s="176"/>
      <c r="O2666" s="176"/>
      <c r="P2666" s="176"/>
      <c r="Q2666" s="176"/>
      <c r="R2666" s="176"/>
      <c r="S2666" s="176"/>
      <c r="T2666" s="176"/>
      <c r="U2666" s="176"/>
      <c r="V2666" s="176"/>
      <c r="W2666" s="176"/>
      <c r="X2666" s="176"/>
      <c r="Y2666" s="176"/>
    </row>
    <row r="2667" spans="1:25">
      <c r="A2667" s="91"/>
      <c r="B2667" s="176"/>
      <c r="C2667" s="176"/>
      <c r="D2667" s="176"/>
      <c r="E2667" s="176"/>
      <c r="F2667" s="176"/>
      <c r="G2667" s="176"/>
      <c r="H2667" s="176"/>
      <c r="I2667" s="176"/>
      <c r="J2667" s="176"/>
      <c r="K2667" s="176"/>
      <c r="L2667" s="176"/>
      <c r="M2667" s="176"/>
      <c r="N2667" s="176"/>
      <c r="O2667" s="176"/>
      <c r="P2667" s="176"/>
      <c r="Q2667" s="176"/>
      <c r="R2667" s="176"/>
      <c r="S2667" s="176"/>
      <c r="T2667" s="176"/>
      <c r="U2667" s="176"/>
      <c r="V2667" s="176"/>
      <c r="W2667" s="176"/>
      <c r="X2667" s="176"/>
      <c r="Y2667" s="176"/>
    </row>
    <row r="2668" spans="1:25">
      <c r="A2668" s="91"/>
      <c r="B2668" s="176"/>
      <c r="C2668" s="176"/>
      <c r="D2668" s="176"/>
      <c r="E2668" s="176"/>
      <c r="F2668" s="176"/>
      <c r="G2668" s="176"/>
      <c r="H2668" s="176"/>
      <c r="I2668" s="176"/>
      <c r="J2668" s="176"/>
      <c r="K2668" s="176"/>
      <c r="L2668" s="176"/>
      <c r="M2668" s="176"/>
      <c r="N2668" s="176"/>
      <c r="O2668" s="176"/>
      <c r="P2668" s="176"/>
      <c r="Q2668" s="176"/>
      <c r="R2668" s="176"/>
      <c r="S2668" s="176"/>
      <c r="T2668" s="176"/>
      <c r="U2668" s="176"/>
      <c r="V2668" s="176"/>
      <c r="W2668" s="176"/>
      <c r="X2668" s="176"/>
      <c r="Y2668" s="176"/>
    </row>
    <row r="2669" spans="1:25">
      <c r="A2669" s="91"/>
      <c r="B2669" s="176"/>
      <c r="C2669" s="176"/>
      <c r="D2669" s="176"/>
      <c r="E2669" s="176"/>
      <c r="F2669" s="176"/>
      <c r="G2669" s="176"/>
      <c r="H2669" s="176"/>
      <c r="I2669" s="176"/>
      <c r="J2669" s="176"/>
      <c r="K2669" s="176"/>
      <c r="L2669" s="176"/>
      <c r="M2669" s="176"/>
      <c r="N2669" s="176"/>
      <c r="O2669" s="176"/>
      <c r="P2669" s="176"/>
      <c r="Q2669" s="176"/>
      <c r="R2669" s="176"/>
      <c r="S2669" s="176"/>
      <c r="T2669" s="176"/>
      <c r="U2669" s="176"/>
      <c r="V2669" s="176"/>
      <c r="W2669" s="176"/>
      <c r="X2669" s="176"/>
      <c r="Y2669" s="176"/>
    </row>
    <row r="2670" spans="1:25">
      <c r="A2670" s="91"/>
      <c r="B2670" s="176"/>
      <c r="C2670" s="176"/>
      <c r="D2670" s="176"/>
      <c r="E2670" s="176"/>
      <c r="F2670" s="176"/>
      <c r="G2670" s="176"/>
      <c r="H2670" s="176"/>
      <c r="I2670" s="176"/>
      <c r="J2670" s="176"/>
      <c r="K2670" s="176"/>
      <c r="L2670" s="176"/>
      <c r="M2670" s="176"/>
      <c r="N2670" s="176"/>
      <c r="O2670" s="176"/>
      <c r="P2670" s="176"/>
      <c r="Q2670" s="176"/>
      <c r="R2670" s="176"/>
      <c r="S2670" s="176"/>
      <c r="T2670" s="176"/>
      <c r="U2670" s="176"/>
      <c r="V2670" s="176"/>
      <c r="W2670" s="176"/>
      <c r="X2670" s="176"/>
      <c r="Y2670" s="176"/>
    </row>
    <row r="2671" spans="1:25">
      <c r="A2671" s="91"/>
      <c r="B2671" s="176"/>
      <c r="C2671" s="176"/>
      <c r="D2671" s="176"/>
      <c r="E2671" s="176"/>
      <c r="F2671" s="176"/>
      <c r="G2671" s="176"/>
      <c r="H2671" s="176"/>
      <c r="I2671" s="176"/>
      <c r="J2671" s="176"/>
      <c r="K2671" s="176"/>
      <c r="L2671" s="176"/>
      <c r="M2671" s="176"/>
      <c r="N2671" s="176"/>
      <c r="O2671" s="176"/>
      <c r="P2671" s="176"/>
      <c r="Q2671" s="176"/>
      <c r="R2671" s="176"/>
      <c r="S2671" s="176"/>
      <c r="T2671" s="176"/>
      <c r="U2671" s="176"/>
      <c r="V2671" s="176"/>
      <c r="W2671" s="176"/>
      <c r="X2671" s="176"/>
      <c r="Y2671" s="176"/>
    </row>
    <row r="2672" spans="1:25">
      <c r="A2672" s="91"/>
      <c r="B2672" s="176"/>
      <c r="C2672" s="176"/>
      <c r="D2672" s="176"/>
      <c r="E2672" s="176"/>
      <c r="F2672" s="176"/>
      <c r="G2672" s="176"/>
      <c r="H2672" s="176"/>
      <c r="I2672" s="176"/>
      <c r="J2672" s="176"/>
      <c r="K2672" s="176"/>
      <c r="L2672" s="176"/>
      <c r="M2672" s="176"/>
      <c r="N2672" s="176"/>
      <c r="O2672" s="176"/>
      <c r="P2672" s="176"/>
      <c r="Q2672" s="176"/>
      <c r="R2672" s="176"/>
      <c r="S2672" s="176"/>
      <c r="T2672" s="176"/>
      <c r="U2672" s="176"/>
      <c r="V2672" s="176"/>
      <c r="W2672" s="176"/>
      <c r="X2672" s="176"/>
      <c r="Y2672" s="176"/>
    </row>
    <row r="2673" spans="1:25">
      <c r="A2673" s="91"/>
      <c r="B2673" s="176"/>
      <c r="C2673" s="176"/>
      <c r="D2673" s="176"/>
      <c r="E2673" s="176"/>
      <c r="F2673" s="176"/>
      <c r="G2673" s="176"/>
      <c r="H2673" s="176"/>
      <c r="I2673" s="176"/>
      <c r="J2673" s="176"/>
      <c r="K2673" s="176"/>
      <c r="L2673" s="176"/>
      <c r="M2673" s="176"/>
      <c r="N2673" s="176"/>
      <c r="O2673" s="176"/>
      <c r="P2673" s="176"/>
      <c r="Q2673" s="176"/>
      <c r="R2673" s="176"/>
      <c r="S2673" s="176"/>
      <c r="T2673" s="176"/>
      <c r="U2673" s="176"/>
      <c r="V2673" s="176"/>
      <c r="W2673" s="176"/>
      <c r="X2673" s="176"/>
      <c r="Y2673" s="176"/>
    </row>
    <row r="2674" spans="1:25">
      <c r="A2674" s="91"/>
      <c r="B2674" s="176"/>
      <c r="C2674" s="176"/>
      <c r="D2674" s="176"/>
      <c r="E2674" s="176"/>
      <c r="F2674" s="176"/>
      <c r="G2674" s="176"/>
      <c r="H2674" s="176"/>
      <c r="I2674" s="176"/>
      <c r="J2674" s="176"/>
      <c r="K2674" s="176"/>
      <c r="L2674" s="176"/>
      <c r="M2674" s="176"/>
      <c r="N2674" s="176"/>
      <c r="O2674" s="176"/>
      <c r="P2674" s="176"/>
      <c r="Q2674" s="176"/>
      <c r="R2674" s="176"/>
      <c r="S2674" s="176"/>
      <c r="T2674" s="176"/>
      <c r="U2674" s="176"/>
      <c r="V2674" s="176"/>
      <c r="W2674" s="176"/>
      <c r="X2674" s="176"/>
      <c r="Y2674" s="176"/>
    </row>
    <row r="2675" spans="1:25">
      <c r="A2675" s="91"/>
      <c r="B2675" s="176"/>
      <c r="C2675" s="176"/>
      <c r="D2675" s="176"/>
      <c r="E2675" s="176"/>
      <c r="F2675" s="176"/>
      <c r="G2675" s="176"/>
      <c r="H2675" s="176"/>
      <c r="I2675" s="176"/>
      <c r="J2675" s="176"/>
      <c r="K2675" s="176"/>
      <c r="L2675" s="176"/>
      <c r="M2675" s="176"/>
      <c r="N2675" s="176"/>
      <c r="O2675" s="176"/>
      <c r="P2675" s="176"/>
      <c r="Q2675" s="176"/>
      <c r="R2675" s="176"/>
      <c r="S2675" s="176"/>
      <c r="T2675" s="176"/>
      <c r="U2675" s="176"/>
      <c r="V2675" s="176"/>
      <c r="W2675" s="176"/>
      <c r="X2675" s="176"/>
      <c r="Y2675" s="176"/>
    </row>
    <row r="2676" spans="1:25">
      <c r="A2676" s="91"/>
      <c r="B2676" s="176"/>
      <c r="C2676" s="176"/>
      <c r="D2676" s="176"/>
      <c r="E2676" s="176"/>
      <c r="F2676" s="176"/>
      <c r="G2676" s="176"/>
      <c r="H2676" s="176"/>
      <c r="I2676" s="176"/>
      <c r="J2676" s="176"/>
      <c r="K2676" s="176"/>
      <c r="L2676" s="176"/>
      <c r="M2676" s="176"/>
      <c r="N2676" s="176"/>
      <c r="O2676" s="176"/>
      <c r="P2676" s="176"/>
      <c r="Q2676" s="176"/>
      <c r="R2676" s="176"/>
      <c r="S2676" s="176"/>
      <c r="T2676" s="176"/>
      <c r="U2676" s="176"/>
      <c r="V2676" s="176"/>
      <c r="W2676" s="176"/>
      <c r="X2676" s="176"/>
      <c r="Y2676" s="176"/>
    </row>
    <row r="2677" spans="1:25">
      <c r="A2677" s="91"/>
      <c r="B2677" s="176"/>
      <c r="C2677" s="176"/>
      <c r="D2677" s="176"/>
      <c r="E2677" s="176"/>
      <c r="F2677" s="176"/>
      <c r="G2677" s="176"/>
      <c r="H2677" s="176"/>
      <c r="I2677" s="176"/>
      <c r="J2677" s="176"/>
      <c r="K2677" s="176"/>
      <c r="L2677" s="176"/>
      <c r="M2677" s="176"/>
      <c r="N2677" s="176"/>
      <c r="O2677" s="176"/>
      <c r="P2677" s="176"/>
      <c r="Q2677" s="176"/>
      <c r="R2677" s="176"/>
      <c r="S2677" s="176"/>
      <c r="T2677" s="176"/>
      <c r="U2677" s="176"/>
      <c r="V2677" s="176"/>
      <c r="W2677" s="176"/>
      <c r="X2677" s="176"/>
      <c r="Y2677" s="176"/>
    </row>
    <row r="2678" spans="1:25">
      <c r="A2678" s="91"/>
      <c r="B2678" s="176"/>
      <c r="C2678" s="176"/>
      <c r="D2678" s="176"/>
      <c r="E2678" s="176"/>
      <c r="F2678" s="176"/>
      <c r="G2678" s="176"/>
      <c r="H2678" s="176"/>
      <c r="I2678" s="176"/>
      <c r="J2678" s="176"/>
      <c r="K2678" s="176"/>
      <c r="L2678" s="176"/>
      <c r="M2678" s="176"/>
      <c r="N2678" s="176"/>
      <c r="O2678" s="176"/>
      <c r="P2678" s="176"/>
      <c r="Q2678" s="176"/>
      <c r="R2678" s="176"/>
      <c r="S2678" s="176"/>
      <c r="T2678" s="176"/>
      <c r="U2678" s="176"/>
      <c r="V2678" s="176"/>
      <c r="W2678" s="176"/>
      <c r="X2678" s="176"/>
      <c r="Y2678" s="176"/>
    </row>
    <row r="2679" spans="1:25">
      <c r="A2679" s="91"/>
      <c r="B2679" s="176"/>
      <c r="C2679" s="176"/>
      <c r="D2679" s="176"/>
      <c r="E2679" s="176"/>
      <c r="F2679" s="176"/>
      <c r="G2679" s="176"/>
      <c r="H2679" s="176"/>
      <c r="I2679" s="176"/>
      <c r="J2679" s="176"/>
      <c r="K2679" s="176"/>
      <c r="L2679" s="176"/>
      <c r="M2679" s="176"/>
      <c r="N2679" s="176"/>
      <c r="O2679" s="176"/>
      <c r="P2679" s="176"/>
      <c r="Q2679" s="176"/>
      <c r="R2679" s="176"/>
      <c r="S2679" s="176"/>
      <c r="T2679" s="176"/>
      <c r="U2679" s="176"/>
      <c r="V2679" s="176"/>
      <c r="W2679" s="176"/>
      <c r="X2679" s="176"/>
      <c r="Y2679" s="176"/>
    </row>
    <row r="2680" spans="1:25">
      <c r="A2680" s="91"/>
      <c r="B2680" s="176"/>
      <c r="C2680" s="176"/>
      <c r="D2680" s="176"/>
      <c r="E2680" s="176"/>
      <c r="F2680" s="176"/>
      <c r="G2680" s="176"/>
      <c r="H2680" s="176"/>
      <c r="I2680" s="176"/>
      <c r="J2680" s="176"/>
      <c r="K2680" s="176"/>
      <c r="L2680" s="176"/>
      <c r="M2680" s="176"/>
      <c r="N2680" s="176"/>
      <c r="O2680" s="176"/>
      <c r="P2680" s="176"/>
      <c r="Q2680" s="176"/>
      <c r="R2680" s="176"/>
      <c r="S2680" s="176"/>
      <c r="T2680" s="176"/>
      <c r="U2680" s="176"/>
      <c r="V2680" s="176"/>
      <c r="W2680" s="176"/>
      <c r="X2680" s="176"/>
      <c r="Y2680" s="176"/>
    </row>
    <row r="2681" spans="1:25">
      <c r="A2681" s="91"/>
      <c r="B2681" s="176"/>
      <c r="C2681" s="176"/>
      <c r="D2681" s="176"/>
      <c r="E2681" s="176"/>
      <c r="F2681" s="176"/>
      <c r="G2681" s="176"/>
      <c r="H2681" s="176"/>
      <c r="I2681" s="176"/>
      <c r="J2681" s="176"/>
      <c r="K2681" s="176"/>
      <c r="L2681" s="176"/>
      <c r="M2681" s="176"/>
      <c r="N2681" s="176"/>
      <c r="O2681" s="176"/>
      <c r="P2681" s="176"/>
      <c r="Q2681" s="176"/>
      <c r="R2681" s="176"/>
      <c r="S2681" s="176"/>
      <c r="T2681" s="176"/>
      <c r="U2681" s="176"/>
      <c r="V2681" s="176"/>
      <c r="W2681" s="176"/>
      <c r="X2681" s="176"/>
      <c r="Y2681" s="176"/>
    </row>
    <row r="2682" spans="1:25">
      <c r="A2682" s="91"/>
      <c r="B2682" s="176"/>
      <c r="C2682" s="176"/>
      <c r="D2682" s="176"/>
      <c r="E2682" s="176"/>
      <c r="F2682" s="176"/>
      <c r="G2682" s="176"/>
      <c r="H2682" s="176"/>
      <c r="I2682" s="176"/>
      <c r="J2682" s="176"/>
      <c r="K2682" s="176"/>
      <c r="L2682" s="176"/>
      <c r="M2682" s="176"/>
      <c r="N2682" s="176"/>
      <c r="O2682" s="176"/>
      <c r="P2682" s="176"/>
      <c r="Q2682" s="176"/>
      <c r="R2682" s="176"/>
      <c r="S2682" s="176"/>
      <c r="T2682" s="176"/>
      <c r="U2682" s="176"/>
      <c r="V2682" s="176"/>
      <c r="W2682" s="176"/>
      <c r="X2682" s="176"/>
      <c r="Y2682" s="176"/>
    </row>
    <row r="2683" spans="1:25">
      <c r="A2683" s="91"/>
      <c r="B2683" s="176"/>
      <c r="C2683" s="176"/>
      <c r="D2683" s="176"/>
      <c r="E2683" s="176"/>
      <c r="F2683" s="176"/>
      <c r="G2683" s="176"/>
      <c r="H2683" s="176"/>
      <c r="I2683" s="176"/>
      <c r="J2683" s="176"/>
      <c r="K2683" s="176"/>
      <c r="L2683" s="176"/>
      <c r="M2683" s="176"/>
      <c r="N2683" s="176"/>
      <c r="O2683" s="176"/>
      <c r="P2683" s="176"/>
      <c r="Q2683" s="176"/>
      <c r="R2683" s="176"/>
      <c r="S2683" s="176"/>
      <c r="T2683" s="176"/>
      <c r="U2683" s="176"/>
      <c r="V2683" s="176"/>
      <c r="W2683" s="176"/>
      <c r="X2683" s="176"/>
      <c r="Y2683" s="176"/>
    </row>
    <row r="2684" spans="1:25">
      <c r="A2684" s="91"/>
      <c r="B2684" s="176"/>
      <c r="C2684" s="176"/>
      <c r="D2684" s="176"/>
      <c r="E2684" s="176"/>
      <c r="F2684" s="176"/>
      <c r="G2684" s="176"/>
      <c r="H2684" s="176"/>
      <c r="I2684" s="176"/>
      <c r="J2684" s="176"/>
      <c r="K2684" s="176"/>
      <c r="L2684" s="176"/>
      <c r="M2684" s="176"/>
      <c r="N2684" s="176"/>
      <c r="O2684" s="176"/>
      <c r="P2684" s="176"/>
      <c r="Q2684" s="176"/>
      <c r="R2684" s="176"/>
      <c r="S2684" s="176"/>
      <c r="T2684" s="176"/>
      <c r="U2684" s="176"/>
      <c r="V2684" s="176"/>
      <c r="W2684" s="176"/>
      <c r="X2684" s="176"/>
      <c r="Y2684" s="176"/>
    </row>
    <row r="2685" spans="1:25">
      <c r="A2685" s="91"/>
      <c r="B2685" s="176"/>
      <c r="C2685" s="176"/>
      <c r="D2685" s="176"/>
      <c r="E2685" s="176"/>
      <c r="F2685" s="176"/>
      <c r="G2685" s="176"/>
      <c r="H2685" s="176"/>
      <c r="I2685" s="176"/>
      <c r="J2685" s="176"/>
      <c r="K2685" s="176"/>
      <c r="L2685" s="176"/>
      <c r="M2685" s="176"/>
      <c r="N2685" s="176"/>
      <c r="O2685" s="176"/>
      <c r="P2685" s="176"/>
      <c r="Q2685" s="176"/>
      <c r="R2685" s="176"/>
      <c r="S2685" s="176"/>
      <c r="T2685" s="176"/>
      <c r="U2685" s="176"/>
      <c r="V2685" s="176"/>
      <c r="W2685" s="176"/>
      <c r="X2685" s="176"/>
      <c r="Y2685" s="176"/>
    </row>
    <row r="2686" spans="1:25">
      <c r="A2686" s="91"/>
      <c r="B2686" s="176"/>
      <c r="C2686" s="176"/>
      <c r="D2686" s="176"/>
      <c r="E2686" s="176"/>
      <c r="F2686" s="176"/>
      <c r="G2686" s="176"/>
      <c r="H2686" s="176"/>
      <c r="I2686" s="176"/>
      <c r="J2686" s="176"/>
      <c r="K2686" s="176"/>
      <c r="L2686" s="176"/>
      <c r="M2686" s="176"/>
      <c r="N2686" s="176"/>
      <c r="O2686" s="176"/>
      <c r="P2686" s="176"/>
      <c r="Q2686" s="176"/>
      <c r="R2686" s="176"/>
      <c r="S2686" s="176"/>
      <c r="T2686" s="176"/>
      <c r="U2686" s="176"/>
      <c r="V2686" s="176"/>
      <c r="W2686" s="176"/>
      <c r="X2686" s="176"/>
      <c r="Y2686" s="176"/>
    </row>
    <row r="2687" spans="1:25">
      <c r="A2687" s="91"/>
      <c r="B2687" s="176"/>
      <c r="C2687" s="176"/>
      <c r="D2687" s="176"/>
      <c r="E2687" s="176"/>
      <c r="F2687" s="176"/>
      <c r="G2687" s="176"/>
      <c r="H2687" s="176"/>
      <c r="I2687" s="176"/>
      <c r="J2687" s="176"/>
      <c r="K2687" s="176"/>
      <c r="L2687" s="176"/>
      <c r="M2687" s="176"/>
      <c r="N2687" s="176"/>
      <c r="O2687" s="176"/>
      <c r="P2687" s="176"/>
      <c r="Q2687" s="176"/>
      <c r="R2687" s="176"/>
      <c r="S2687" s="176"/>
      <c r="T2687" s="176"/>
      <c r="U2687" s="176"/>
      <c r="V2687" s="176"/>
      <c r="W2687" s="176"/>
      <c r="X2687" s="176"/>
      <c r="Y2687" s="176"/>
    </row>
    <row r="2688" spans="1:25">
      <c r="A2688" s="91"/>
      <c r="B2688" s="176"/>
      <c r="C2688" s="176"/>
      <c r="D2688" s="176"/>
      <c r="E2688" s="176"/>
      <c r="F2688" s="176"/>
      <c r="G2688" s="176"/>
      <c r="H2688" s="176"/>
      <c r="I2688" s="176"/>
      <c r="J2688" s="176"/>
      <c r="K2688" s="176"/>
      <c r="L2688" s="176"/>
      <c r="M2688" s="176"/>
      <c r="N2688" s="176"/>
      <c r="O2688" s="176"/>
      <c r="P2688" s="176"/>
      <c r="Q2688" s="176"/>
      <c r="R2688" s="176"/>
      <c r="S2688" s="176"/>
      <c r="T2688" s="176"/>
      <c r="U2688" s="176"/>
      <c r="V2688" s="176"/>
      <c r="W2688" s="176"/>
      <c r="X2688" s="176"/>
      <c r="Y2688" s="176"/>
    </row>
    <row r="2689" spans="1:25">
      <c r="A2689" s="91"/>
      <c r="B2689" s="176"/>
      <c r="C2689" s="176"/>
      <c r="D2689" s="176"/>
      <c r="E2689" s="176"/>
      <c r="F2689" s="176"/>
      <c r="G2689" s="176"/>
      <c r="H2689" s="176"/>
      <c r="I2689" s="176"/>
      <c r="J2689" s="176"/>
      <c r="K2689" s="176"/>
      <c r="L2689" s="176"/>
      <c r="M2689" s="176"/>
      <c r="N2689" s="176"/>
      <c r="O2689" s="176"/>
      <c r="P2689" s="176"/>
      <c r="Q2689" s="176"/>
      <c r="R2689" s="176"/>
      <c r="S2689" s="176"/>
      <c r="T2689" s="176"/>
      <c r="U2689" s="176"/>
      <c r="V2689" s="176"/>
      <c r="W2689" s="176"/>
      <c r="X2689" s="176"/>
      <c r="Y2689" s="176"/>
    </row>
    <row r="2690" spans="1:25">
      <c r="A2690" s="91"/>
      <c r="B2690" s="176"/>
      <c r="C2690" s="176"/>
      <c r="D2690" s="176"/>
      <c r="E2690" s="176"/>
      <c r="F2690" s="176"/>
      <c r="G2690" s="176"/>
      <c r="H2690" s="176"/>
      <c r="I2690" s="176"/>
      <c r="J2690" s="176"/>
      <c r="K2690" s="176"/>
      <c r="L2690" s="176"/>
      <c r="M2690" s="176"/>
      <c r="N2690" s="176"/>
      <c r="O2690" s="176"/>
      <c r="P2690" s="176"/>
      <c r="Q2690" s="176"/>
      <c r="R2690" s="176"/>
      <c r="S2690" s="176"/>
      <c r="T2690" s="176"/>
      <c r="U2690" s="176"/>
      <c r="V2690" s="176"/>
      <c r="W2690" s="176"/>
      <c r="X2690" s="176"/>
      <c r="Y2690" s="176"/>
    </row>
    <row r="2691" spans="1:25">
      <c r="A2691" s="91"/>
      <c r="B2691" s="176"/>
      <c r="C2691" s="176"/>
      <c r="D2691" s="176"/>
      <c r="E2691" s="176"/>
      <c r="F2691" s="176"/>
      <c r="G2691" s="176"/>
      <c r="H2691" s="176"/>
      <c r="I2691" s="176"/>
      <c r="J2691" s="176"/>
      <c r="K2691" s="176"/>
      <c r="L2691" s="176"/>
      <c r="M2691" s="176"/>
      <c r="N2691" s="176"/>
      <c r="O2691" s="176"/>
      <c r="P2691" s="176"/>
      <c r="Q2691" s="176"/>
      <c r="R2691" s="176"/>
      <c r="S2691" s="176"/>
      <c r="T2691" s="176"/>
      <c r="U2691" s="176"/>
      <c r="V2691" s="176"/>
      <c r="W2691" s="176"/>
      <c r="X2691" s="176"/>
      <c r="Y2691" s="176"/>
    </row>
    <row r="2692" spans="1:25">
      <c r="A2692" s="91"/>
      <c r="B2692" s="176"/>
      <c r="C2692" s="176"/>
      <c r="D2692" s="176"/>
      <c r="E2692" s="176"/>
      <c r="F2692" s="176"/>
      <c r="G2692" s="176"/>
      <c r="H2692" s="176"/>
      <c r="I2692" s="176"/>
      <c r="J2692" s="176"/>
      <c r="K2692" s="176"/>
      <c r="L2692" s="176"/>
      <c r="M2692" s="176"/>
      <c r="N2692" s="176"/>
      <c r="O2692" s="176"/>
      <c r="P2692" s="176"/>
      <c r="Q2692" s="176"/>
      <c r="R2692" s="176"/>
      <c r="S2692" s="176"/>
      <c r="T2692" s="176"/>
      <c r="U2692" s="176"/>
      <c r="V2692" s="176"/>
      <c r="W2692" s="176"/>
      <c r="X2692" s="176"/>
      <c r="Y2692" s="176"/>
    </row>
    <row r="2693" spans="1:25">
      <c r="A2693" s="91"/>
      <c r="B2693" s="176"/>
      <c r="C2693" s="176"/>
      <c r="D2693" s="176"/>
      <c r="E2693" s="176"/>
      <c r="F2693" s="176"/>
      <c r="G2693" s="176"/>
      <c r="H2693" s="176"/>
      <c r="I2693" s="176"/>
      <c r="J2693" s="176"/>
      <c r="K2693" s="176"/>
      <c r="L2693" s="176"/>
      <c r="M2693" s="176"/>
      <c r="N2693" s="176"/>
      <c r="O2693" s="176"/>
      <c r="P2693" s="176"/>
      <c r="Q2693" s="176"/>
      <c r="R2693" s="176"/>
      <c r="S2693" s="176"/>
      <c r="T2693" s="176"/>
      <c r="U2693" s="176"/>
      <c r="V2693" s="176"/>
      <c r="W2693" s="176"/>
      <c r="X2693" s="176"/>
      <c r="Y2693" s="176"/>
    </row>
    <row r="2694" spans="1:25">
      <c r="A2694" s="91"/>
      <c r="B2694" s="176"/>
      <c r="C2694" s="176"/>
      <c r="D2694" s="176"/>
      <c r="E2694" s="176"/>
      <c r="F2694" s="176"/>
      <c r="G2694" s="176"/>
      <c r="H2694" s="176"/>
      <c r="I2694" s="176"/>
      <c r="J2694" s="176"/>
      <c r="K2694" s="176"/>
      <c r="L2694" s="176"/>
      <c r="M2694" s="176"/>
      <c r="N2694" s="176"/>
      <c r="O2694" s="176"/>
      <c r="P2694" s="176"/>
      <c r="Q2694" s="176"/>
      <c r="R2694" s="176"/>
      <c r="S2694" s="176"/>
      <c r="T2694" s="176"/>
      <c r="U2694" s="176"/>
      <c r="V2694" s="176"/>
      <c r="W2694" s="176"/>
      <c r="X2694" s="176"/>
      <c r="Y2694" s="176"/>
    </row>
    <row r="2695" spans="1:25">
      <c r="A2695" s="91"/>
      <c r="B2695" s="176"/>
      <c r="C2695" s="176"/>
      <c r="D2695" s="176"/>
      <c r="E2695" s="176"/>
      <c r="F2695" s="176"/>
      <c r="G2695" s="176"/>
      <c r="H2695" s="176"/>
      <c r="I2695" s="176"/>
      <c r="J2695" s="176"/>
      <c r="K2695" s="176"/>
      <c r="L2695" s="176"/>
      <c r="M2695" s="176"/>
      <c r="N2695" s="176"/>
      <c r="O2695" s="176"/>
      <c r="P2695" s="176"/>
      <c r="Q2695" s="176"/>
      <c r="R2695" s="176"/>
      <c r="S2695" s="176"/>
      <c r="T2695" s="176"/>
      <c r="U2695" s="176"/>
      <c r="V2695" s="176"/>
      <c r="W2695" s="176"/>
      <c r="X2695" s="176"/>
      <c r="Y2695" s="176"/>
    </row>
    <row r="2696" spans="1:25">
      <c r="A2696" s="91"/>
      <c r="B2696" s="176"/>
      <c r="C2696" s="176"/>
      <c r="D2696" s="176"/>
      <c r="E2696" s="176"/>
      <c r="F2696" s="176"/>
      <c r="G2696" s="176"/>
      <c r="H2696" s="176"/>
      <c r="I2696" s="176"/>
      <c r="J2696" s="176"/>
      <c r="K2696" s="176"/>
      <c r="L2696" s="176"/>
      <c r="M2696" s="176"/>
      <c r="N2696" s="176"/>
      <c r="O2696" s="176"/>
      <c r="P2696" s="176"/>
      <c r="Q2696" s="176"/>
      <c r="R2696" s="176"/>
      <c r="S2696" s="176"/>
      <c r="T2696" s="176"/>
      <c r="U2696" s="176"/>
      <c r="V2696" s="176"/>
      <c r="W2696" s="176"/>
      <c r="X2696" s="176"/>
      <c r="Y2696" s="176"/>
    </row>
    <row r="2697" spans="1:25">
      <c r="A2697" s="91"/>
      <c r="B2697" s="176"/>
      <c r="C2697" s="176"/>
      <c r="D2697" s="176"/>
      <c r="E2697" s="176"/>
      <c r="F2697" s="176"/>
      <c r="G2697" s="176"/>
      <c r="H2697" s="176"/>
      <c r="I2697" s="176"/>
      <c r="J2697" s="176"/>
      <c r="K2697" s="176"/>
      <c r="L2697" s="176"/>
      <c r="M2697" s="176"/>
      <c r="N2697" s="176"/>
      <c r="O2697" s="176"/>
      <c r="P2697" s="176"/>
      <c r="Q2697" s="176"/>
      <c r="R2697" s="176"/>
      <c r="S2697" s="176"/>
      <c r="T2697" s="176"/>
      <c r="U2697" s="176"/>
      <c r="V2697" s="176"/>
      <c r="W2697" s="176"/>
      <c r="X2697" s="176"/>
      <c r="Y2697" s="176"/>
    </row>
    <row r="2698" spans="1:25">
      <c r="A2698" s="91"/>
      <c r="B2698" s="176"/>
      <c r="C2698" s="176"/>
      <c r="D2698" s="176"/>
      <c r="E2698" s="176"/>
      <c r="F2698" s="176"/>
      <c r="G2698" s="176"/>
      <c r="H2698" s="176"/>
      <c r="I2698" s="176"/>
      <c r="J2698" s="176"/>
      <c r="K2698" s="176"/>
      <c r="L2698" s="176"/>
      <c r="M2698" s="176"/>
      <c r="N2698" s="176"/>
      <c r="O2698" s="176"/>
      <c r="P2698" s="176"/>
      <c r="Q2698" s="176"/>
      <c r="R2698" s="176"/>
      <c r="S2698" s="176"/>
      <c r="T2698" s="176"/>
      <c r="U2698" s="176"/>
      <c r="V2698" s="176"/>
      <c r="W2698" s="176"/>
      <c r="X2698" s="176"/>
      <c r="Y2698" s="176"/>
    </row>
    <row r="2699" spans="1:25">
      <c r="A2699" s="91"/>
      <c r="B2699" s="176"/>
      <c r="C2699" s="176"/>
      <c r="D2699" s="176"/>
      <c r="E2699" s="176"/>
      <c r="F2699" s="176"/>
      <c r="G2699" s="176"/>
      <c r="H2699" s="176"/>
      <c r="I2699" s="176"/>
      <c r="J2699" s="176"/>
      <c r="K2699" s="176"/>
      <c r="L2699" s="176"/>
      <c r="M2699" s="176"/>
      <c r="N2699" s="176"/>
      <c r="O2699" s="176"/>
      <c r="P2699" s="176"/>
      <c r="Q2699" s="176"/>
      <c r="R2699" s="176"/>
      <c r="S2699" s="176"/>
      <c r="T2699" s="176"/>
      <c r="U2699" s="176"/>
      <c r="V2699" s="176"/>
      <c r="W2699" s="176"/>
      <c r="X2699" s="176"/>
      <c r="Y2699" s="176"/>
    </row>
    <row r="2700" spans="1:25">
      <c r="A2700" s="91"/>
      <c r="B2700" s="176"/>
      <c r="C2700" s="176"/>
      <c r="D2700" s="176"/>
      <c r="E2700" s="176"/>
      <c r="F2700" s="176"/>
      <c r="G2700" s="176"/>
      <c r="H2700" s="176"/>
      <c r="I2700" s="176"/>
      <c r="J2700" s="176"/>
      <c r="K2700" s="176"/>
      <c r="L2700" s="176"/>
      <c r="M2700" s="176"/>
      <c r="N2700" s="176"/>
      <c r="O2700" s="176"/>
      <c r="P2700" s="176"/>
      <c r="Q2700" s="176"/>
      <c r="R2700" s="176"/>
      <c r="S2700" s="176"/>
      <c r="T2700" s="176"/>
      <c r="U2700" s="176"/>
      <c r="V2700" s="176"/>
      <c r="W2700" s="176"/>
      <c r="X2700" s="176"/>
      <c r="Y2700" s="176"/>
    </row>
    <row r="2701" spans="1:25">
      <c r="A2701" s="91"/>
      <c r="B2701" s="176"/>
      <c r="C2701" s="176"/>
      <c r="D2701" s="176"/>
      <c r="E2701" s="176"/>
      <c r="F2701" s="176"/>
      <c r="G2701" s="176"/>
      <c r="H2701" s="176"/>
      <c r="I2701" s="176"/>
      <c r="J2701" s="176"/>
      <c r="K2701" s="176"/>
      <c r="L2701" s="176"/>
      <c r="M2701" s="176"/>
      <c r="N2701" s="176"/>
      <c r="O2701" s="176"/>
      <c r="P2701" s="176"/>
      <c r="Q2701" s="176"/>
      <c r="R2701" s="176"/>
      <c r="S2701" s="176"/>
      <c r="T2701" s="176"/>
      <c r="U2701" s="176"/>
      <c r="V2701" s="176"/>
      <c r="W2701" s="176"/>
      <c r="X2701" s="176"/>
      <c r="Y2701" s="176"/>
    </row>
    <row r="2702" spans="1:25">
      <c r="A2702" s="91"/>
      <c r="B2702" s="176"/>
      <c r="C2702" s="176"/>
      <c r="D2702" s="176"/>
      <c r="E2702" s="176"/>
      <c r="F2702" s="176"/>
      <c r="G2702" s="176"/>
      <c r="H2702" s="176"/>
      <c r="I2702" s="176"/>
      <c r="J2702" s="176"/>
      <c r="K2702" s="176"/>
      <c r="L2702" s="176"/>
      <c r="M2702" s="176"/>
      <c r="N2702" s="176"/>
      <c r="O2702" s="176"/>
      <c r="P2702" s="176"/>
      <c r="Q2702" s="176"/>
      <c r="R2702" s="176"/>
      <c r="S2702" s="176"/>
      <c r="T2702" s="176"/>
      <c r="U2702" s="176"/>
      <c r="V2702" s="176"/>
      <c r="W2702" s="176"/>
      <c r="X2702" s="176"/>
      <c r="Y2702" s="176"/>
    </row>
    <row r="2703" spans="1:25">
      <c r="A2703" s="91"/>
      <c r="B2703" s="176"/>
      <c r="C2703" s="176"/>
      <c r="D2703" s="176"/>
      <c r="E2703" s="176"/>
      <c r="F2703" s="176"/>
      <c r="G2703" s="176"/>
      <c r="H2703" s="176"/>
      <c r="I2703" s="176"/>
      <c r="J2703" s="176"/>
      <c r="K2703" s="176"/>
      <c r="L2703" s="176"/>
      <c r="M2703" s="176"/>
      <c r="N2703" s="176"/>
      <c r="O2703" s="176"/>
      <c r="P2703" s="176"/>
      <c r="Q2703" s="176"/>
      <c r="R2703" s="176"/>
      <c r="S2703" s="176"/>
      <c r="T2703" s="176"/>
      <c r="U2703" s="176"/>
      <c r="V2703" s="176"/>
      <c r="W2703" s="176"/>
      <c r="X2703" s="176"/>
      <c r="Y2703" s="176"/>
    </row>
    <row r="2704" spans="1:25">
      <c r="A2704" s="91"/>
      <c r="B2704" s="176"/>
      <c r="C2704" s="176"/>
      <c r="D2704" s="176"/>
      <c r="E2704" s="176"/>
      <c r="F2704" s="176"/>
      <c r="G2704" s="176"/>
      <c r="H2704" s="176"/>
      <c r="I2704" s="176"/>
      <c r="J2704" s="176"/>
      <c r="K2704" s="176"/>
      <c r="L2704" s="176"/>
      <c r="M2704" s="176"/>
      <c r="N2704" s="176"/>
      <c r="O2704" s="176"/>
      <c r="P2704" s="176"/>
      <c r="Q2704" s="176"/>
      <c r="R2704" s="176"/>
      <c r="S2704" s="176"/>
      <c r="T2704" s="176"/>
      <c r="U2704" s="176"/>
      <c r="V2704" s="176"/>
      <c r="W2704" s="176"/>
      <c r="X2704" s="176"/>
      <c r="Y2704" s="176"/>
    </row>
    <row r="2705" spans="1:25">
      <c r="A2705" s="91"/>
      <c r="B2705" s="176"/>
      <c r="C2705" s="176"/>
      <c r="D2705" s="176"/>
      <c r="E2705" s="176"/>
      <c r="F2705" s="176"/>
      <c r="G2705" s="176"/>
      <c r="H2705" s="176"/>
      <c r="I2705" s="176"/>
      <c r="J2705" s="176"/>
      <c r="K2705" s="176"/>
      <c r="L2705" s="176"/>
      <c r="M2705" s="176"/>
      <c r="N2705" s="176"/>
      <c r="O2705" s="176"/>
      <c r="P2705" s="176"/>
      <c r="Q2705" s="176"/>
      <c r="R2705" s="176"/>
      <c r="S2705" s="176"/>
      <c r="T2705" s="176"/>
      <c r="U2705" s="176"/>
      <c r="V2705" s="176"/>
      <c r="W2705" s="176"/>
      <c r="X2705" s="176"/>
      <c r="Y2705" s="176"/>
    </row>
    <row r="2706" spans="1:25">
      <c r="A2706" s="91"/>
      <c r="B2706" s="176"/>
      <c r="C2706" s="176"/>
      <c r="D2706" s="176"/>
      <c r="E2706" s="176"/>
      <c r="F2706" s="176"/>
      <c r="G2706" s="176"/>
      <c r="H2706" s="176"/>
      <c r="I2706" s="176"/>
      <c r="J2706" s="176"/>
      <c r="K2706" s="176"/>
      <c r="L2706" s="176"/>
      <c r="M2706" s="176"/>
      <c r="N2706" s="176"/>
      <c r="O2706" s="176"/>
      <c r="P2706" s="176"/>
      <c r="Q2706" s="176"/>
      <c r="R2706" s="176"/>
      <c r="S2706" s="176"/>
      <c r="T2706" s="176"/>
      <c r="U2706" s="176"/>
      <c r="V2706" s="176"/>
      <c r="W2706" s="176"/>
      <c r="X2706" s="176"/>
      <c r="Y2706" s="176"/>
    </row>
    <row r="2707" spans="1:25">
      <c r="A2707" s="91"/>
      <c r="B2707" s="176"/>
      <c r="C2707" s="176"/>
      <c r="D2707" s="176"/>
      <c r="E2707" s="176"/>
      <c r="F2707" s="176"/>
      <c r="G2707" s="176"/>
      <c r="H2707" s="176"/>
      <c r="I2707" s="176"/>
      <c r="J2707" s="176"/>
      <c r="K2707" s="176"/>
      <c r="L2707" s="176"/>
      <c r="M2707" s="176"/>
      <c r="N2707" s="176"/>
      <c r="O2707" s="176"/>
      <c r="P2707" s="176"/>
      <c r="Q2707" s="176"/>
      <c r="R2707" s="176"/>
      <c r="S2707" s="176"/>
      <c r="T2707" s="176"/>
      <c r="U2707" s="176"/>
      <c r="V2707" s="176"/>
      <c r="W2707" s="176"/>
      <c r="X2707" s="176"/>
      <c r="Y2707" s="176"/>
    </row>
    <row r="2708" spans="1:25">
      <c r="A2708" s="91"/>
      <c r="B2708" s="176"/>
      <c r="C2708" s="176"/>
      <c r="D2708" s="176"/>
      <c r="E2708" s="176"/>
      <c r="F2708" s="176"/>
      <c r="G2708" s="176"/>
      <c r="H2708" s="176"/>
      <c r="I2708" s="176"/>
      <c r="J2708" s="176"/>
      <c r="K2708" s="176"/>
      <c r="L2708" s="176"/>
      <c r="M2708" s="176"/>
      <c r="N2708" s="176"/>
      <c r="O2708" s="176"/>
      <c r="P2708" s="176"/>
      <c r="Q2708" s="176"/>
      <c r="R2708" s="176"/>
      <c r="S2708" s="176"/>
      <c r="T2708" s="176"/>
      <c r="U2708" s="176"/>
      <c r="V2708" s="176"/>
      <c r="W2708" s="176"/>
      <c r="X2708" s="176"/>
      <c r="Y2708" s="176"/>
    </row>
    <row r="2709" spans="1:25">
      <c r="A2709" s="91"/>
      <c r="B2709" s="176"/>
      <c r="C2709" s="176"/>
      <c r="D2709" s="176"/>
      <c r="E2709" s="176"/>
      <c r="F2709" s="176"/>
      <c r="G2709" s="176"/>
      <c r="H2709" s="176"/>
      <c r="I2709" s="176"/>
      <c r="J2709" s="176"/>
      <c r="K2709" s="176"/>
      <c r="L2709" s="176"/>
      <c r="M2709" s="176"/>
      <c r="N2709" s="176"/>
      <c r="O2709" s="176"/>
      <c r="P2709" s="176"/>
      <c r="Q2709" s="176"/>
      <c r="R2709" s="176"/>
      <c r="S2709" s="176"/>
      <c r="T2709" s="176"/>
      <c r="U2709" s="176"/>
      <c r="V2709" s="176"/>
      <c r="W2709" s="176"/>
      <c r="X2709" s="176"/>
      <c r="Y2709" s="176"/>
    </row>
    <row r="2710" spans="1:25">
      <c r="A2710" s="91"/>
      <c r="B2710" s="176"/>
      <c r="C2710" s="176"/>
      <c r="D2710" s="176"/>
      <c r="E2710" s="176"/>
      <c r="F2710" s="176"/>
      <c r="G2710" s="176"/>
      <c r="H2710" s="176"/>
      <c r="I2710" s="176"/>
      <c r="J2710" s="176"/>
      <c r="K2710" s="176"/>
      <c r="L2710" s="176"/>
      <c r="M2710" s="176"/>
      <c r="N2710" s="176"/>
      <c r="O2710" s="176"/>
      <c r="P2710" s="176"/>
      <c r="Q2710" s="176"/>
      <c r="R2710" s="176"/>
      <c r="S2710" s="176"/>
      <c r="T2710" s="176"/>
      <c r="U2710" s="176"/>
      <c r="V2710" s="176"/>
      <c r="W2710" s="176"/>
      <c r="X2710" s="176"/>
      <c r="Y2710" s="176"/>
    </row>
    <row r="2711" spans="1:25">
      <c r="A2711" s="91"/>
      <c r="B2711" s="176"/>
      <c r="C2711" s="176"/>
      <c r="D2711" s="176"/>
      <c r="E2711" s="176"/>
      <c r="F2711" s="176"/>
      <c r="G2711" s="176"/>
      <c r="H2711" s="176"/>
      <c r="I2711" s="176"/>
      <c r="J2711" s="176"/>
      <c r="K2711" s="176"/>
      <c r="L2711" s="176"/>
      <c r="M2711" s="176"/>
      <c r="N2711" s="176"/>
      <c r="O2711" s="176"/>
      <c r="P2711" s="176"/>
      <c r="Q2711" s="176"/>
      <c r="R2711" s="176"/>
      <c r="S2711" s="176"/>
      <c r="T2711" s="176"/>
      <c r="U2711" s="176"/>
      <c r="V2711" s="176"/>
      <c r="W2711" s="176"/>
      <c r="X2711" s="176"/>
      <c r="Y2711" s="176"/>
    </row>
    <row r="2712" spans="1:25">
      <c r="A2712" s="91"/>
      <c r="B2712" s="176"/>
      <c r="C2712" s="176"/>
      <c r="D2712" s="176"/>
      <c r="E2712" s="176"/>
      <c r="F2712" s="176"/>
      <c r="G2712" s="176"/>
      <c r="H2712" s="176"/>
      <c r="I2712" s="176"/>
      <c r="J2712" s="176"/>
      <c r="K2712" s="176"/>
      <c r="L2712" s="176"/>
      <c r="M2712" s="176"/>
      <c r="N2712" s="176"/>
      <c r="O2712" s="176"/>
      <c r="P2712" s="176"/>
      <c r="Q2712" s="176"/>
      <c r="R2712" s="176"/>
      <c r="S2712" s="176"/>
      <c r="T2712" s="176"/>
      <c r="U2712" s="176"/>
      <c r="V2712" s="176"/>
      <c r="W2712" s="176"/>
      <c r="X2712" s="176"/>
      <c r="Y2712" s="176"/>
    </row>
    <row r="2713" spans="1:25">
      <c r="A2713" s="91"/>
      <c r="B2713" s="176"/>
      <c r="C2713" s="176"/>
      <c r="D2713" s="176"/>
      <c r="E2713" s="176"/>
      <c r="F2713" s="176"/>
      <c r="G2713" s="176"/>
      <c r="H2713" s="176"/>
      <c r="I2713" s="176"/>
      <c r="J2713" s="176"/>
      <c r="K2713" s="176"/>
      <c r="L2713" s="176"/>
      <c r="M2713" s="176"/>
      <c r="N2713" s="176"/>
      <c r="O2713" s="176"/>
      <c r="P2713" s="176"/>
      <c r="Q2713" s="176"/>
      <c r="R2713" s="176"/>
      <c r="S2713" s="176"/>
      <c r="T2713" s="176"/>
      <c r="U2713" s="176"/>
      <c r="V2713" s="176"/>
      <c r="W2713" s="176"/>
      <c r="X2713" s="176"/>
      <c r="Y2713" s="176"/>
    </row>
    <row r="2714" spans="1:25">
      <c r="A2714" s="91"/>
      <c r="B2714" s="176"/>
      <c r="C2714" s="176"/>
      <c r="D2714" s="176"/>
      <c r="E2714" s="176"/>
      <c r="F2714" s="176"/>
      <c r="G2714" s="176"/>
      <c r="H2714" s="176"/>
      <c r="I2714" s="176"/>
      <c r="J2714" s="176"/>
      <c r="K2714" s="176"/>
      <c r="L2714" s="176"/>
      <c r="M2714" s="176"/>
      <c r="N2714" s="176"/>
      <c r="O2714" s="176"/>
      <c r="P2714" s="176"/>
      <c r="Q2714" s="176"/>
      <c r="R2714" s="176"/>
      <c r="S2714" s="176"/>
      <c r="T2714" s="176"/>
      <c r="U2714" s="176"/>
      <c r="V2714" s="176"/>
      <c r="W2714" s="176"/>
      <c r="X2714" s="176"/>
      <c r="Y2714" s="176"/>
    </row>
    <row r="2715" spans="1:25">
      <c r="A2715" s="91"/>
      <c r="B2715" s="176"/>
      <c r="C2715" s="176"/>
      <c r="D2715" s="176"/>
      <c r="E2715" s="176"/>
      <c r="F2715" s="176"/>
      <c r="G2715" s="176"/>
      <c r="H2715" s="176"/>
      <c r="I2715" s="176"/>
      <c r="J2715" s="176"/>
      <c r="K2715" s="176"/>
      <c r="L2715" s="176"/>
      <c r="M2715" s="176"/>
      <c r="N2715" s="176"/>
      <c r="O2715" s="176"/>
      <c r="P2715" s="176"/>
      <c r="Q2715" s="176"/>
      <c r="R2715" s="176"/>
      <c r="S2715" s="176"/>
      <c r="T2715" s="176"/>
      <c r="U2715" s="176"/>
      <c r="V2715" s="176"/>
      <c r="W2715" s="176"/>
      <c r="X2715" s="176"/>
      <c r="Y2715" s="176"/>
    </row>
    <row r="2716" spans="1:25">
      <c r="A2716" s="91"/>
      <c r="B2716" s="176"/>
      <c r="C2716" s="176"/>
      <c r="D2716" s="176"/>
      <c r="E2716" s="176"/>
      <c r="F2716" s="176"/>
      <c r="G2716" s="176"/>
      <c r="H2716" s="176"/>
      <c r="I2716" s="176"/>
      <c r="J2716" s="176"/>
      <c r="K2716" s="176"/>
      <c r="L2716" s="176"/>
      <c r="M2716" s="176"/>
      <c r="N2716" s="176"/>
      <c r="O2716" s="176"/>
      <c r="P2716" s="176"/>
      <c r="Q2716" s="176"/>
      <c r="R2716" s="176"/>
      <c r="S2716" s="176"/>
      <c r="T2716" s="176"/>
      <c r="U2716" s="176"/>
      <c r="V2716" s="176"/>
      <c r="W2716" s="176"/>
      <c r="X2716" s="176"/>
      <c r="Y2716" s="176"/>
    </row>
    <row r="2717" spans="1:25">
      <c r="A2717" s="91"/>
      <c r="B2717" s="176"/>
      <c r="C2717" s="176"/>
      <c r="D2717" s="176"/>
      <c r="E2717" s="176"/>
      <c r="F2717" s="176"/>
      <c r="G2717" s="176"/>
      <c r="H2717" s="176"/>
      <c r="I2717" s="176"/>
      <c r="J2717" s="176"/>
      <c r="K2717" s="176"/>
      <c r="L2717" s="176"/>
      <c r="M2717" s="176"/>
      <c r="N2717" s="176"/>
      <c r="O2717" s="176"/>
      <c r="P2717" s="176"/>
      <c r="Q2717" s="176"/>
      <c r="R2717" s="176"/>
      <c r="S2717" s="176"/>
      <c r="T2717" s="176"/>
      <c r="U2717" s="176"/>
      <c r="V2717" s="176"/>
      <c r="W2717" s="176"/>
      <c r="X2717" s="176"/>
      <c r="Y2717" s="176"/>
    </row>
    <row r="2718" spans="1:25">
      <c r="A2718" s="91"/>
      <c r="B2718" s="176"/>
      <c r="C2718" s="176"/>
      <c r="D2718" s="176"/>
      <c r="E2718" s="176"/>
      <c r="F2718" s="176"/>
      <c r="G2718" s="176"/>
      <c r="H2718" s="176"/>
      <c r="I2718" s="176"/>
      <c r="J2718" s="176"/>
      <c r="K2718" s="176"/>
      <c r="L2718" s="176"/>
      <c r="M2718" s="176"/>
      <c r="N2718" s="176"/>
      <c r="O2718" s="176"/>
      <c r="P2718" s="176"/>
      <c r="Q2718" s="176"/>
      <c r="R2718" s="176"/>
      <c r="S2718" s="176"/>
      <c r="T2718" s="176"/>
      <c r="U2718" s="176"/>
      <c r="V2718" s="176"/>
      <c r="W2718" s="176"/>
      <c r="X2718" s="176"/>
      <c r="Y2718" s="176"/>
    </row>
    <row r="2719" spans="1:25">
      <c r="A2719" s="91"/>
      <c r="B2719" s="176"/>
      <c r="C2719" s="176"/>
      <c r="D2719" s="176"/>
      <c r="E2719" s="176"/>
      <c r="F2719" s="176"/>
      <c r="G2719" s="176"/>
      <c r="H2719" s="176"/>
      <c r="I2719" s="176"/>
      <c r="J2719" s="176"/>
      <c r="K2719" s="176"/>
      <c r="L2719" s="176"/>
      <c r="M2719" s="176"/>
      <c r="N2719" s="176"/>
      <c r="O2719" s="176"/>
      <c r="P2719" s="176"/>
      <c r="Q2719" s="176"/>
      <c r="R2719" s="176"/>
      <c r="S2719" s="176"/>
      <c r="T2719" s="176"/>
      <c r="U2719" s="176"/>
      <c r="V2719" s="176"/>
      <c r="W2719" s="176"/>
      <c r="X2719" s="176"/>
      <c r="Y2719" s="176"/>
    </row>
    <row r="2720" spans="1:25">
      <c r="A2720" s="91"/>
      <c r="B2720" s="176"/>
      <c r="C2720" s="176"/>
      <c r="D2720" s="176"/>
      <c r="E2720" s="176"/>
      <c r="F2720" s="176"/>
      <c r="G2720" s="176"/>
      <c r="H2720" s="176"/>
      <c r="I2720" s="176"/>
      <c r="J2720" s="176"/>
      <c r="K2720" s="176"/>
      <c r="L2720" s="176"/>
      <c r="M2720" s="176"/>
      <c r="N2720" s="176"/>
      <c r="O2720" s="176"/>
      <c r="P2720" s="176"/>
      <c r="Q2720" s="176"/>
      <c r="R2720" s="176"/>
      <c r="S2720" s="176"/>
      <c r="T2720" s="176"/>
      <c r="U2720" s="176"/>
      <c r="V2720" s="176"/>
      <c r="W2720" s="176"/>
      <c r="X2720" s="176"/>
      <c r="Y2720" s="176"/>
    </row>
    <row r="2721" spans="1:25">
      <c r="A2721" s="91"/>
      <c r="B2721" s="176"/>
      <c r="C2721" s="176"/>
      <c r="D2721" s="176"/>
      <c r="E2721" s="176"/>
      <c r="F2721" s="176"/>
      <c r="G2721" s="176"/>
      <c r="H2721" s="176"/>
      <c r="I2721" s="176"/>
      <c r="J2721" s="176"/>
      <c r="K2721" s="176"/>
      <c r="L2721" s="176"/>
      <c r="M2721" s="176"/>
      <c r="N2721" s="176"/>
      <c r="O2721" s="176"/>
      <c r="P2721" s="176"/>
      <c r="Q2721" s="176"/>
      <c r="R2721" s="176"/>
      <c r="S2721" s="176"/>
      <c r="T2721" s="176"/>
      <c r="U2721" s="176"/>
      <c r="V2721" s="176"/>
      <c r="W2721" s="176"/>
      <c r="X2721" s="176"/>
      <c r="Y2721" s="176"/>
    </row>
    <row r="2722" spans="1:25">
      <c r="A2722" s="91"/>
      <c r="B2722" s="176"/>
      <c r="C2722" s="176"/>
      <c r="D2722" s="176"/>
      <c r="E2722" s="176"/>
      <c r="F2722" s="176"/>
      <c r="G2722" s="176"/>
      <c r="H2722" s="176"/>
      <c r="I2722" s="176"/>
      <c r="J2722" s="176"/>
      <c r="K2722" s="176"/>
      <c r="L2722" s="176"/>
      <c r="M2722" s="176"/>
      <c r="N2722" s="176"/>
      <c r="O2722" s="176"/>
      <c r="P2722" s="176"/>
      <c r="Q2722" s="176"/>
      <c r="R2722" s="176"/>
      <c r="S2722" s="176"/>
      <c r="T2722" s="176"/>
      <c r="U2722" s="176"/>
      <c r="V2722" s="176"/>
      <c r="W2722" s="176"/>
      <c r="X2722" s="176"/>
      <c r="Y2722" s="176"/>
    </row>
    <row r="2723" spans="1:25">
      <c r="A2723" s="91"/>
      <c r="B2723" s="176"/>
      <c r="C2723" s="176"/>
      <c r="D2723" s="176"/>
      <c r="E2723" s="176"/>
      <c r="F2723" s="176"/>
      <c r="G2723" s="176"/>
      <c r="H2723" s="176"/>
      <c r="I2723" s="176"/>
      <c r="J2723" s="176"/>
      <c r="K2723" s="176"/>
      <c r="L2723" s="176"/>
      <c r="M2723" s="176"/>
      <c r="N2723" s="176"/>
      <c r="O2723" s="176"/>
      <c r="P2723" s="176"/>
      <c r="Q2723" s="176"/>
      <c r="R2723" s="176"/>
      <c r="S2723" s="176"/>
      <c r="T2723" s="176"/>
      <c r="U2723" s="176"/>
      <c r="V2723" s="176"/>
      <c r="W2723" s="176"/>
      <c r="X2723" s="176"/>
      <c r="Y2723" s="176"/>
    </row>
    <row r="2724" spans="1:25">
      <c r="A2724" s="91"/>
      <c r="B2724" s="176"/>
      <c r="C2724" s="176"/>
      <c r="D2724" s="176"/>
      <c r="E2724" s="176"/>
      <c r="F2724" s="176"/>
      <c r="G2724" s="176"/>
      <c r="H2724" s="176"/>
      <c r="I2724" s="176"/>
      <c r="J2724" s="176"/>
      <c r="K2724" s="176"/>
      <c r="L2724" s="176"/>
      <c r="M2724" s="176"/>
      <c r="N2724" s="176"/>
      <c r="O2724" s="176"/>
      <c r="P2724" s="176"/>
      <c r="Q2724" s="176"/>
      <c r="R2724" s="176"/>
      <c r="S2724" s="176"/>
      <c r="T2724" s="176"/>
      <c r="U2724" s="176"/>
      <c r="V2724" s="176"/>
      <c r="W2724" s="176"/>
      <c r="X2724" s="176"/>
      <c r="Y2724" s="176"/>
    </row>
    <row r="2725" spans="1:25">
      <c r="A2725" s="91"/>
      <c r="B2725" s="176"/>
      <c r="C2725" s="176"/>
      <c r="D2725" s="176"/>
      <c r="E2725" s="176"/>
      <c r="F2725" s="176"/>
      <c r="G2725" s="176"/>
      <c r="H2725" s="176"/>
      <c r="I2725" s="176"/>
      <c r="J2725" s="176"/>
      <c r="K2725" s="176"/>
      <c r="L2725" s="176"/>
      <c r="M2725" s="176"/>
      <c r="N2725" s="176"/>
      <c r="O2725" s="176"/>
      <c r="P2725" s="176"/>
      <c r="Q2725" s="176"/>
      <c r="R2725" s="176"/>
      <c r="S2725" s="176"/>
      <c r="T2725" s="176"/>
      <c r="U2725" s="176"/>
      <c r="V2725" s="176"/>
      <c r="W2725" s="176"/>
      <c r="X2725" s="176"/>
      <c r="Y2725" s="176"/>
    </row>
    <row r="2726" spans="1:25">
      <c r="A2726" s="91"/>
      <c r="B2726" s="176"/>
      <c r="C2726" s="176"/>
      <c r="D2726" s="176"/>
      <c r="E2726" s="176"/>
      <c r="F2726" s="176"/>
      <c r="G2726" s="176"/>
      <c r="H2726" s="176"/>
      <c r="I2726" s="176"/>
      <c r="J2726" s="176"/>
      <c r="K2726" s="176"/>
      <c r="L2726" s="176"/>
      <c r="M2726" s="176"/>
      <c r="N2726" s="176"/>
      <c r="O2726" s="176"/>
      <c r="P2726" s="176"/>
      <c r="Q2726" s="176"/>
      <c r="R2726" s="176"/>
      <c r="S2726" s="176"/>
      <c r="T2726" s="176"/>
      <c r="U2726" s="176"/>
      <c r="V2726" s="176"/>
      <c r="W2726" s="176"/>
      <c r="X2726" s="176"/>
      <c r="Y2726" s="176"/>
    </row>
    <row r="2727" spans="1:25">
      <c r="A2727" s="91"/>
      <c r="B2727" s="176"/>
      <c r="C2727" s="176"/>
      <c r="D2727" s="176"/>
      <c r="E2727" s="176"/>
      <c r="F2727" s="176"/>
      <c r="G2727" s="176"/>
      <c r="H2727" s="176"/>
      <c r="I2727" s="176"/>
      <c r="J2727" s="176"/>
      <c r="K2727" s="176"/>
      <c r="L2727" s="176"/>
      <c r="M2727" s="176"/>
      <c r="N2727" s="176"/>
      <c r="O2727" s="176"/>
      <c r="P2727" s="176"/>
      <c r="Q2727" s="176"/>
      <c r="R2727" s="176"/>
      <c r="S2727" s="176"/>
      <c r="T2727" s="176"/>
      <c r="U2727" s="176"/>
      <c r="V2727" s="176"/>
      <c r="W2727" s="176"/>
      <c r="X2727" s="176"/>
      <c r="Y2727" s="176"/>
    </row>
    <row r="2728" spans="1:25">
      <c r="A2728" s="91"/>
      <c r="B2728" s="176"/>
      <c r="C2728" s="176"/>
      <c r="D2728" s="176"/>
      <c r="E2728" s="176"/>
      <c r="F2728" s="176"/>
      <c r="G2728" s="176"/>
      <c r="H2728" s="176"/>
      <c r="I2728" s="176"/>
      <c r="J2728" s="176"/>
      <c r="K2728" s="176"/>
      <c r="L2728" s="176"/>
      <c r="M2728" s="176"/>
      <c r="N2728" s="176"/>
      <c r="O2728" s="176"/>
      <c r="P2728" s="176"/>
      <c r="Q2728" s="176"/>
      <c r="R2728" s="176"/>
      <c r="S2728" s="176"/>
      <c r="T2728" s="176"/>
      <c r="U2728" s="176"/>
      <c r="V2728" s="176"/>
      <c r="W2728" s="176"/>
      <c r="X2728" s="176"/>
      <c r="Y2728" s="176"/>
    </row>
    <row r="2729" spans="1:25">
      <c r="A2729" s="91"/>
      <c r="B2729" s="176"/>
      <c r="C2729" s="176"/>
      <c r="D2729" s="176"/>
      <c r="E2729" s="176"/>
      <c r="F2729" s="176"/>
      <c r="G2729" s="176"/>
      <c r="H2729" s="176"/>
      <c r="I2729" s="176"/>
      <c r="J2729" s="176"/>
      <c r="K2729" s="176"/>
      <c r="L2729" s="176"/>
      <c r="M2729" s="176"/>
      <c r="N2729" s="176"/>
      <c r="O2729" s="176"/>
      <c r="P2729" s="176"/>
      <c r="Q2729" s="176"/>
      <c r="R2729" s="176"/>
      <c r="S2729" s="176"/>
      <c r="T2729" s="176"/>
      <c r="U2729" s="176"/>
      <c r="V2729" s="176"/>
      <c r="W2729" s="176"/>
      <c r="X2729" s="176"/>
      <c r="Y2729" s="176"/>
    </row>
    <row r="2730" spans="1:25">
      <c r="A2730" s="91"/>
      <c r="B2730" s="176"/>
      <c r="C2730" s="176"/>
      <c r="D2730" s="176"/>
      <c r="E2730" s="176"/>
      <c r="F2730" s="176"/>
      <c r="G2730" s="176"/>
      <c r="H2730" s="176"/>
      <c r="I2730" s="176"/>
      <c r="J2730" s="176"/>
      <c r="K2730" s="176"/>
      <c r="L2730" s="176"/>
      <c r="M2730" s="176"/>
      <c r="N2730" s="176"/>
      <c r="O2730" s="176"/>
      <c r="P2730" s="176"/>
      <c r="Q2730" s="176"/>
      <c r="R2730" s="176"/>
      <c r="S2730" s="176"/>
      <c r="T2730" s="176"/>
      <c r="U2730" s="176"/>
      <c r="V2730" s="176"/>
      <c r="W2730" s="176"/>
      <c r="X2730" s="176"/>
      <c r="Y2730" s="176"/>
    </row>
    <row r="2731" spans="1:25">
      <c r="A2731" s="91"/>
      <c r="B2731" s="176"/>
      <c r="C2731" s="176"/>
      <c r="D2731" s="176"/>
      <c r="E2731" s="176"/>
      <c r="F2731" s="176"/>
      <c r="G2731" s="176"/>
      <c r="H2731" s="176"/>
      <c r="I2731" s="176"/>
      <c r="J2731" s="176"/>
      <c r="K2731" s="176"/>
      <c r="L2731" s="176"/>
      <c r="M2731" s="176"/>
      <c r="N2731" s="176"/>
      <c r="O2731" s="176"/>
      <c r="P2731" s="176"/>
      <c r="Q2731" s="176"/>
      <c r="R2731" s="176"/>
      <c r="S2731" s="176"/>
      <c r="T2731" s="176"/>
      <c r="U2731" s="176"/>
      <c r="V2731" s="176"/>
      <c r="W2731" s="176"/>
      <c r="X2731" s="176"/>
      <c r="Y2731" s="176"/>
    </row>
    <row r="2732" spans="1:25">
      <c r="A2732" s="91"/>
      <c r="B2732" s="176"/>
      <c r="C2732" s="176"/>
      <c r="D2732" s="176"/>
      <c r="E2732" s="176"/>
      <c r="F2732" s="176"/>
      <c r="G2732" s="176"/>
      <c r="H2732" s="176"/>
      <c r="I2732" s="176"/>
      <c r="J2732" s="176"/>
      <c r="K2732" s="176"/>
      <c r="L2732" s="176"/>
      <c r="M2732" s="176"/>
      <c r="N2732" s="176"/>
      <c r="O2732" s="176"/>
      <c r="P2732" s="176"/>
      <c r="Q2732" s="176"/>
      <c r="R2732" s="176"/>
      <c r="S2732" s="176"/>
      <c r="T2732" s="176"/>
      <c r="U2732" s="176"/>
      <c r="V2732" s="176"/>
      <c r="W2732" s="176"/>
      <c r="X2732" s="176"/>
      <c r="Y2732" s="176"/>
    </row>
    <row r="2733" spans="1:25">
      <c r="A2733" s="91"/>
      <c r="B2733" s="176"/>
      <c r="C2733" s="176"/>
      <c r="D2733" s="176"/>
      <c r="E2733" s="176"/>
      <c r="F2733" s="176"/>
      <c r="G2733" s="176"/>
      <c r="H2733" s="176"/>
      <c r="I2733" s="176"/>
      <c r="J2733" s="176"/>
      <c r="K2733" s="176"/>
      <c r="L2733" s="176"/>
      <c r="M2733" s="176"/>
      <c r="N2733" s="176"/>
      <c r="O2733" s="176"/>
      <c r="P2733" s="176"/>
      <c r="Q2733" s="176"/>
      <c r="R2733" s="176"/>
      <c r="S2733" s="176"/>
      <c r="T2733" s="176"/>
      <c r="U2733" s="176"/>
      <c r="V2733" s="176"/>
      <c r="W2733" s="176"/>
      <c r="X2733" s="176"/>
      <c r="Y2733" s="176"/>
    </row>
    <row r="2734" spans="1:25">
      <c r="A2734" s="91"/>
      <c r="B2734" s="176"/>
      <c r="C2734" s="176"/>
      <c r="D2734" s="176"/>
      <c r="E2734" s="176"/>
      <c r="F2734" s="176"/>
      <c r="G2734" s="176"/>
      <c r="H2734" s="176"/>
      <c r="I2734" s="176"/>
      <c r="J2734" s="176"/>
      <c r="K2734" s="176"/>
      <c r="L2734" s="176"/>
      <c r="M2734" s="176"/>
      <c r="N2734" s="176"/>
      <c r="O2734" s="176"/>
      <c r="P2734" s="176"/>
      <c r="Q2734" s="176"/>
      <c r="R2734" s="176"/>
      <c r="S2734" s="176"/>
      <c r="T2734" s="176"/>
      <c r="U2734" s="176"/>
      <c r="V2734" s="176"/>
      <c r="W2734" s="176"/>
      <c r="X2734" s="176"/>
      <c r="Y2734" s="176"/>
    </row>
    <row r="2735" spans="1:25">
      <c r="A2735" s="91"/>
      <c r="B2735" s="176"/>
      <c r="C2735" s="176"/>
      <c r="D2735" s="176"/>
      <c r="E2735" s="176"/>
      <c r="F2735" s="176"/>
      <c r="G2735" s="176"/>
      <c r="H2735" s="176"/>
      <c r="I2735" s="176"/>
      <c r="J2735" s="176"/>
      <c r="K2735" s="176"/>
      <c r="L2735" s="176"/>
      <c r="M2735" s="176"/>
      <c r="N2735" s="176"/>
      <c r="O2735" s="176"/>
      <c r="P2735" s="176"/>
      <c r="Q2735" s="176"/>
      <c r="R2735" s="176"/>
      <c r="S2735" s="176"/>
      <c r="T2735" s="176"/>
      <c r="U2735" s="176"/>
      <c r="V2735" s="176"/>
      <c r="W2735" s="176"/>
      <c r="X2735" s="176"/>
      <c r="Y2735" s="176"/>
    </row>
    <row r="2736" spans="1:25">
      <c r="A2736" s="91"/>
      <c r="B2736" s="176"/>
      <c r="C2736" s="176"/>
      <c r="D2736" s="176"/>
      <c r="E2736" s="176"/>
      <c r="F2736" s="176"/>
      <c r="G2736" s="176"/>
      <c r="H2736" s="176"/>
      <c r="I2736" s="176"/>
      <c r="J2736" s="176"/>
      <c r="K2736" s="176"/>
      <c r="L2736" s="176"/>
      <c r="M2736" s="176"/>
      <c r="N2736" s="176"/>
      <c r="O2736" s="176"/>
      <c r="P2736" s="176"/>
      <c r="Q2736" s="176"/>
      <c r="R2736" s="176"/>
      <c r="S2736" s="176"/>
      <c r="T2736" s="176"/>
      <c r="U2736" s="176"/>
      <c r="V2736" s="176"/>
      <c r="W2736" s="176"/>
      <c r="X2736" s="176"/>
      <c r="Y2736" s="176"/>
    </row>
    <row r="2737" spans="1:25">
      <c r="A2737" s="91"/>
      <c r="B2737" s="176"/>
      <c r="C2737" s="176"/>
      <c r="D2737" s="176"/>
      <c r="E2737" s="176"/>
      <c r="F2737" s="176"/>
      <c r="G2737" s="176"/>
      <c r="H2737" s="176"/>
      <c r="I2737" s="176"/>
      <c r="J2737" s="176"/>
      <c r="K2737" s="176"/>
      <c r="L2737" s="176"/>
      <c r="M2737" s="176"/>
      <c r="N2737" s="176"/>
      <c r="O2737" s="176"/>
      <c r="P2737" s="176"/>
      <c r="Q2737" s="176"/>
      <c r="R2737" s="176"/>
      <c r="S2737" s="176"/>
      <c r="T2737" s="176"/>
      <c r="U2737" s="176"/>
      <c r="V2737" s="176"/>
      <c r="W2737" s="176"/>
      <c r="X2737" s="176"/>
      <c r="Y2737" s="176"/>
    </row>
    <row r="2738" spans="1:25">
      <c r="A2738" s="91"/>
      <c r="B2738" s="176"/>
      <c r="C2738" s="176"/>
      <c r="D2738" s="176"/>
      <c r="E2738" s="176"/>
      <c r="F2738" s="176"/>
      <c r="G2738" s="176"/>
      <c r="H2738" s="176"/>
      <c r="I2738" s="176"/>
      <c r="J2738" s="176"/>
      <c r="K2738" s="176"/>
      <c r="L2738" s="176"/>
      <c r="M2738" s="176"/>
      <c r="N2738" s="176"/>
      <c r="O2738" s="176"/>
      <c r="P2738" s="176"/>
      <c r="Q2738" s="176"/>
      <c r="R2738" s="176"/>
      <c r="S2738" s="176"/>
      <c r="T2738" s="176"/>
      <c r="U2738" s="176"/>
      <c r="V2738" s="176"/>
      <c r="W2738" s="176"/>
      <c r="X2738" s="176"/>
      <c r="Y2738" s="176"/>
    </row>
    <row r="2739" spans="1:25">
      <c r="A2739" s="91"/>
      <c r="B2739" s="176"/>
      <c r="C2739" s="176"/>
      <c r="D2739" s="176"/>
      <c r="E2739" s="176"/>
      <c r="F2739" s="176"/>
      <c r="G2739" s="176"/>
      <c r="H2739" s="176"/>
      <c r="I2739" s="176"/>
      <c r="J2739" s="176"/>
      <c r="K2739" s="176"/>
      <c r="L2739" s="176"/>
      <c r="M2739" s="176"/>
      <c r="N2739" s="176"/>
      <c r="O2739" s="176"/>
      <c r="P2739" s="176"/>
      <c r="Q2739" s="176"/>
      <c r="R2739" s="176"/>
      <c r="S2739" s="176"/>
      <c r="T2739" s="176"/>
      <c r="U2739" s="176"/>
      <c r="V2739" s="176"/>
      <c r="W2739" s="176"/>
      <c r="X2739" s="176"/>
      <c r="Y2739" s="176"/>
    </row>
    <row r="2740" spans="1:25">
      <c r="A2740" s="91"/>
      <c r="B2740" s="176"/>
      <c r="C2740" s="176"/>
      <c r="D2740" s="176"/>
      <c r="E2740" s="176"/>
      <c r="F2740" s="176"/>
      <c r="G2740" s="176"/>
      <c r="H2740" s="176"/>
      <c r="I2740" s="176"/>
      <c r="J2740" s="176"/>
      <c r="K2740" s="176"/>
      <c r="L2740" s="176"/>
      <c r="M2740" s="176"/>
      <c r="N2740" s="176"/>
      <c r="O2740" s="176"/>
      <c r="P2740" s="176"/>
      <c r="Q2740" s="176"/>
      <c r="R2740" s="176"/>
      <c r="S2740" s="176"/>
      <c r="T2740" s="176"/>
      <c r="U2740" s="176"/>
      <c r="V2740" s="176"/>
      <c r="W2740" s="176"/>
      <c r="X2740" s="176"/>
      <c r="Y2740" s="176"/>
    </row>
    <row r="2741" spans="1:25">
      <c r="A2741" s="91"/>
      <c r="B2741" s="176"/>
      <c r="C2741" s="176"/>
      <c r="D2741" s="176"/>
      <c r="E2741" s="176"/>
      <c r="F2741" s="176"/>
      <c r="G2741" s="176"/>
      <c r="H2741" s="176"/>
      <c r="I2741" s="176"/>
      <c r="J2741" s="176"/>
      <c r="K2741" s="176"/>
      <c r="L2741" s="176"/>
      <c r="M2741" s="176"/>
      <c r="N2741" s="176"/>
      <c r="O2741" s="176"/>
      <c r="P2741" s="176"/>
      <c r="Q2741" s="176"/>
      <c r="R2741" s="176"/>
      <c r="S2741" s="176"/>
      <c r="T2741" s="176"/>
      <c r="U2741" s="176"/>
      <c r="V2741" s="176"/>
      <c r="W2741" s="176"/>
      <c r="X2741" s="176"/>
      <c r="Y2741" s="176"/>
    </row>
    <row r="2742" spans="1:25">
      <c r="A2742" s="91"/>
      <c r="B2742" s="176"/>
      <c r="C2742" s="176"/>
      <c r="D2742" s="176"/>
      <c r="E2742" s="176"/>
      <c r="F2742" s="176"/>
      <c r="G2742" s="176"/>
      <c r="H2742" s="176"/>
      <c r="I2742" s="176"/>
      <c r="J2742" s="176"/>
      <c r="K2742" s="176"/>
      <c r="L2742" s="176"/>
      <c r="M2742" s="176"/>
      <c r="N2742" s="176"/>
      <c r="O2742" s="176"/>
      <c r="P2742" s="176"/>
      <c r="Q2742" s="176"/>
      <c r="R2742" s="176"/>
      <c r="S2742" s="176"/>
      <c r="T2742" s="176"/>
      <c r="U2742" s="176"/>
      <c r="V2742" s="176"/>
      <c r="W2742" s="176"/>
      <c r="X2742" s="176"/>
      <c r="Y2742" s="176"/>
    </row>
    <row r="2743" spans="1:25">
      <c r="A2743" s="91"/>
      <c r="B2743" s="176"/>
      <c r="C2743" s="176"/>
      <c r="D2743" s="176"/>
      <c r="E2743" s="176"/>
      <c r="F2743" s="176"/>
      <c r="G2743" s="176"/>
      <c r="H2743" s="176"/>
      <c r="I2743" s="176"/>
      <c r="J2743" s="176"/>
      <c r="K2743" s="176"/>
      <c r="L2743" s="176"/>
      <c r="M2743" s="176"/>
      <c r="N2743" s="176"/>
      <c r="O2743" s="176"/>
      <c r="P2743" s="176"/>
      <c r="Q2743" s="176"/>
      <c r="R2743" s="176"/>
      <c r="S2743" s="176"/>
      <c r="T2743" s="176"/>
      <c r="U2743" s="176"/>
      <c r="V2743" s="176"/>
      <c r="W2743" s="176"/>
      <c r="X2743" s="176"/>
      <c r="Y2743" s="176"/>
    </row>
    <row r="2744" spans="1:25">
      <c r="A2744" s="91"/>
      <c r="B2744" s="176"/>
      <c r="C2744" s="176"/>
      <c r="D2744" s="176"/>
      <c r="E2744" s="176"/>
      <c r="F2744" s="176"/>
      <c r="G2744" s="176"/>
      <c r="H2744" s="176"/>
      <c r="I2744" s="176"/>
      <c r="J2744" s="176"/>
      <c r="K2744" s="176"/>
      <c r="L2744" s="176"/>
      <c r="M2744" s="176"/>
      <c r="N2744" s="176"/>
      <c r="O2744" s="176"/>
      <c r="P2744" s="176"/>
      <c r="Q2744" s="176"/>
      <c r="R2744" s="176"/>
      <c r="S2744" s="176"/>
      <c r="T2744" s="176"/>
      <c r="U2744" s="176"/>
      <c r="V2744" s="176"/>
      <c r="W2744" s="176"/>
      <c r="X2744" s="176"/>
      <c r="Y2744" s="176"/>
    </row>
    <row r="2745" spans="1:25">
      <c r="A2745" s="91"/>
      <c r="B2745" s="176"/>
      <c r="C2745" s="176"/>
      <c r="D2745" s="176"/>
      <c r="E2745" s="176"/>
      <c r="F2745" s="176"/>
      <c r="G2745" s="176"/>
      <c r="H2745" s="176"/>
      <c r="I2745" s="176"/>
      <c r="J2745" s="176"/>
      <c r="K2745" s="176"/>
      <c r="L2745" s="176"/>
      <c r="M2745" s="176"/>
      <c r="N2745" s="176"/>
      <c r="O2745" s="176"/>
      <c r="P2745" s="176"/>
      <c r="Q2745" s="176"/>
      <c r="R2745" s="176"/>
      <c r="S2745" s="176"/>
      <c r="T2745" s="176"/>
      <c r="U2745" s="176"/>
      <c r="V2745" s="176"/>
      <c r="W2745" s="176"/>
      <c r="X2745" s="176"/>
      <c r="Y2745" s="176"/>
    </row>
    <row r="2746" spans="1:25">
      <c r="A2746" s="91"/>
      <c r="B2746" s="176"/>
      <c r="C2746" s="176"/>
      <c r="D2746" s="176"/>
      <c r="E2746" s="176"/>
      <c r="F2746" s="176"/>
      <c r="G2746" s="176"/>
      <c r="H2746" s="176"/>
      <c r="I2746" s="176"/>
      <c r="J2746" s="176"/>
      <c r="K2746" s="176"/>
      <c r="L2746" s="176"/>
      <c r="M2746" s="176"/>
      <c r="N2746" s="176"/>
      <c r="O2746" s="176"/>
      <c r="P2746" s="176"/>
      <c r="Q2746" s="176"/>
      <c r="R2746" s="176"/>
      <c r="S2746" s="176"/>
      <c r="T2746" s="176"/>
      <c r="U2746" s="176"/>
      <c r="V2746" s="176"/>
      <c r="W2746" s="176"/>
      <c r="X2746" s="176"/>
      <c r="Y2746" s="176"/>
    </row>
    <row r="2747" spans="1:25">
      <c r="A2747" s="91"/>
      <c r="B2747" s="176"/>
      <c r="C2747" s="176"/>
      <c r="D2747" s="176"/>
      <c r="E2747" s="176"/>
      <c r="F2747" s="176"/>
      <c r="G2747" s="176"/>
      <c r="H2747" s="176"/>
      <c r="I2747" s="176"/>
      <c r="J2747" s="176"/>
      <c r="K2747" s="176"/>
      <c r="L2747" s="176"/>
      <c r="M2747" s="176"/>
      <c r="N2747" s="176"/>
      <c r="O2747" s="176"/>
      <c r="P2747" s="176"/>
      <c r="Q2747" s="176"/>
      <c r="R2747" s="176"/>
      <c r="S2747" s="176"/>
      <c r="T2747" s="176"/>
      <c r="U2747" s="176"/>
      <c r="V2747" s="176"/>
      <c r="W2747" s="176"/>
      <c r="X2747" s="176"/>
      <c r="Y2747" s="176"/>
    </row>
    <row r="2748" spans="1:25">
      <c r="A2748" s="91"/>
      <c r="B2748" s="176"/>
      <c r="C2748" s="176"/>
      <c r="D2748" s="176"/>
      <c r="E2748" s="176"/>
      <c r="F2748" s="176"/>
      <c r="G2748" s="176"/>
      <c r="H2748" s="176"/>
      <c r="I2748" s="176"/>
      <c r="J2748" s="176"/>
      <c r="K2748" s="176"/>
      <c r="L2748" s="176"/>
      <c r="M2748" s="176"/>
      <c r="N2748" s="176"/>
      <c r="O2748" s="176"/>
      <c r="P2748" s="176"/>
      <c r="Q2748" s="176"/>
      <c r="R2748" s="176"/>
      <c r="S2748" s="176"/>
      <c r="T2748" s="176"/>
      <c r="U2748" s="176"/>
      <c r="V2748" s="176"/>
      <c r="W2748" s="176"/>
      <c r="X2748" s="176"/>
      <c r="Y2748" s="176"/>
    </row>
    <row r="2749" spans="1:25">
      <c r="A2749" s="91"/>
      <c r="B2749" s="176"/>
      <c r="C2749" s="176"/>
      <c r="D2749" s="176"/>
      <c r="E2749" s="176"/>
      <c r="F2749" s="176"/>
      <c r="G2749" s="176"/>
      <c r="H2749" s="176"/>
      <c r="I2749" s="176"/>
      <c r="J2749" s="176"/>
      <c r="K2749" s="176"/>
      <c r="L2749" s="176"/>
      <c r="M2749" s="176"/>
      <c r="N2749" s="176"/>
      <c r="O2749" s="176"/>
      <c r="P2749" s="176"/>
      <c r="Q2749" s="176"/>
      <c r="R2749" s="176"/>
      <c r="S2749" s="176"/>
      <c r="T2749" s="176"/>
      <c r="U2749" s="176"/>
      <c r="V2749" s="176"/>
      <c r="W2749" s="176"/>
      <c r="X2749" s="176"/>
      <c r="Y2749" s="176"/>
    </row>
    <row r="2750" spans="1:25">
      <c r="A2750" s="91"/>
      <c r="B2750" s="176"/>
      <c r="C2750" s="176"/>
      <c r="D2750" s="176"/>
      <c r="E2750" s="176"/>
      <c r="F2750" s="176"/>
      <c r="G2750" s="176"/>
      <c r="H2750" s="176"/>
      <c r="I2750" s="176"/>
      <c r="J2750" s="176"/>
      <c r="K2750" s="176"/>
      <c r="L2750" s="176"/>
      <c r="M2750" s="176"/>
      <c r="N2750" s="176"/>
      <c r="O2750" s="176"/>
      <c r="P2750" s="176"/>
      <c r="Q2750" s="176"/>
      <c r="R2750" s="176"/>
      <c r="S2750" s="176"/>
      <c r="T2750" s="176"/>
      <c r="U2750" s="176"/>
      <c r="V2750" s="176"/>
      <c r="W2750" s="176"/>
      <c r="X2750" s="176"/>
      <c r="Y2750" s="176"/>
    </row>
    <row r="2751" spans="1:25">
      <c r="A2751" s="91"/>
      <c r="B2751" s="176"/>
      <c r="C2751" s="176"/>
      <c r="D2751" s="176"/>
      <c r="E2751" s="176"/>
      <c r="F2751" s="176"/>
      <c r="G2751" s="176"/>
      <c r="H2751" s="176"/>
      <c r="I2751" s="176"/>
      <c r="J2751" s="176"/>
      <c r="K2751" s="176"/>
      <c r="L2751" s="176"/>
      <c r="M2751" s="176"/>
      <c r="N2751" s="176"/>
      <c r="O2751" s="176"/>
      <c r="P2751" s="176"/>
      <c r="Q2751" s="176"/>
      <c r="R2751" s="176"/>
      <c r="S2751" s="176"/>
      <c r="T2751" s="176"/>
      <c r="U2751" s="176"/>
      <c r="V2751" s="176"/>
      <c r="W2751" s="176"/>
      <c r="X2751" s="176"/>
      <c r="Y2751" s="176"/>
    </row>
    <row r="2752" spans="1:25">
      <c r="A2752" s="91"/>
      <c r="B2752" s="176"/>
      <c r="C2752" s="176"/>
      <c r="D2752" s="176"/>
      <c r="E2752" s="176"/>
      <c r="F2752" s="176"/>
      <c r="G2752" s="176"/>
      <c r="H2752" s="176"/>
      <c r="I2752" s="176"/>
      <c r="J2752" s="176"/>
      <c r="K2752" s="176"/>
      <c r="L2752" s="176"/>
      <c r="M2752" s="176"/>
      <c r="N2752" s="176"/>
      <c r="O2752" s="176"/>
      <c r="P2752" s="176"/>
      <c r="Q2752" s="176"/>
      <c r="R2752" s="176"/>
      <c r="S2752" s="176"/>
      <c r="T2752" s="176"/>
      <c r="U2752" s="176"/>
      <c r="V2752" s="176"/>
      <c r="W2752" s="176"/>
      <c r="X2752" s="176"/>
      <c r="Y2752" s="176"/>
    </row>
    <row r="2753" spans="1:25">
      <c r="A2753" s="91"/>
      <c r="B2753" s="176"/>
      <c r="C2753" s="176"/>
      <c r="D2753" s="176"/>
      <c r="E2753" s="176"/>
      <c r="F2753" s="176"/>
      <c r="G2753" s="176"/>
      <c r="H2753" s="176"/>
      <c r="I2753" s="176"/>
      <c r="J2753" s="176"/>
      <c r="K2753" s="176"/>
      <c r="L2753" s="176"/>
      <c r="M2753" s="176"/>
      <c r="N2753" s="176"/>
      <c r="O2753" s="176"/>
      <c r="P2753" s="176"/>
      <c r="Q2753" s="176"/>
      <c r="R2753" s="176"/>
      <c r="S2753" s="176"/>
      <c r="T2753" s="176"/>
      <c r="U2753" s="176"/>
      <c r="V2753" s="176"/>
      <c r="W2753" s="176"/>
      <c r="X2753" s="176"/>
      <c r="Y2753" s="176"/>
    </row>
    <row r="2754" spans="1:25">
      <c r="A2754" s="91"/>
      <c r="B2754" s="176"/>
      <c r="C2754" s="176"/>
      <c r="D2754" s="176"/>
      <c r="E2754" s="176"/>
      <c r="F2754" s="176"/>
      <c r="G2754" s="176"/>
      <c r="H2754" s="176"/>
      <c r="I2754" s="176"/>
      <c r="J2754" s="176"/>
      <c r="K2754" s="176"/>
      <c r="L2754" s="176"/>
      <c r="M2754" s="176"/>
      <c r="N2754" s="176"/>
      <c r="O2754" s="176"/>
      <c r="P2754" s="176"/>
      <c r="Q2754" s="176"/>
      <c r="R2754" s="176"/>
      <c r="S2754" s="176"/>
      <c r="T2754" s="176"/>
      <c r="U2754" s="176"/>
      <c r="V2754" s="176"/>
      <c r="W2754" s="176"/>
      <c r="X2754" s="176"/>
      <c r="Y2754" s="176"/>
    </row>
    <row r="2755" spans="1:25">
      <c r="A2755" s="91"/>
      <c r="B2755" s="176"/>
      <c r="C2755" s="176"/>
      <c r="D2755" s="176"/>
      <c r="E2755" s="176"/>
      <c r="F2755" s="176"/>
      <c r="G2755" s="176"/>
      <c r="H2755" s="176"/>
      <c r="I2755" s="176"/>
      <c r="J2755" s="176"/>
      <c r="K2755" s="176"/>
      <c r="L2755" s="176"/>
      <c r="M2755" s="176"/>
      <c r="N2755" s="176"/>
      <c r="O2755" s="176"/>
      <c r="P2755" s="176"/>
      <c r="Q2755" s="176"/>
      <c r="R2755" s="176"/>
      <c r="S2755" s="176"/>
      <c r="T2755" s="176"/>
      <c r="U2755" s="176"/>
      <c r="V2755" s="176"/>
      <c r="W2755" s="176"/>
      <c r="X2755" s="176"/>
      <c r="Y2755" s="176"/>
    </row>
    <row r="2756" spans="1:25">
      <c r="A2756" s="91"/>
      <c r="B2756" s="176"/>
      <c r="C2756" s="176"/>
      <c r="D2756" s="176"/>
      <c r="E2756" s="176"/>
      <c r="F2756" s="176"/>
      <c r="G2756" s="176"/>
      <c r="H2756" s="176"/>
      <c r="I2756" s="176"/>
      <c r="J2756" s="176"/>
      <c r="K2756" s="176"/>
      <c r="L2756" s="176"/>
      <c r="M2756" s="176"/>
      <c r="N2756" s="176"/>
      <c r="O2756" s="176"/>
      <c r="P2756" s="176"/>
      <c r="Q2756" s="176"/>
      <c r="R2756" s="176"/>
      <c r="S2756" s="176"/>
      <c r="T2756" s="176"/>
      <c r="U2756" s="176"/>
      <c r="V2756" s="176"/>
      <c r="W2756" s="176"/>
      <c r="X2756" s="176"/>
      <c r="Y2756" s="176"/>
    </row>
    <row r="2757" spans="1:25">
      <c r="A2757" s="91"/>
      <c r="B2757" s="176"/>
      <c r="C2757" s="176"/>
      <c r="D2757" s="176"/>
      <c r="E2757" s="176"/>
      <c r="F2757" s="176"/>
      <c r="G2757" s="176"/>
      <c r="H2757" s="176"/>
      <c r="I2757" s="176"/>
      <c r="J2757" s="176"/>
      <c r="K2757" s="176"/>
      <c r="L2757" s="176"/>
      <c r="M2757" s="176"/>
      <c r="N2757" s="176"/>
      <c r="O2757" s="176"/>
      <c r="P2757" s="176"/>
      <c r="Q2757" s="176"/>
      <c r="R2757" s="176"/>
      <c r="S2757" s="176"/>
      <c r="T2757" s="176"/>
      <c r="U2757" s="176"/>
      <c r="V2757" s="176"/>
      <c r="W2757" s="176"/>
      <c r="X2757" s="176"/>
      <c r="Y2757" s="176"/>
    </row>
    <row r="2758" spans="1:25">
      <c r="A2758" s="91"/>
      <c r="B2758" s="176"/>
      <c r="C2758" s="176"/>
      <c r="D2758" s="176"/>
      <c r="E2758" s="176"/>
      <c r="F2758" s="176"/>
      <c r="G2758" s="176"/>
      <c r="H2758" s="176"/>
      <c r="I2758" s="176"/>
      <c r="J2758" s="176"/>
      <c r="K2758" s="176"/>
      <c r="L2758" s="176"/>
      <c r="M2758" s="176"/>
      <c r="N2758" s="176"/>
      <c r="O2758" s="176"/>
      <c r="P2758" s="176"/>
      <c r="Q2758" s="176"/>
      <c r="R2758" s="176"/>
      <c r="S2758" s="176"/>
      <c r="T2758" s="176"/>
      <c r="U2758" s="176"/>
      <c r="V2758" s="176"/>
      <c r="W2758" s="176"/>
      <c r="X2758" s="176"/>
      <c r="Y2758" s="176"/>
    </row>
    <row r="2759" spans="1:25">
      <c r="A2759" s="91"/>
      <c r="B2759" s="176"/>
      <c r="C2759" s="176"/>
      <c r="D2759" s="176"/>
      <c r="E2759" s="176"/>
      <c r="F2759" s="176"/>
      <c r="G2759" s="176"/>
      <c r="H2759" s="176"/>
      <c r="I2759" s="176"/>
      <c r="J2759" s="176"/>
      <c r="K2759" s="176"/>
      <c r="L2759" s="176"/>
      <c r="M2759" s="176"/>
      <c r="N2759" s="176"/>
      <c r="O2759" s="176"/>
      <c r="P2759" s="176"/>
      <c r="Q2759" s="176"/>
      <c r="R2759" s="176"/>
      <c r="S2759" s="176"/>
      <c r="T2759" s="176"/>
      <c r="U2759" s="176"/>
      <c r="V2759" s="176"/>
      <c r="W2759" s="176"/>
      <c r="X2759" s="176"/>
      <c r="Y2759" s="176"/>
    </row>
    <row r="2760" spans="1:25">
      <c r="A2760" s="91"/>
      <c r="B2760" s="176"/>
      <c r="C2760" s="176"/>
      <c r="D2760" s="176"/>
      <c r="E2760" s="176"/>
      <c r="F2760" s="176"/>
      <c r="G2760" s="176"/>
      <c r="H2760" s="176"/>
      <c r="I2760" s="176"/>
      <c r="J2760" s="176"/>
      <c r="K2760" s="176"/>
      <c r="L2760" s="176"/>
      <c r="M2760" s="176"/>
      <c r="N2760" s="176"/>
      <c r="O2760" s="176"/>
      <c r="P2760" s="176"/>
      <c r="Q2760" s="176"/>
      <c r="R2760" s="176"/>
      <c r="S2760" s="176"/>
      <c r="T2760" s="176"/>
      <c r="U2760" s="176"/>
      <c r="V2760" s="176"/>
      <c r="W2760" s="176"/>
      <c r="X2760" s="176"/>
      <c r="Y2760" s="176"/>
    </row>
    <row r="2761" spans="1:25">
      <c r="A2761" s="91"/>
      <c r="B2761" s="176"/>
      <c r="C2761" s="176"/>
      <c r="D2761" s="176"/>
      <c r="E2761" s="176"/>
      <c r="F2761" s="176"/>
      <c r="G2761" s="176"/>
      <c r="H2761" s="176"/>
      <c r="I2761" s="176"/>
      <c r="J2761" s="176"/>
      <c r="K2761" s="176"/>
      <c r="L2761" s="176"/>
      <c r="M2761" s="176"/>
      <c r="N2761" s="176"/>
      <c r="O2761" s="176"/>
      <c r="P2761" s="176"/>
      <c r="Q2761" s="176"/>
      <c r="R2761" s="176"/>
      <c r="S2761" s="176"/>
      <c r="T2761" s="176"/>
      <c r="U2761" s="176"/>
      <c r="V2761" s="176"/>
      <c r="W2761" s="176"/>
      <c r="X2761" s="176"/>
      <c r="Y2761" s="176"/>
    </row>
    <row r="2762" spans="1:25">
      <c r="A2762" s="91"/>
      <c r="B2762" s="176"/>
      <c r="C2762" s="176"/>
      <c r="D2762" s="176"/>
      <c r="E2762" s="176"/>
      <c r="F2762" s="176"/>
      <c r="G2762" s="176"/>
      <c r="H2762" s="176"/>
      <c r="I2762" s="176"/>
      <c r="J2762" s="176"/>
      <c r="K2762" s="176"/>
      <c r="L2762" s="176"/>
      <c r="M2762" s="176"/>
      <c r="N2762" s="176"/>
      <c r="O2762" s="176"/>
      <c r="P2762" s="176"/>
      <c r="Q2762" s="176"/>
      <c r="R2762" s="176"/>
      <c r="S2762" s="176"/>
      <c r="T2762" s="176"/>
      <c r="U2762" s="176"/>
      <c r="V2762" s="176"/>
      <c r="W2762" s="176"/>
      <c r="X2762" s="176"/>
      <c r="Y2762" s="176"/>
    </row>
    <row r="2763" spans="1:25">
      <c r="A2763" s="91"/>
      <c r="B2763" s="176"/>
      <c r="C2763" s="176"/>
      <c r="D2763" s="176"/>
      <c r="E2763" s="176"/>
      <c r="F2763" s="176"/>
      <c r="G2763" s="176"/>
      <c r="H2763" s="176"/>
      <c r="I2763" s="176"/>
      <c r="J2763" s="176"/>
      <c r="K2763" s="176"/>
      <c r="L2763" s="176"/>
      <c r="M2763" s="176"/>
      <c r="N2763" s="176"/>
      <c r="O2763" s="176"/>
      <c r="P2763" s="176"/>
      <c r="Q2763" s="176"/>
      <c r="R2763" s="176"/>
      <c r="S2763" s="176"/>
      <c r="T2763" s="176"/>
      <c r="U2763" s="176"/>
      <c r="V2763" s="176"/>
      <c r="W2763" s="176"/>
      <c r="X2763" s="176"/>
      <c r="Y2763" s="176"/>
    </row>
    <row r="2764" spans="1:25">
      <c r="A2764" s="91"/>
      <c r="B2764" s="176"/>
      <c r="C2764" s="176"/>
      <c r="D2764" s="176"/>
      <c r="E2764" s="176"/>
      <c r="F2764" s="176"/>
      <c r="G2764" s="176"/>
      <c r="H2764" s="176"/>
      <c r="I2764" s="176"/>
      <c r="J2764" s="176"/>
      <c r="K2764" s="176"/>
      <c r="L2764" s="176"/>
      <c r="M2764" s="176"/>
      <c r="N2764" s="176"/>
      <c r="O2764" s="176"/>
      <c r="P2764" s="176"/>
      <c r="Q2764" s="176"/>
      <c r="R2764" s="176"/>
      <c r="S2764" s="176"/>
      <c r="T2764" s="176"/>
      <c r="U2764" s="176"/>
      <c r="V2764" s="176"/>
      <c r="W2764" s="176"/>
      <c r="X2764" s="176"/>
      <c r="Y2764" s="176"/>
    </row>
    <row r="2765" spans="1:25">
      <c r="A2765" s="91"/>
      <c r="B2765" s="176"/>
      <c r="C2765" s="176"/>
      <c r="D2765" s="176"/>
      <c r="E2765" s="176"/>
      <c r="F2765" s="176"/>
      <c r="G2765" s="176"/>
      <c r="H2765" s="176"/>
      <c r="I2765" s="176"/>
      <c r="J2765" s="176"/>
      <c r="K2765" s="176"/>
      <c r="L2765" s="176"/>
      <c r="M2765" s="176"/>
      <c r="N2765" s="176"/>
      <c r="O2765" s="176"/>
      <c r="P2765" s="176"/>
      <c r="Q2765" s="176"/>
      <c r="R2765" s="176"/>
      <c r="S2765" s="176"/>
      <c r="T2765" s="176"/>
      <c r="U2765" s="176"/>
      <c r="V2765" s="176"/>
      <c r="W2765" s="176"/>
      <c r="X2765" s="176"/>
      <c r="Y2765" s="176"/>
    </row>
    <row r="2766" spans="1:25">
      <c r="A2766" s="91"/>
      <c r="B2766" s="176"/>
      <c r="C2766" s="176"/>
      <c r="D2766" s="176"/>
      <c r="E2766" s="176"/>
      <c r="F2766" s="176"/>
      <c r="G2766" s="176"/>
      <c r="H2766" s="176"/>
      <c r="I2766" s="176"/>
      <c r="J2766" s="176"/>
      <c r="K2766" s="176"/>
      <c r="L2766" s="176"/>
      <c r="M2766" s="176"/>
      <c r="N2766" s="176"/>
      <c r="O2766" s="176"/>
      <c r="P2766" s="176"/>
      <c r="Q2766" s="176"/>
      <c r="R2766" s="176"/>
      <c r="S2766" s="176"/>
      <c r="T2766" s="176"/>
      <c r="U2766" s="176"/>
      <c r="V2766" s="176"/>
      <c r="W2766" s="176"/>
      <c r="X2766" s="176"/>
      <c r="Y2766" s="176"/>
    </row>
    <row r="2767" spans="1:25">
      <c r="A2767" s="91"/>
      <c r="B2767" s="176"/>
      <c r="C2767" s="176"/>
      <c r="D2767" s="176"/>
      <c r="E2767" s="176"/>
      <c r="F2767" s="176"/>
      <c r="G2767" s="176"/>
      <c r="H2767" s="176"/>
      <c r="I2767" s="176"/>
      <c r="J2767" s="176"/>
      <c r="K2767" s="176"/>
      <c r="L2767" s="176"/>
      <c r="M2767" s="176"/>
      <c r="N2767" s="176"/>
      <c r="O2767" s="176"/>
      <c r="P2767" s="176"/>
      <c r="Q2767" s="176"/>
      <c r="R2767" s="176"/>
      <c r="S2767" s="176"/>
      <c r="T2767" s="176"/>
      <c r="U2767" s="176"/>
      <c r="V2767" s="176"/>
      <c r="W2767" s="176"/>
      <c r="X2767" s="176"/>
      <c r="Y2767" s="176"/>
    </row>
    <row r="2768" spans="1:25">
      <c r="A2768" s="91"/>
      <c r="B2768" s="176"/>
      <c r="C2768" s="176"/>
      <c r="D2768" s="176"/>
      <c r="E2768" s="176"/>
      <c r="F2768" s="176"/>
      <c r="G2768" s="176"/>
      <c r="H2768" s="176"/>
      <c r="I2768" s="176"/>
      <c r="J2768" s="176"/>
      <c r="K2768" s="176"/>
      <c r="L2768" s="176"/>
      <c r="M2768" s="176"/>
      <c r="N2768" s="176"/>
      <c r="O2768" s="176"/>
      <c r="P2768" s="176"/>
      <c r="Q2768" s="176"/>
      <c r="R2768" s="176"/>
      <c r="S2768" s="176"/>
      <c r="T2768" s="176"/>
      <c r="U2768" s="176"/>
      <c r="V2768" s="176"/>
      <c r="W2768" s="176"/>
      <c r="X2768" s="176"/>
      <c r="Y2768" s="176"/>
    </row>
    <row r="2769" spans="1:25">
      <c r="A2769" s="91"/>
      <c r="B2769" s="176"/>
      <c r="C2769" s="176"/>
      <c r="D2769" s="176"/>
      <c r="E2769" s="176"/>
      <c r="F2769" s="176"/>
      <c r="G2769" s="176"/>
      <c r="H2769" s="176"/>
      <c r="I2769" s="176"/>
      <c r="J2769" s="176"/>
      <c r="K2769" s="176"/>
      <c r="L2769" s="176"/>
      <c r="M2769" s="176"/>
      <c r="N2769" s="176"/>
      <c r="O2769" s="176"/>
      <c r="P2769" s="176"/>
      <c r="Q2769" s="176"/>
      <c r="R2769" s="176"/>
      <c r="S2769" s="176"/>
      <c r="T2769" s="176"/>
      <c r="U2769" s="176"/>
      <c r="V2769" s="176"/>
      <c r="W2769" s="176"/>
      <c r="X2769" s="176"/>
      <c r="Y2769" s="176"/>
    </row>
    <row r="2770" spans="1:25">
      <c r="A2770" s="91"/>
      <c r="B2770" s="176"/>
      <c r="C2770" s="176"/>
      <c r="D2770" s="176"/>
      <c r="E2770" s="176"/>
      <c r="F2770" s="176"/>
      <c r="G2770" s="176"/>
      <c r="H2770" s="176"/>
      <c r="I2770" s="176"/>
      <c r="J2770" s="176"/>
      <c r="K2770" s="176"/>
      <c r="L2770" s="176"/>
      <c r="M2770" s="176"/>
      <c r="N2770" s="176"/>
      <c r="O2770" s="176"/>
      <c r="P2770" s="176"/>
      <c r="Q2770" s="176"/>
      <c r="R2770" s="176"/>
      <c r="S2770" s="176"/>
      <c r="T2770" s="176"/>
      <c r="U2770" s="176"/>
      <c r="V2770" s="176"/>
      <c r="W2770" s="176"/>
      <c r="X2770" s="176"/>
      <c r="Y2770" s="176"/>
    </row>
    <row r="2771" spans="1:25">
      <c r="A2771" s="91"/>
      <c r="B2771" s="176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6"/>
      <c r="M2771" s="176"/>
      <c r="N2771" s="176"/>
      <c r="O2771" s="176"/>
      <c r="P2771" s="176"/>
      <c r="Q2771" s="176"/>
      <c r="R2771" s="176"/>
      <c r="S2771" s="176"/>
      <c r="T2771" s="176"/>
      <c r="U2771" s="176"/>
      <c r="V2771" s="176"/>
      <c r="W2771" s="176"/>
      <c r="X2771" s="176"/>
      <c r="Y2771" s="176"/>
    </row>
    <row r="2772" spans="1:25">
      <c r="A2772" s="91"/>
      <c r="B2772" s="176"/>
      <c r="C2772" s="176"/>
      <c r="D2772" s="176"/>
      <c r="E2772" s="176"/>
      <c r="F2772" s="176"/>
      <c r="G2772" s="176"/>
      <c r="H2772" s="176"/>
      <c r="I2772" s="176"/>
      <c r="J2772" s="176"/>
      <c r="K2772" s="176"/>
      <c r="L2772" s="176"/>
      <c r="M2772" s="176"/>
      <c r="N2772" s="176"/>
      <c r="O2772" s="176"/>
      <c r="P2772" s="176"/>
      <c r="Q2772" s="176"/>
      <c r="R2772" s="176"/>
      <c r="S2772" s="176"/>
      <c r="T2772" s="176"/>
      <c r="U2772" s="176"/>
      <c r="V2772" s="176"/>
      <c r="W2772" s="176"/>
      <c r="X2772" s="176"/>
      <c r="Y2772" s="176"/>
    </row>
    <row r="2773" spans="1:25">
      <c r="A2773" s="91"/>
      <c r="B2773" s="176"/>
      <c r="C2773" s="176"/>
      <c r="D2773" s="176"/>
      <c r="E2773" s="176"/>
      <c r="F2773" s="176"/>
      <c r="G2773" s="176"/>
      <c r="H2773" s="176"/>
      <c r="I2773" s="176"/>
      <c r="J2773" s="176"/>
      <c r="K2773" s="176"/>
      <c r="L2773" s="176"/>
      <c r="M2773" s="176"/>
      <c r="N2773" s="176"/>
      <c r="O2773" s="176"/>
      <c r="P2773" s="176"/>
      <c r="Q2773" s="176"/>
      <c r="R2773" s="176"/>
      <c r="S2773" s="176"/>
      <c r="T2773" s="176"/>
      <c r="U2773" s="176"/>
      <c r="V2773" s="176"/>
      <c r="W2773" s="176"/>
      <c r="X2773" s="176"/>
      <c r="Y2773" s="176"/>
    </row>
    <row r="2774" spans="1:25">
      <c r="A2774" s="91"/>
      <c r="B2774" s="176"/>
      <c r="C2774" s="176"/>
      <c r="D2774" s="176"/>
      <c r="E2774" s="176"/>
      <c r="F2774" s="176"/>
      <c r="G2774" s="176"/>
      <c r="H2774" s="176"/>
      <c r="I2774" s="176"/>
      <c r="J2774" s="176"/>
      <c r="K2774" s="176"/>
      <c r="L2774" s="176"/>
      <c r="M2774" s="176"/>
      <c r="N2774" s="176"/>
      <c r="O2774" s="176"/>
      <c r="P2774" s="176"/>
      <c r="Q2774" s="176"/>
      <c r="R2774" s="176"/>
      <c r="S2774" s="176"/>
      <c r="T2774" s="176"/>
      <c r="U2774" s="176"/>
      <c r="V2774" s="176"/>
      <c r="W2774" s="176"/>
      <c r="X2774" s="176"/>
      <c r="Y2774" s="176"/>
    </row>
    <row r="2775" spans="1:25">
      <c r="A2775" s="91"/>
      <c r="B2775" s="176"/>
      <c r="C2775" s="176"/>
      <c r="D2775" s="176"/>
      <c r="E2775" s="176"/>
      <c r="F2775" s="176"/>
      <c r="G2775" s="176"/>
      <c r="H2775" s="176"/>
      <c r="I2775" s="176"/>
      <c r="J2775" s="176"/>
      <c r="K2775" s="176"/>
      <c r="L2775" s="176"/>
      <c r="M2775" s="176"/>
      <c r="N2775" s="176"/>
      <c r="O2775" s="176"/>
      <c r="P2775" s="176"/>
      <c r="Q2775" s="176"/>
      <c r="R2775" s="176"/>
      <c r="S2775" s="176"/>
      <c r="T2775" s="176"/>
      <c r="U2775" s="176"/>
      <c r="V2775" s="176"/>
      <c r="W2775" s="176"/>
      <c r="X2775" s="176"/>
      <c r="Y2775" s="176"/>
    </row>
    <row r="2776" spans="1:25">
      <c r="A2776" s="91"/>
      <c r="B2776" s="176"/>
      <c r="C2776" s="176"/>
      <c r="D2776" s="176"/>
      <c r="E2776" s="176"/>
      <c r="F2776" s="176"/>
      <c r="G2776" s="176"/>
      <c r="H2776" s="176"/>
      <c r="I2776" s="176"/>
      <c r="J2776" s="176"/>
      <c r="K2776" s="176"/>
      <c r="L2776" s="176"/>
      <c r="M2776" s="176"/>
      <c r="N2776" s="176"/>
      <c r="O2776" s="176"/>
      <c r="P2776" s="176"/>
      <c r="Q2776" s="176"/>
      <c r="R2776" s="176"/>
      <c r="S2776" s="176"/>
      <c r="T2776" s="176"/>
      <c r="U2776" s="176"/>
      <c r="V2776" s="176"/>
      <c r="W2776" s="176"/>
      <c r="X2776" s="176"/>
      <c r="Y2776" s="176"/>
    </row>
    <row r="2777" spans="1:25">
      <c r="A2777" s="91"/>
      <c r="B2777" s="176"/>
      <c r="C2777" s="176"/>
      <c r="D2777" s="176"/>
      <c r="E2777" s="176"/>
      <c r="F2777" s="176"/>
      <c r="G2777" s="176"/>
      <c r="H2777" s="176"/>
      <c r="I2777" s="176"/>
      <c r="J2777" s="176"/>
      <c r="K2777" s="176"/>
      <c r="L2777" s="176"/>
      <c r="M2777" s="176"/>
      <c r="N2777" s="176"/>
      <c r="O2777" s="176"/>
      <c r="P2777" s="176"/>
      <c r="Q2777" s="176"/>
      <c r="R2777" s="176"/>
      <c r="S2777" s="176"/>
      <c r="T2777" s="176"/>
      <c r="U2777" s="176"/>
      <c r="V2777" s="176"/>
      <c r="W2777" s="176"/>
      <c r="X2777" s="176"/>
      <c r="Y2777" s="176"/>
    </row>
    <row r="2778" spans="1:25">
      <c r="A2778" s="91"/>
      <c r="B2778" s="176"/>
      <c r="C2778" s="176"/>
      <c r="D2778" s="176"/>
      <c r="E2778" s="176"/>
      <c r="F2778" s="176"/>
      <c r="G2778" s="176"/>
      <c r="H2778" s="176"/>
      <c r="I2778" s="176"/>
      <c r="J2778" s="176"/>
      <c r="K2778" s="176"/>
      <c r="L2778" s="176"/>
      <c r="M2778" s="176"/>
      <c r="N2778" s="176"/>
      <c r="O2778" s="176"/>
      <c r="P2778" s="176"/>
      <c r="Q2778" s="176"/>
      <c r="R2778" s="176"/>
      <c r="S2778" s="176"/>
      <c r="T2778" s="176"/>
      <c r="U2778" s="176"/>
      <c r="V2778" s="176"/>
      <c r="W2778" s="176"/>
      <c r="X2778" s="176"/>
      <c r="Y2778" s="176"/>
    </row>
    <row r="2779" spans="1:25">
      <c r="A2779" s="91"/>
      <c r="B2779" s="176"/>
      <c r="C2779" s="176"/>
      <c r="D2779" s="176"/>
      <c r="E2779" s="176"/>
      <c r="F2779" s="176"/>
      <c r="G2779" s="176"/>
      <c r="H2779" s="176"/>
      <c r="I2779" s="176"/>
      <c r="J2779" s="176"/>
      <c r="K2779" s="176"/>
      <c r="L2779" s="176"/>
      <c r="M2779" s="176"/>
      <c r="N2779" s="176"/>
      <c r="O2779" s="176"/>
      <c r="P2779" s="176"/>
      <c r="Q2779" s="176"/>
      <c r="R2779" s="176"/>
      <c r="S2779" s="176"/>
      <c r="T2779" s="176"/>
      <c r="U2779" s="176"/>
      <c r="V2779" s="176"/>
      <c r="W2779" s="176"/>
      <c r="X2779" s="176"/>
      <c r="Y2779" s="176"/>
    </row>
    <row r="2780" spans="1:25">
      <c r="A2780" s="91"/>
      <c r="B2780" s="176"/>
      <c r="C2780" s="176"/>
      <c r="D2780" s="176"/>
      <c r="E2780" s="176"/>
      <c r="F2780" s="176"/>
      <c r="G2780" s="176"/>
      <c r="H2780" s="176"/>
      <c r="I2780" s="176"/>
      <c r="J2780" s="176"/>
      <c r="K2780" s="176"/>
      <c r="L2780" s="176"/>
      <c r="M2780" s="176"/>
      <c r="N2780" s="176"/>
      <c r="O2780" s="176"/>
      <c r="P2780" s="176"/>
      <c r="Q2780" s="176"/>
      <c r="R2780" s="176"/>
      <c r="S2780" s="176"/>
      <c r="T2780" s="176"/>
      <c r="U2780" s="176"/>
      <c r="V2780" s="176"/>
      <c r="W2780" s="176"/>
      <c r="X2780" s="176"/>
      <c r="Y2780" s="176"/>
    </row>
    <row r="2781" spans="1:25">
      <c r="A2781" s="91"/>
      <c r="B2781" s="176"/>
      <c r="C2781" s="176"/>
      <c r="D2781" s="176"/>
      <c r="E2781" s="176"/>
      <c r="F2781" s="176"/>
      <c r="G2781" s="176"/>
      <c r="H2781" s="176"/>
      <c r="I2781" s="176"/>
      <c r="J2781" s="176"/>
      <c r="K2781" s="176"/>
      <c r="L2781" s="176"/>
      <c r="M2781" s="176"/>
      <c r="N2781" s="176"/>
      <c r="O2781" s="176"/>
      <c r="P2781" s="176"/>
      <c r="Q2781" s="176"/>
      <c r="R2781" s="176"/>
      <c r="S2781" s="176"/>
      <c r="T2781" s="176"/>
      <c r="U2781" s="176"/>
      <c r="V2781" s="176"/>
      <c r="W2781" s="176"/>
      <c r="X2781" s="176"/>
      <c r="Y2781" s="176"/>
    </row>
    <row r="2782" spans="1:25">
      <c r="A2782" s="91"/>
      <c r="B2782" s="176"/>
      <c r="C2782" s="176"/>
      <c r="D2782" s="176"/>
      <c r="E2782" s="176"/>
      <c r="F2782" s="176"/>
      <c r="G2782" s="176"/>
      <c r="H2782" s="176"/>
      <c r="I2782" s="176"/>
      <c r="J2782" s="176"/>
      <c r="K2782" s="176"/>
      <c r="L2782" s="176"/>
      <c r="M2782" s="176"/>
      <c r="N2782" s="176"/>
      <c r="O2782" s="176"/>
      <c r="P2782" s="176"/>
      <c r="Q2782" s="176"/>
      <c r="R2782" s="176"/>
      <c r="S2782" s="176"/>
      <c r="T2782" s="176"/>
      <c r="U2782" s="176"/>
      <c r="V2782" s="176"/>
      <c r="W2782" s="176"/>
      <c r="X2782" s="176"/>
      <c r="Y2782" s="176"/>
    </row>
    <row r="2783" spans="1:25">
      <c r="A2783" s="91"/>
      <c r="B2783" s="176"/>
      <c r="C2783" s="176"/>
      <c r="D2783" s="176"/>
      <c r="E2783" s="176"/>
      <c r="F2783" s="176"/>
      <c r="G2783" s="176"/>
      <c r="H2783" s="176"/>
      <c r="I2783" s="176"/>
      <c r="J2783" s="176"/>
      <c r="K2783" s="176"/>
      <c r="L2783" s="176"/>
      <c r="M2783" s="176"/>
      <c r="N2783" s="176"/>
      <c r="O2783" s="176"/>
      <c r="P2783" s="176"/>
      <c r="Q2783" s="176"/>
      <c r="R2783" s="176"/>
      <c r="S2783" s="176"/>
      <c r="T2783" s="176"/>
      <c r="U2783" s="176"/>
      <c r="V2783" s="176"/>
      <c r="W2783" s="176"/>
      <c r="X2783" s="176"/>
      <c r="Y2783" s="176"/>
    </row>
    <row r="2784" spans="1:25">
      <c r="A2784" s="91"/>
      <c r="B2784" s="176"/>
      <c r="C2784" s="176"/>
      <c r="D2784" s="176"/>
      <c r="E2784" s="176"/>
      <c r="F2784" s="176"/>
      <c r="G2784" s="176"/>
      <c r="H2784" s="176"/>
      <c r="I2784" s="176"/>
      <c r="J2784" s="176"/>
      <c r="K2784" s="176"/>
      <c r="L2784" s="176"/>
      <c r="M2784" s="176"/>
      <c r="N2784" s="176"/>
      <c r="O2784" s="176"/>
      <c r="P2784" s="176"/>
      <c r="Q2784" s="176"/>
      <c r="R2784" s="176"/>
      <c r="S2784" s="176"/>
      <c r="T2784" s="176"/>
      <c r="U2784" s="176"/>
      <c r="V2784" s="176"/>
      <c r="W2784" s="176"/>
      <c r="X2784" s="176"/>
      <c r="Y2784" s="176"/>
    </row>
    <row r="2785" spans="1:25">
      <c r="A2785" s="91"/>
      <c r="B2785" s="176"/>
      <c r="C2785" s="176"/>
      <c r="D2785" s="176"/>
      <c r="E2785" s="176"/>
      <c r="F2785" s="176"/>
      <c r="G2785" s="176"/>
      <c r="H2785" s="176"/>
      <c r="I2785" s="176"/>
      <c r="J2785" s="176"/>
      <c r="K2785" s="176"/>
      <c r="L2785" s="176"/>
      <c r="M2785" s="176"/>
      <c r="N2785" s="176"/>
      <c r="O2785" s="176"/>
      <c r="P2785" s="176"/>
      <c r="Q2785" s="176"/>
      <c r="R2785" s="176"/>
      <c r="S2785" s="176"/>
      <c r="T2785" s="176"/>
      <c r="U2785" s="176"/>
      <c r="V2785" s="176"/>
      <c r="W2785" s="176"/>
      <c r="X2785" s="176"/>
      <c r="Y2785" s="176"/>
    </row>
    <row r="2786" spans="1:25">
      <c r="A2786" s="91"/>
      <c r="B2786" s="176"/>
      <c r="C2786" s="176"/>
      <c r="D2786" s="176"/>
      <c r="E2786" s="176"/>
      <c r="F2786" s="176"/>
      <c r="G2786" s="176"/>
      <c r="H2786" s="176"/>
      <c r="I2786" s="176"/>
      <c r="J2786" s="176"/>
      <c r="K2786" s="176"/>
      <c r="L2786" s="176"/>
      <c r="M2786" s="176"/>
      <c r="N2786" s="176"/>
      <c r="O2786" s="176"/>
      <c r="P2786" s="176"/>
      <c r="Q2786" s="176"/>
      <c r="R2786" s="176"/>
      <c r="S2786" s="176"/>
      <c r="T2786" s="176"/>
      <c r="U2786" s="176"/>
      <c r="V2786" s="176"/>
      <c r="W2786" s="176"/>
      <c r="X2786" s="176"/>
      <c r="Y2786" s="176"/>
    </row>
    <row r="2787" spans="1:25">
      <c r="A2787" s="91"/>
      <c r="B2787" s="176"/>
      <c r="C2787" s="176"/>
      <c r="D2787" s="176"/>
      <c r="E2787" s="176"/>
      <c r="F2787" s="176"/>
      <c r="G2787" s="176"/>
      <c r="H2787" s="176"/>
      <c r="I2787" s="176"/>
      <c r="J2787" s="176"/>
      <c r="K2787" s="176"/>
      <c r="L2787" s="176"/>
      <c r="M2787" s="176"/>
      <c r="N2787" s="176"/>
      <c r="O2787" s="176"/>
      <c r="P2787" s="176"/>
      <c r="Q2787" s="176"/>
      <c r="R2787" s="176"/>
      <c r="S2787" s="176"/>
      <c r="T2787" s="176"/>
      <c r="U2787" s="176"/>
      <c r="V2787" s="176"/>
      <c r="W2787" s="176"/>
      <c r="X2787" s="176"/>
      <c r="Y2787" s="176"/>
    </row>
    <row r="2788" spans="1:25">
      <c r="A2788" s="91"/>
      <c r="B2788" s="176"/>
      <c r="C2788" s="176"/>
      <c r="D2788" s="176"/>
      <c r="E2788" s="176"/>
      <c r="F2788" s="176"/>
      <c r="G2788" s="176"/>
      <c r="H2788" s="176"/>
      <c r="I2788" s="176"/>
      <c r="J2788" s="176"/>
      <c r="K2788" s="176"/>
      <c r="L2788" s="176"/>
      <c r="M2788" s="176"/>
      <c r="N2788" s="176"/>
      <c r="O2788" s="176"/>
      <c r="P2788" s="176"/>
      <c r="Q2788" s="176"/>
      <c r="R2788" s="176"/>
      <c r="S2788" s="176"/>
      <c r="T2788" s="176"/>
      <c r="U2788" s="176"/>
      <c r="V2788" s="176"/>
      <c r="W2788" s="176"/>
      <c r="X2788" s="176"/>
      <c r="Y2788" s="176"/>
    </row>
    <row r="2789" spans="1:25">
      <c r="A2789" s="91"/>
      <c r="B2789" s="176"/>
      <c r="C2789" s="176"/>
      <c r="D2789" s="176"/>
      <c r="E2789" s="176"/>
      <c r="F2789" s="176"/>
      <c r="G2789" s="176"/>
      <c r="H2789" s="176"/>
      <c r="I2789" s="176"/>
      <c r="J2789" s="176"/>
      <c r="K2789" s="176"/>
      <c r="L2789" s="176"/>
      <c r="M2789" s="176"/>
      <c r="N2789" s="176"/>
      <c r="O2789" s="176"/>
      <c r="P2789" s="176"/>
      <c r="Q2789" s="176"/>
      <c r="R2789" s="176"/>
      <c r="S2789" s="176"/>
      <c r="T2789" s="176"/>
      <c r="U2789" s="176"/>
      <c r="V2789" s="176"/>
      <c r="W2789" s="176"/>
      <c r="X2789" s="176"/>
      <c r="Y2789" s="176"/>
    </row>
    <row r="2790" spans="1:25">
      <c r="A2790" s="91"/>
      <c r="B2790" s="176"/>
      <c r="C2790" s="176"/>
      <c r="D2790" s="176"/>
      <c r="E2790" s="176"/>
      <c r="F2790" s="176"/>
      <c r="G2790" s="176"/>
      <c r="H2790" s="176"/>
      <c r="I2790" s="176"/>
      <c r="J2790" s="176"/>
      <c r="K2790" s="176"/>
      <c r="L2790" s="176"/>
      <c r="M2790" s="176"/>
      <c r="N2790" s="176"/>
      <c r="O2790" s="176"/>
      <c r="P2790" s="176"/>
      <c r="Q2790" s="176"/>
      <c r="R2790" s="176"/>
      <c r="S2790" s="176"/>
      <c r="T2790" s="176"/>
      <c r="U2790" s="176"/>
      <c r="V2790" s="176"/>
      <c r="W2790" s="176"/>
      <c r="X2790" s="176"/>
      <c r="Y2790" s="176"/>
    </row>
    <row r="2791" spans="1:25">
      <c r="A2791" s="91"/>
      <c r="B2791" s="176"/>
      <c r="C2791" s="176"/>
      <c r="D2791" s="176"/>
      <c r="E2791" s="176"/>
      <c r="F2791" s="176"/>
      <c r="G2791" s="176"/>
      <c r="H2791" s="176"/>
      <c r="I2791" s="176"/>
      <c r="J2791" s="176"/>
      <c r="K2791" s="176"/>
      <c r="L2791" s="176"/>
      <c r="M2791" s="176"/>
      <c r="N2791" s="176"/>
      <c r="O2791" s="176"/>
      <c r="P2791" s="176"/>
      <c r="Q2791" s="176"/>
      <c r="R2791" s="176"/>
      <c r="S2791" s="176"/>
      <c r="T2791" s="176"/>
      <c r="U2791" s="176"/>
      <c r="V2791" s="176"/>
      <c r="W2791" s="176"/>
      <c r="X2791" s="176"/>
      <c r="Y2791" s="176"/>
    </row>
    <row r="2792" spans="1:25">
      <c r="A2792" s="91"/>
      <c r="B2792" s="176"/>
      <c r="C2792" s="176"/>
      <c r="D2792" s="176"/>
      <c r="E2792" s="176"/>
      <c r="F2792" s="176"/>
      <c r="G2792" s="176"/>
      <c r="H2792" s="176"/>
      <c r="I2792" s="176"/>
      <c r="J2792" s="176"/>
      <c r="K2792" s="176"/>
      <c r="L2792" s="176"/>
      <c r="M2792" s="176"/>
      <c r="N2792" s="176"/>
      <c r="O2792" s="176"/>
      <c r="P2792" s="176"/>
      <c r="Q2792" s="176"/>
      <c r="R2792" s="176"/>
      <c r="S2792" s="176"/>
      <c r="T2792" s="176"/>
      <c r="U2792" s="176"/>
      <c r="V2792" s="176"/>
      <c r="W2792" s="176"/>
      <c r="X2792" s="176"/>
      <c r="Y2792" s="176"/>
    </row>
    <row r="2793" spans="1:25">
      <c r="A2793" s="91"/>
      <c r="B2793" s="176"/>
      <c r="C2793" s="176"/>
      <c r="D2793" s="176"/>
      <c r="E2793" s="176"/>
      <c r="F2793" s="176"/>
      <c r="G2793" s="176"/>
      <c r="H2793" s="176"/>
      <c r="I2793" s="176"/>
      <c r="J2793" s="176"/>
      <c r="K2793" s="176"/>
      <c r="L2793" s="176"/>
      <c r="M2793" s="176"/>
      <c r="N2793" s="176"/>
      <c r="O2793" s="176"/>
      <c r="P2793" s="176"/>
      <c r="Q2793" s="176"/>
      <c r="R2793" s="176"/>
      <c r="S2793" s="176"/>
      <c r="T2793" s="176"/>
      <c r="U2793" s="176"/>
      <c r="V2793" s="176"/>
      <c r="W2793" s="176"/>
      <c r="X2793" s="176"/>
      <c r="Y2793" s="176"/>
    </row>
    <row r="2794" spans="1:25">
      <c r="A2794" s="91"/>
      <c r="B2794" s="176"/>
      <c r="C2794" s="176"/>
      <c r="D2794" s="176"/>
      <c r="E2794" s="176"/>
      <c r="F2794" s="176"/>
      <c r="G2794" s="176"/>
      <c r="H2794" s="176"/>
      <c r="I2794" s="176"/>
      <c r="J2794" s="176"/>
      <c r="K2794" s="176"/>
      <c r="L2794" s="176"/>
      <c r="M2794" s="176"/>
      <c r="N2794" s="176"/>
      <c r="O2794" s="176"/>
      <c r="P2794" s="176"/>
      <c r="Q2794" s="176"/>
      <c r="R2794" s="176"/>
      <c r="S2794" s="176"/>
      <c r="T2794" s="176"/>
      <c r="U2794" s="176"/>
      <c r="V2794" s="176"/>
      <c r="W2794" s="176"/>
      <c r="X2794" s="176"/>
      <c r="Y2794" s="176"/>
    </row>
    <row r="2795" spans="1:25">
      <c r="A2795" s="91"/>
      <c r="B2795" s="176"/>
      <c r="C2795" s="176"/>
      <c r="D2795" s="176"/>
      <c r="E2795" s="176"/>
      <c r="F2795" s="176"/>
      <c r="G2795" s="176"/>
      <c r="H2795" s="176"/>
      <c r="I2795" s="176"/>
      <c r="J2795" s="176"/>
      <c r="K2795" s="176"/>
      <c r="L2795" s="176"/>
      <c r="M2795" s="176"/>
      <c r="N2795" s="176"/>
      <c r="O2795" s="176"/>
      <c r="P2795" s="176"/>
      <c r="Q2795" s="176"/>
      <c r="R2795" s="176"/>
      <c r="S2795" s="176"/>
      <c r="T2795" s="176"/>
      <c r="U2795" s="176"/>
      <c r="V2795" s="176"/>
      <c r="W2795" s="176"/>
      <c r="X2795" s="176"/>
      <c r="Y2795" s="176"/>
    </row>
    <row r="2796" spans="1:25">
      <c r="A2796" s="91"/>
      <c r="B2796" s="176"/>
      <c r="C2796" s="176"/>
      <c r="D2796" s="176"/>
      <c r="E2796" s="176"/>
      <c r="F2796" s="176"/>
      <c r="G2796" s="176"/>
      <c r="H2796" s="176"/>
      <c r="I2796" s="176"/>
      <c r="J2796" s="176"/>
      <c r="K2796" s="176"/>
      <c r="L2796" s="176"/>
      <c r="M2796" s="176"/>
      <c r="N2796" s="176"/>
      <c r="O2796" s="176"/>
      <c r="P2796" s="176"/>
      <c r="Q2796" s="176"/>
      <c r="R2796" s="176"/>
      <c r="S2796" s="176"/>
      <c r="T2796" s="176"/>
      <c r="U2796" s="176"/>
      <c r="V2796" s="176"/>
      <c r="W2796" s="176"/>
      <c r="X2796" s="176"/>
      <c r="Y2796" s="176"/>
    </row>
    <row r="2797" spans="1:25">
      <c r="A2797" s="91"/>
      <c r="B2797" s="176"/>
      <c r="C2797" s="176"/>
      <c r="D2797" s="176"/>
      <c r="E2797" s="176"/>
      <c r="F2797" s="176"/>
      <c r="G2797" s="176"/>
      <c r="H2797" s="176"/>
      <c r="I2797" s="176"/>
      <c r="J2797" s="176"/>
      <c r="K2797" s="176"/>
      <c r="L2797" s="176"/>
      <c r="M2797" s="176"/>
      <c r="N2797" s="176"/>
      <c r="O2797" s="176"/>
      <c r="P2797" s="176"/>
      <c r="Q2797" s="176"/>
      <c r="R2797" s="176"/>
      <c r="S2797" s="176"/>
      <c r="T2797" s="176"/>
      <c r="U2797" s="176"/>
      <c r="V2797" s="176"/>
      <c r="W2797" s="176"/>
      <c r="X2797" s="176"/>
      <c r="Y2797" s="176"/>
    </row>
    <row r="2798" spans="1:25">
      <c r="A2798" s="91"/>
      <c r="B2798" s="176"/>
      <c r="C2798" s="176"/>
      <c r="D2798" s="176"/>
      <c r="E2798" s="176"/>
      <c r="F2798" s="176"/>
      <c r="G2798" s="176"/>
      <c r="H2798" s="176"/>
      <c r="I2798" s="176"/>
      <c r="J2798" s="176"/>
      <c r="K2798" s="176"/>
      <c r="L2798" s="176"/>
      <c r="M2798" s="176"/>
      <c r="N2798" s="176"/>
      <c r="O2798" s="176"/>
      <c r="P2798" s="176"/>
      <c r="Q2798" s="176"/>
      <c r="R2798" s="176"/>
      <c r="S2798" s="176"/>
      <c r="T2798" s="176"/>
      <c r="U2798" s="176"/>
      <c r="V2798" s="176"/>
      <c r="W2798" s="176"/>
      <c r="X2798" s="176"/>
      <c r="Y2798" s="176"/>
    </row>
    <row r="2799" spans="1:25">
      <c r="A2799" s="91"/>
      <c r="B2799" s="176"/>
      <c r="C2799" s="176"/>
      <c r="D2799" s="176"/>
      <c r="E2799" s="176"/>
      <c r="F2799" s="176"/>
      <c r="G2799" s="176"/>
      <c r="H2799" s="176"/>
      <c r="I2799" s="176"/>
      <c r="J2799" s="176"/>
      <c r="K2799" s="176"/>
      <c r="L2799" s="176"/>
      <c r="M2799" s="176"/>
      <c r="N2799" s="176"/>
      <c r="O2799" s="176"/>
      <c r="P2799" s="176"/>
      <c r="Q2799" s="176"/>
      <c r="R2799" s="176"/>
      <c r="S2799" s="176"/>
      <c r="T2799" s="176"/>
      <c r="U2799" s="176"/>
      <c r="V2799" s="176"/>
      <c r="W2799" s="176"/>
      <c r="X2799" s="176"/>
      <c r="Y2799" s="176"/>
    </row>
    <row r="2800" spans="1:25">
      <c r="A2800" s="91"/>
      <c r="B2800" s="176"/>
      <c r="C2800" s="176"/>
      <c r="D2800" s="176"/>
      <c r="E2800" s="176"/>
      <c r="F2800" s="176"/>
      <c r="G2800" s="176"/>
      <c r="H2800" s="176"/>
      <c r="I2800" s="176"/>
      <c r="J2800" s="176"/>
      <c r="K2800" s="176"/>
      <c r="L2800" s="176"/>
      <c r="M2800" s="176"/>
      <c r="N2800" s="176"/>
      <c r="O2800" s="176"/>
      <c r="P2800" s="176"/>
      <c r="Q2800" s="176"/>
      <c r="R2800" s="176"/>
      <c r="S2800" s="176"/>
      <c r="T2800" s="176"/>
      <c r="U2800" s="176"/>
      <c r="V2800" s="176"/>
      <c r="W2800" s="176"/>
      <c r="X2800" s="176"/>
      <c r="Y2800" s="176"/>
    </row>
    <row r="2801" spans="1:25">
      <c r="A2801" s="91"/>
      <c r="B2801" s="176"/>
      <c r="C2801" s="176"/>
      <c r="D2801" s="176"/>
      <c r="E2801" s="176"/>
      <c r="F2801" s="176"/>
      <c r="G2801" s="176"/>
      <c r="H2801" s="176"/>
      <c r="I2801" s="176"/>
      <c r="J2801" s="176"/>
      <c r="K2801" s="176"/>
      <c r="L2801" s="176"/>
      <c r="M2801" s="176"/>
      <c r="N2801" s="176"/>
      <c r="O2801" s="176"/>
      <c r="P2801" s="176"/>
      <c r="Q2801" s="176"/>
      <c r="R2801" s="176"/>
      <c r="S2801" s="176"/>
      <c r="T2801" s="176"/>
      <c r="U2801" s="176"/>
      <c r="V2801" s="176"/>
      <c r="W2801" s="176"/>
      <c r="X2801" s="176"/>
      <c r="Y2801" s="176"/>
    </row>
    <row r="2802" spans="1:25">
      <c r="A2802" s="91"/>
      <c r="B2802" s="176"/>
      <c r="C2802" s="176"/>
      <c r="D2802" s="176"/>
      <c r="E2802" s="176"/>
      <c r="F2802" s="176"/>
      <c r="G2802" s="176"/>
      <c r="H2802" s="176"/>
      <c r="I2802" s="176"/>
      <c r="J2802" s="176"/>
      <c r="K2802" s="176"/>
      <c r="L2802" s="176"/>
      <c r="M2802" s="176"/>
      <c r="N2802" s="176"/>
      <c r="O2802" s="176"/>
      <c r="P2802" s="176"/>
      <c r="Q2802" s="176"/>
      <c r="R2802" s="176"/>
      <c r="S2802" s="176"/>
      <c r="T2802" s="176"/>
      <c r="U2802" s="176"/>
      <c r="V2802" s="176"/>
      <c r="W2802" s="176"/>
      <c r="X2802" s="176"/>
      <c r="Y2802" s="176"/>
    </row>
    <row r="2803" spans="1:25">
      <c r="A2803" s="91"/>
      <c r="B2803" s="176"/>
      <c r="C2803" s="176"/>
      <c r="D2803" s="176"/>
      <c r="E2803" s="176"/>
      <c r="F2803" s="176"/>
      <c r="G2803" s="176"/>
      <c r="H2803" s="176"/>
      <c r="I2803" s="176"/>
      <c r="J2803" s="176"/>
      <c r="K2803" s="176"/>
      <c r="L2803" s="176"/>
      <c r="M2803" s="176"/>
      <c r="N2803" s="176"/>
      <c r="O2803" s="176"/>
      <c r="P2803" s="176"/>
      <c r="Q2803" s="176"/>
      <c r="R2803" s="176"/>
      <c r="S2803" s="176"/>
      <c r="T2803" s="176"/>
      <c r="U2803" s="176"/>
      <c r="V2803" s="176"/>
      <c r="W2803" s="176"/>
      <c r="X2803" s="176"/>
      <c r="Y2803" s="176"/>
    </row>
    <row r="2804" spans="1:25">
      <c r="A2804" s="91"/>
      <c r="B2804" s="176"/>
      <c r="C2804" s="176"/>
      <c r="D2804" s="176"/>
      <c r="E2804" s="176"/>
      <c r="F2804" s="176"/>
      <c r="G2804" s="176"/>
      <c r="H2804" s="176"/>
      <c r="I2804" s="176"/>
      <c r="J2804" s="176"/>
      <c r="K2804" s="176"/>
      <c r="L2804" s="176"/>
      <c r="M2804" s="176"/>
      <c r="N2804" s="176"/>
      <c r="O2804" s="176"/>
      <c r="P2804" s="176"/>
      <c r="Q2804" s="176"/>
      <c r="R2804" s="176"/>
      <c r="S2804" s="176"/>
      <c r="T2804" s="176"/>
      <c r="U2804" s="176"/>
      <c r="V2804" s="176"/>
      <c r="W2804" s="176"/>
      <c r="X2804" s="176"/>
      <c r="Y2804" s="176"/>
    </row>
    <row r="2805" spans="1:25">
      <c r="A2805" s="91"/>
      <c r="B2805" s="176"/>
      <c r="C2805" s="176"/>
      <c r="D2805" s="176"/>
      <c r="E2805" s="176"/>
      <c r="F2805" s="176"/>
      <c r="G2805" s="176"/>
      <c r="H2805" s="176"/>
      <c r="I2805" s="176"/>
      <c r="J2805" s="176"/>
      <c r="K2805" s="176"/>
      <c r="L2805" s="176"/>
      <c r="M2805" s="176"/>
      <c r="N2805" s="176"/>
      <c r="O2805" s="176"/>
      <c r="P2805" s="176"/>
      <c r="Q2805" s="176"/>
      <c r="R2805" s="176"/>
      <c r="S2805" s="176"/>
      <c r="T2805" s="176"/>
      <c r="U2805" s="176"/>
      <c r="V2805" s="176"/>
      <c r="W2805" s="176"/>
      <c r="X2805" s="176"/>
      <c r="Y2805" s="176"/>
    </row>
    <row r="2806" spans="1:25">
      <c r="A2806" s="91"/>
      <c r="B2806" s="176"/>
      <c r="C2806" s="176"/>
      <c r="D2806" s="176"/>
      <c r="E2806" s="176"/>
      <c r="F2806" s="176"/>
      <c r="G2806" s="176"/>
      <c r="H2806" s="176"/>
      <c r="I2806" s="176"/>
      <c r="J2806" s="176"/>
      <c r="K2806" s="176"/>
      <c r="L2806" s="176"/>
      <c r="M2806" s="176"/>
      <c r="N2806" s="176"/>
      <c r="O2806" s="176"/>
      <c r="P2806" s="176"/>
      <c r="Q2806" s="176"/>
      <c r="R2806" s="176"/>
      <c r="S2806" s="176"/>
      <c r="T2806" s="176"/>
      <c r="U2806" s="176"/>
      <c r="V2806" s="176"/>
      <c r="W2806" s="176"/>
      <c r="X2806" s="176"/>
      <c r="Y2806" s="176"/>
    </row>
    <row r="2807" spans="1:25">
      <c r="A2807" s="91"/>
      <c r="B2807" s="176"/>
      <c r="C2807" s="176"/>
      <c r="D2807" s="176"/>
      <c r="E2807" s="176"/>
      <c r="F2807" s="176"/>
      <c r="G2807" s="176"/>
      <c r="H2807" s="176"/>
      <c r="I2807" s="176"/>
      <c r="J2807" s="176"/>
      <c r="K2807" s="176"/>
      <c r="L2807" s="176"/>
      <c r="M2807" s="176"/>
      <c r="N2807" s="176"/>
      <c r="O2807" s="176"/>
      <c r="P2807" s="176"/>
      <c r="Q2807" s="176"/>
      <c r="R2807" s="176"/>
      <c r="S2807" s="176"/>
      <c r="T2807" s="176"/>
      <c r="U2807" s="176"/>
      <c r="V2807" s="176"/>
      <c r="W2807" s="176"/>
      <c r="X2807" s="176"/>
      <c r="Y2807" s="176"/>
    </row>
    <row r="2808" spans="1:25">
      <c r="A2808" s="91"/>
      <c r="B2808" s="176"/>
      <c r="C2808" s="176"/>
      <c r="D2808" s="176"/>
      <c r="E2808" s="176"/>
      <c r="F2808" s="176"/>
      <c r="G2808" s="176"/>
      <c r="H2808" s="176"/>
      <c r="I2808" s="176"/>
      <c r="J2808" s="176"/>
      <c r="K2808" s="176"/>
      <c r="L2808" s="176"/>
      <c r="M2808" s="176"/>
      <c r="N2808" s="176"/>
      <c r="O2808" s="176"/>
      <c r="P2808" s="176"/>
      <c r="Q2808" s="176"/>
      <c r="R2808" s="176"/>
      <c r="S2808" s="176"/>
      <c r="T2808" s="176"/>
      <c r="U2808" s="176"/>
      <c r="V2808" s="176"/>
      <c r="W2808" s="176"/>
      <c r="X2808" s="176"/>
      <c r="Y2808" s="176"/>
    </row>
    <row r="2809" spans="1:25">
      <c r="A2809" s="91"/>
      <c r="B2809" s="176"/>
      <c r="C2809" s="176"/>
      <c r="D2809" s="176"/>
      <c r="E2809" s="176"/>
      <c r="F2809" s="176"/>
      <c r="G2809" s="176"/>
      <c r="H2809" s="176"/>
      <c r="I2809" s="176"/>
      <c r="J2809" s="176"/>
      <c r="K2809" s="176"/>
      <c r="L2809" s="176"/>
      <c r="M2809" s="176"/>
      <c r="N2809" s="176"/>
      <c r="O2809" s="176"/>
      <c r="P2809" s="176"/>
      <c r="Q2809" s="176"/>
      <c r="R2809" s="176"/>
      <c r="S2809" s="176"/>
      <c r="T2809" s="176"/>
      <c r="U2809" s="176"/>
      <c r="V2809" s="176"/>
      <c r="W2809" s="176"/>
      <c r="X2809" s="176"/>
      <c r="Y2809" s="176"/>
    </row>
    <row r="2810" spans="1:25">
      <c r="A2810" s="91"/>
      <c r="B2810" s="176"/>
      <c r="C2810" s="176"/>
      <c r="D2810" s="176"/>
      <c r="E2810" s="176"/>
      <c r="F2810" s="176"/>
      <c r="G2810" s="176"/>
      <c r="H2810" s="176"/>
      <c r="I2810" s="176"/>
      <c r="J2810" s="176"/>
      <c r="K2810" s="176"/>
      <c r="L2810" s="176"/>
      <c r="M2810" s="176"/>
      <c r="N2810" s="176"/>
      <c r="O2810" s="176"/>
      <c r="P2810" s="176"/>
      <c r="Q2810" s="176"/>
      <c r="R2810" s="176"/>
      <c r="S2810" s="176"/>
      <c r="T2810" s="176"/>
      <c r="U2810" s="176"/>
      <c r="V2810" s="176"/>
      <c r="W2810" s="176"/>
      <c r="X2810" s="176"/>
      <c r="Y2810" s="176"/>
    </row>
    <row r="2811" spans="1:25">
      <c r="A2811" s="91"/>
      <c r="B2811" s="176"/>
      <c r="C2811" s="176"/>
      <c r="D2811" s="176"/>
      <c r="E2811" s="176"/>
      <c r="F2811" s="176"/>
      <c r="G2811" s="176"/>
      <c r="H2811" s="176"/>
      <c r="I2811" s="176"/>
      <c r="J2811" s="176"/>
      <c r="K2811" s="176"/>
      <c r="L2811" s="176"/>
      <c r="M2811" s="176"/>
      <c r="N2811" s="176"/>
      <c r="O2811" s="176"/>
      <c r="P2811" s="176"/>
      <c r="Q2811" s="176"/>
      <c r="R2811" s="176"/>
      <c r="S2811" s="176"/>
      <c r="T2811" s="176"/>
      <c r="U2811" s="176"/>
      <c r="V2811" s="176"/>
      <c r="W2811" s="176"/>
      <c r="X2811" s="176"/>
      <c r="Y2811" s="176"/>
    </row>
    <row r="2812" spans="1:25">
      <c r="A2812" s="91"/>
      <c r="B2812" s="176"/>
      <c r="C2812" s="176"/>
      <c r="D2812" s="176"/>
      <c r="E2812" s="176"/>
      <c r="F2812" s="176"/>
      <c r="G2812" s="176"/>
      <c r="H2812" s="176"/>
      <c r="I2812" s="176"/>
      <c r="J2812" s="176"/>
      <c r="K2812" s="176"/>
      <c r="L2812" s="176"/>
      <c r="M2812" s="176"/>
      <c r="N2812" s="176"/>
      <c r="O2812" s="176"/>
      <c r="P2812" s="176"/>
      <c r="Q2812" s="176"/>
      <c r="R2812" s="176"/>
      <c r="S2812" s="176"/>
      <c r="T2812" s="176"/>
      <c r="U2812" s="176"/>
      <c r="V2812" s="176"/>
      <c r="W2812" s="176"/>
      <c r="X2812" s="176"/>
      <c r="Y2812" s="176"/>
    </row>
    <row r="2813" spans="1:25">
      <c r="A2813" s="91"/>
      <c r="B2813" s="176"/>
      <c r="C2813" s="176"/>
      <c r="D2813" s="176"/>
      <c r="E2813" s="176"/>
      <c r="F2813" s="176"/>
      <c r="G2813" s="176"/>
      <c r="H2813" s="176"/>
      <c r="I2813" s="176"/>
      <c r="J2813" s="176"/>
      <c r="K2813" s="176"/>
      <c r="L2813" s="176"/>
      <c r="M2813" s="176"/>
      <c r="N2813" s="176"/>
      <c r="O2813" s="176"/>
      <c r="P2813" s="176"/>
      <c r="Q2813" s="176"/>
      <c r="R2813" s="176"/>
      <c r="S2813" s="176"/>
      <c r="T2813" s="176"/>
      <c r="U2813" s="176"/>
      <c r="V2813" s="176"/>
      <c r="W2813" s="176"/>
      <c r="X2813" s="176"/>
      <c r="Y2813" s="176"/>
    </row>
    <row r="2814" spans="1:25">
      <c r="A2814" s="91"/>
      <c r="B2814" s="176"/>
      <c r="C2814" s="176"/>
      <c r="D2814" s="176"/>
      <c r="E2814" s="176"/>
      <c r="F2814" s="176"/>
      <c r="G2814" s="176"/>
      <c r="H2814" s="176"/>
      <c r="I2814" s="176"/>
      <c r="J2814" s="176"/>
      <c r="K2814" s="176"/>
      <c r="L2814" s="176"/>
      <c r="M2814" s="176"/>
      <c r="N2814" s="176"/>
      <c r="O2814" s="176"/>
      <c r="P2814" s="176"/>
      <c r="Q2814" s="176"/>
      <c r="R2814" s="176"/>
      <c r="S2814" s="176"/>
      <c r="T2814" s="176"/>
      <c r="U2814" s="176"/>
      <c r="V2814" s="176"/>
      <c r="W2814" s="176"/>
      <c r="X2814" s="176"/>
      <c r="Y2814" s="176"/>
    </row>
    <row r="2815" spans="1:25">
      <c r="A2815" s="91"/>
      <c r="B2815" s="176"/>
      <c r="C2815" s="176"/>
      <c r="D2815" s="176"/>
      <c r="E2815" s="176"/>
      <c r="F2815" s="176"/>
      <c r="G2815" s="176"/>
      <c r="H2815" s="176"/>
      <c r="I2815" s="176"/>
      <c r="J2815" s="176"/>
      <c r="K2815" s="176"/>
      <c r="L2815" s="176"/>
      <c r="M2815" s="176"/>
      <c r="N2815" s="176"/>
      <c r="O2815" s="176"/>
      <c r="P2815" s="176"/>
      <c r="Q2815" s="176"/>
      <c r="R2815" s="176"/>
      <c r="S2815" s="176"/>
      <c r="T2815" s="176"/>
      <c r="U2815" s="176"/>
      <c r="V2815" s="176"/>
      <c r="W2815" s="176"/>
      <c r="X2815" s="176"/>
      <c r="Y2815" s="176"/>
    </row>
    <row r="2816" spans="1:25">
      <c r="A2816" s="91"/>
      <c r="B2816" s="176"/>
      <c r="C2816" s="176"/>
      <c r="D2816" s="176"/>
      <c r="E2816" s="176"/>
      <c r="F2816" s="176"/>
      <c r="G2816" s="176"/>
      <c r="H2816" s="176"/>
      <c r="I2816" s="176"/>
      <c r="J2816" s="176"/>
      <c r="K2816" s="176"/>
      <c r="L2816" s="176"/>
      <c r="M2816" s="176"/>
      <c r="N2816" s="176"/>
      <c r="O2816" s="176"/>
      <c r="P2816" s="176"/>
      <c r="Q2816" s="176"/>
      <c r="R2816" s="176"/>
      <c r="S2816" s="176"/>
      <c r="T2816" s="176"/>
      <c r="U2816" s="176"/>
      <c r="V2816" s="176"/>
      <c r="W2816" s="176"/>
      <c r="X2816" s="176"/>
      <c r="Y2816" s="176"/>
    </row>
    <row r="2817" spans="1:25">
      <c r="A2817" s="91"/>
      <c r="B2817" s="176"/>
      <c r="C2817" s="176"/>
      <c r="D2817" s="176"/>
      <c r="E2817" s="176"/>
      <c r="F2817" s="176"/>
      <c r="G2817" s="176"/>
      <c r="H2817" s="176"/>
      <c r="I2817" s="176"/>
      <c r="J2817" s="176"/>
      <c r="K2817" s="176"/>
      <c r="L2817" s="176"/>
      <c r="M2817" s="176"/>
      <c r="N2817" s="176"/>
      <c r="O2817" s="176"/>
      <c r="P2817" s="176"/>
      <c r="Q2817" s="176"/>
      <c r="R2817" s="176"/>
      <c r="S2817" s="176"/>
      <c r="T2817" s="176"/>
      <c r="U2817" s="176"/>
      <c r="V2817" s="176"/>
      <c r="W2817" s="176"/>
      <c r="X2817" s="176"/>
      <c r="Y2817" s="176"/>
    </row>
    <row r="2818" spans="1:25">
      <c r="A2818" s="91"/>
      <c r="B2818" s="176"/>
      <c r="C2818" s="176"/>
      <c r="D2818" s="176"/>
      <c r="E2818" s="176"/>
      <c r="F2818" s="176"/>
      <c r="G2818" s="176"/>
      <c r="H2818" s="176"/>
      <c r="I2818" s="176"/>
      <c r="J2818" s="176"/>
      <c r="K2818" s="176"/>
      <c r="L2818" s="176"/>
      <c r="M2818" s="176"/>
      <c r="N2818" s="176"/>
      <c r="O2818" s="176"/>
      <c r="P2818" s="176"/>
      <c r="Q2818" s="176"/>
      <c r="R2818" s="176"/>
      <c r="S2818" s="176"/>
      <c r="T2818" s="176"/>
      <c r="U2818" s="176"/>
      <c r="V2818" s="176"/>
      <c r="W2818" s="176"/>
      <c r="X2818" s="176"/>
      <c r="Y2818" s="176"/>
    </row>
    <row r="2819" spans="1:25">
      <c r="A2819" s="91"/>
      <c r="B2819" s="176"/>
      <c r="C2819" s="176"/>
      <c r="D2819" s="176"/>
      <c r="E2819" s="176"/>
      <c r="F2819" s="176"/>
      <c r="G2819" s="176"/>
      <c r="H2819" s="176"/>
      <c r="I2819" s="176"/>
      <c r="J2819" s="176"/>
      <c r="K2819" s="176"/>
      <c r="L2819" s="176"/>
      <c r="M2819" s="176"/>
      <c r="N2819" s="176"/>
      <c r="O2819" s="176"/>
      <c r="P2819" s="176"/>
      <c r="Q2819" s="176"/>
      <c r="R2819" s="176"/>
      <c r="S2819" s="176"/>
      <c r="T2819" s="176"/>
      <c r="U2819" s="176"/>
      <c r="V2819" s="176"/>
      <c r="W2819" s="176"/>
      <c r="X2819" s="176"/>
      <c r="Y2819" s="176"/>
    </row>
    <row r="2820" spans="1:25">
      <c r="A2820" s="91"/>
      <c r="B2820" s="176"/>
      <c r="C2820" s="176"/>
      <c r="D2820" s="176"/>
      <c r="E2820" s="176"/>
      <c r="F2820" s="176"/>
      <c r="G2820" s="176"/>
      <c r="H2820" s="176"/>
      <c r="I2820" s="176"/>
      <c r="J2820" s="176"/>
      <c r="K2820" s="176"/>
      <c r="L2820" s="176"/>
      <c r="M2820" s="176"/>
      <c r="N2820" s="176"/>
      <c r="O2820" s="176"/>
      <c r="P2820" s="176"/>
      <c r="Q2820" s="176"/>
      <c r="R2820" s="176"/>
      <c r="S2820" s="176"/>
      <c r="T2820" s="176"/>
      <c r="U2820" s="176"/>
      <c r="V2820" s="176"/>
      <c r="W2820" s="176"/>
      <c r="X2820" s="176"/>
      <c r="Y2820" s="176"/>
    </row>
    <row r="2821" spans="1:25">
      <c r="A2821" s="91"/>
      <c r="B2821" s="176"/>
      <c r="C2821" s="176"/>
      <c r="D2821" s="176"/>
      <c r="E2821" s="176"/>
      <c r="F2821" s="176"/>
      <c r="G2821" s="176"/>
      <c r="H2821" s="176"/>
      <c r="I2821" s="176"/>
      <c r="J2821" s="176"/>
      <c r="K2821" s="176"/>
      <c r="L2821" s="176"/>
      <c r="M2821" s="176"/>
      <c r="N2821" s="176"/>
      <c r="O2821" s="176"/>
      <c r="P2821" s="176"/>
      <c r="Q2821" s="176"/>
      <c r="R2821" s="176"/>
      <c r="S2821" s="176"/>
      <c r="T2821" s="176"/>
      <c r="U2821" s="176"/>
      <c r="V2821" s="176"/>
      <c r="W2821" s="176"/>
      <c r="X2821" s="176"/>
      <c r="Y2821" s="176"/>
    </row>
    <row r="2822" spans="1:25">
      <c r="A2822" s="91"/>
      <c r="B2822" s="176"/>
      <c r="C2822" s="176"/>
      <c r="D2822" s="176"/>
      <c r="E2822" s="176"/>
      <c r="F2822" s="176"/>
      <c r="G2822" s="176"/>
      <c r="H2822" s="176"/>
      <c r="I2822" s="176"/>
      <c r="J2822" s="176"/>
      <c r="K2822" s="176"/>
      <c r="L2822" s="176"/>
      <c r="M2822" s="176"/>
      <c r="N2822" s="176"/>
      <c r="O2822" s="176"/>
      <c r="P2822" s="176"/>
      <c r="Q2822" s="176"/>
      <c r="R2822" s="176"/>
      <c r="S2822" s="176"/>
      <c r="T2822" s="176"/>
      <c r="U2822" s="176"/>
      <c r="V2822" s="176"/>
      <c r="W2822" s="176"/>
      <c r="X2822" s="176"/>
      <c r="Y2822" s="176"/>
    </row>
    <row r="2823" spans="1:25">
      <c r="A2823" s="91"/>
      <c r="B2823" s="176"/>
      <c r="C2823" s="176"/>
      <c r="D2823" s="176"/>
      <c r="E2823" s="176"/>
      <c r="F2823" s="176"/>
      <c r="G2823" s="176"/>
      <c r="H2823" s="176"/>
      <c r="I2823" s="176"/>
      <c r="J2823" s="176"/>
      <c r="K2823" s="176"/>
      <c r="L2823" s="176"/>
      <c r="M2823" s="176"/>
      <c r="N2823" s="176"/>
      <c r="O2823" s="176"/>
      <c r="P2823" s="176"/>
      <c r="Q2823" s="176"/>
      <c r="R2823" s="176"/>
      <c r="S2823" s="176"/>
      <c r="T2823" s="176"/>
      <c r="U2823" s="176"/>
      <c r="V2823" s="176"/>
      <c r="W2823" s="176"/>
      <c r="X2823" s="176"/>
      <c r="Y2823" s="176"/>
    </row>
    <row r="2824" spans="1:25">
      <c r="A2824" s="91"/>
      <c r="B2824" s="176"/>
      <c r="C2824" s="176"/>
      <c r="D2824" s="176"/>
      <c r="E2824" s="176"/>
      <c r="F2824" s="176"/>
      <c r="G2824" s="176"/>
      <c r="H2824" s="176"/>
      <c r="I2824" s="176"/>
      <c r="J2824" s="176"/>
      <c r="K2824" s="176"/>
      <c r="L2824" s="176"/>
      <c r="M2824" s="176"/>
      <c r="N2824" s="176"/>
      <c r="O2824" s="176"/>
      <c r="P2824" s="176"/>
      <c r="Q2824" s="176"/>
      <c r="R2824" s="176"/>
      <c r="S2824" s="176"/>
      <c r="T2824" s="176"/>
      <c r="U2824" s="176"/>
      <c r="V2824" s="176"/>
      <c r="W2824" s="176"/>
      <c r="X2824" s="176"/>
      <c r="Y2824" s="176"/>
    </row>
    <row r="2825" spans="1:25">
      <c r="A2825" s="91"/>
      <c r="B2825" s="176"/>
      <c r="C2825" s="176"/>
      <c r="D2825" s="176"/>
      <c r="E2825" s="176"/>
      <c r="F2825" s="176"/>
      <c r="G2825" s="176"/>
      <c r="H2825" s="176"/>
      <c r="I2825" s="176"/>
      <c r="J2825" s="176"/>
      <c r="K2825" s="176"/>
      <c r="L2825" s="176"/>
      <c r="M2825" s="176"/>
      <c r="N2825" s="176"/>
      <c r="O2825" s="176"/>
      <c r="P2825" s="176"/>
      <c r="Q2825" s="176"/>
      <c r="R2825" s="176"/>
      <c r="S2825" s="176"/>
      <c r="T2825" s="176"/>
      <c r="U2825" s="176"/>
      <c r="V2825" s="176"/>
      <c r="W2825" s="176"/>
      <c r="X2825" s="176"/>
      <c r="Y2825" s="176"/>
    </row>
    <row r="2826" spans="1:25">
      <c r="A2826" s="91"/>
      <c r="B2826" s="176"/>
      <c r="C2826" s="176"/>
      <c r="D2826" s="176"/>
      <c r="E2826" s="176"/>
      <c r="F2826" s="176"/>
      <c r="G2826" s="176"/>
      <c r="H2826" s="176"/>
      <c r="I2826" s="176"/>
      <c r="J2826" s="176"/>
      <c r="K2826" s="176"/>
      <c r="L2826" s="176"/>
      <c r="M2826" s="176"/>
      <c r="N2826" s="176"/>
      <c r="O2826" s="176"/>
      <c r="P2826" s="176"/>
      <c r="Q2826" s="176"/>
      <c r="R2826" s="176"/>
      <c r="S2826" s="176"/>
      <c r="T2826" s="176"/>
      <c r="U2826" s="176"/>
      <c r="V2826" s="176"/>
      <c r="W2826" s="176"/>
      <c r="X2826" s="176"/>
      <c r="Y2826" s="176"/>
    </row>
    <row r="2827" spans="1:25">
      <c r="A2827" s="91"/>
      <c r="B2827" s="176"/>
      <c r="C2827" s="176"/>
      <c r="D2827" s="176"/>
      <c r="E2827" s="176"/>
      <c r="F2827" s="176"/>
      <c r="G2827" s="176"/>
      <c r="H2827" s="176"/>
      <c r="I2827" s="176"/>
      <c r="J2827" s="176"/>
      <c r="K2827" s="176"/>
      <c r="L2827" s="176"/>
      <c r="M2827" s="176"/>
      <c r="N2827" s="176"/>
      <c r="O2827" s="176"/>
      <c r="P2827" s="176"/>
      <c r="Q2827" s="176"/>
      <c r="R2827" s="176"/>
      <c r="S2827" s="176"/>
      <c r="T2827" s="176"/>
      <c r="U2827" s="176"/>
      <c r="V2827" s="176"/>
      <c r="W2827" s="176"/>
      <c r="X2827" s="176"/>
      <c r="Y2827" s="176"/>
    </row>
    <row r="2828" spans="1:25">
      <c r="A2828" s="91"/>
      <c r="B2828" s="176"/>
      <c r="C2828" s="176"/>
      <c r="D2828" s="176"/>
      <c r="E2828" s="176"/>
      <c r="F2828" s="176"/>
      <c r="G2828" s="176"/>
      <c r="H2828" s="176"/>
      <c r="I2828" s="176"/>
      <c r="J2828" s="176"/>
      <c r="K2828" s="176"/>
      <c r="L2828" s="176"/>
      <c r="M2828" s="176"/>
      <c r="N2828" s="176"/>
      <c r="O2828" s="176"/>
      <c r="P2828" s="176"/>
      <c r="Q2828" s="176"/>
      <c r="R2828" s="176"/>
      <c r="S2828" s="176"/>
      <c r="T2828" s="176"/>
      <c r="U2828" s="176"/>
      <c r="V2828" s="176"/>
      <c r="W2828" s="176"/>
      <c r="X2828" s="176"/>
      <c r="Y2828" s="176"/>
    </row>
    <row r="2829" spans="1:25">
      <c r="A2829" s="91"/>
      <c r="B2829" s="176"/>
      <c r="C2829" s="176"/>
      <c r="D2829" s="176"/>
      <c r="E2829" s="176"/>
      <c r="F2829" s="176"/>
      <c r="G2829" s="176"/>
      <c r="H2829" s="176"/>
      <c r="I2829" s="176"/>
      <c r="J2829" s="176"/>
      <c r="K2829" s="176"/>
      <c r="L2829" s="176"/>
      <c r="M2829" s="176"/>
      <c r="N2829" s="176"/>
      <c r="O2829" s="176"/>
      <c r="P2829" s="176"/>
      <c r="Q2829" s="176"/>
      <c r="R2829" s="176"/>
      <c r="S2829" s="176"/>
      <c r="T2829" s="176"/>
      <c r="U2829" s="176"/>
      <c r="V2829" s="176"/>
      <c r="W2829" s="176"/>
      <c r="X2829" s="176"/>
      <c r="Y2829" s="176"/>
    </row>
    <row r="2830" spans="1:25">
      <c r="A2830" s="91"/>
      <c r="B2830" s="176"/>
      <c r="C2830" s="176"/>
      <c r="D2830" s="176"/>
      <c r="E2830" s="176"/>
      <c r="F2830" s="176"/>
      <c r="G2830" s="176"/>
      <c r="H2830" s="176"/>
      <c r="I2830" s="176"/>
      <c r="J2830" s="176"/>
      <c r="K2830" s="176"/>
      <c r="L2830" s="176"/>
      <c r="M2830" s="176"/>
      <c r="N2830" s="176"/>
      <c r="O2830" s="176"/>
      <c r="P2830" s="176"/>
      <c r="Q2830" s="176"/>
      <c r="R2830" s="176"/>
      <c r="S2830" s="176"/>
      <c r="T2830" s="176"/>
      <c r="U2830" s="176"/>
      <c r="V2830" s="176"/>
      <c r="W2830" s="176"/>
      <c r="X2830" s="176"/>
      <c r="Y2830" s="176"/>
    </row>
    <row r="2831" spans="1:25">
      <c r="A2831" s="91"/>
      <c r="B2831" s="176"/>
      <c r="C2831" s="176"/>
      <c r="D2831" s="176"/>
      <c r="E2831" s="176"/>
      <c r="F2831" s="176"/>
      <c r="G2831" s="176"/>
      <c r="H2831" s="176"/>
      <c r="I2831" s="176"/>
      <c r="J2831" s="176"/>
      <c r="K2831" s="176"/>
      <c r="L2831" s="176"/>
      <c r="M2831" s="176"/>
      <c r="N2831" s="176"/>
      <c r="O2831" s="176"/>
      <c r="P2831" s="176"/>
      <c r="Q2831" s="176"/>
      <c r="R2831" s="176"/>
      <c r="S2831" s="176"/>
      <c r="T2831" s="176"/>
      <c r="U2831" s="176"/>
      <c r="V2831" s="176"/>
      <c r="W2831" s="176"/>
      <c r="X2831" s="176"/>
      <c r="Y2831" s="176"/>
    </row>
    <row r="2832" spans="1:25">
      <c r="A2832" s="91"/>
      <c r="B2832" s="176"/>
      <c r="C2832" s="176"/>
      <c r="D2832" s="176"/>
      <c r="E2832" s="176"/>
      <c r="F2832" s="176"/>
      <c r="G2832" s="176"/>
      <c r="H2832" s="176"/>
      <c r="I2832" s="176"/>
      <c r="J2832" s="176"/>
      <c r="K2832" s="176"/>
      <c r="L2832" s="176"/>
      <c r="M2832" s="176"/>
      <c r="N2832" s="176"/>
      <c r="O2832" s="176"/>
      <c r="P2832" s="176"/>
      <c r="Q2832" s="176"/>
      <c r="R2832" s="176"/>
      <c r="S2832" s="176"/>
      <c r="T2832" s="176"/>
      <c r="U2832" s="176"/>
      <c r="V2832" s="176"/>
      <c r="W2832" s="176"/>
      <c r="X2832" s="176"/>
      <c r="Y2832" s="176"/>
    </row>
    <row r="2833" spans="1:25">
      <c r="A2833" s="91"/>
      <c r="B2833" s="176"/>
      <c r="C2833" s="176"/>
      <c r="D2833" s="176"/>
      <c r="E2833" s="176"/>
      <c r="F2833" s="176"/>
      <c r="G2833" s="176"/>
      <c r="H2833" s="176"/>
      <c r="I2833" s="176"/>
      <c r="J2833" s="176"/>
      <c r="K2833" s="176"/>
      <c r="L2833" s="176"/>
      <c r="M2833" s="176"/>
      <c r="N2833" s="176"/>
      <c r="O2833" s="176"/>
      <c r="P2833" s="176"/>
      <c r="Q2833" s="176"/>
      <c r="R2833" s="176"/>
      <c r="S2833" s="176"/>
      <c r="T2833" s="176"/>
      <c r="U2833" s="176"/>
      <c r="V2833" s="176"/>
      <c r="W2833" s="176"/>
      <c r="X2833" s="176"/>
      <c r="Y2833" s="176"/>
    </row>
    <row r="2834" spans="1:25">
      <c r="A2834" s="91"/>
      <c r="B2834" s="176"/>
      <c r="C2834" s="176"/>
      <c r="D2834" s="176"/>
      <c r="E2834" s="176"/>
      <c r="F2834" s="176"/>
      <c r="G2834" s="176"/>
      <c r="H2834" s="176"/>
      <c r="I2834" s="176"/>
      <c r="J2834" s="176"/>
      <c r="K2834" s="176"/>
      <c r="L2834" s="176"/>
      <c r="M2834" s="176"/>
      <c r="N2834" s="176"/>
      <c r="O2834" s="176"/>
      <c r="P2834" s="176"/>
      <c r="Q2834" s="176"/>
      <c r="R2834" s="176"/>
      <c r="S2834" s="176"/>
      <c r="T2834" s="176"/>
      <c r="U2834" s="176"/>
      <c r="V2834" s="176"/>
      <c r="W2834" s="176"/>
      <c r="X2834" s="176"/>
      <c r="Y2834" s="176"/>
    </row>
    <row r="2835" spans="1:25">
      <c r="A2835" s="91"/>
      <c r="B2835" s="176"/>
      <c r="C2835" s="176"/>
      <c r="D2835" s="176"/>
      <c r="E2835" s="176"/>
      <c r="F2835" s="176"/>
      <c r="G2835" s="176"/>
      <c r="H2835" s="176"/>
      <c r="I2835" s="176"/>
      <c r="J2835" s="176"/>
      <c r="K2835" s="176"/>
      <c r="L2835" s="176"/>
      <c r="M2835" s="176"/>
      <c r="N2835" s="176"/>
      <c r="O2835" s="176"/>
      <c r="P2835" s="176"/>
      <c r="Q2835" s="176"/>
      <c r="R2835" s="176"/>
      <c r="S2835" s="176"/>
      <c r="T2835" s="176"/>
      <c r="U2835" s="176"/>
      <c r="V2835" s="176"/>
      <c r="W2835" s="176"/>
      <c r="X2835" s="176"/>
      <c r="Y2835" s="176"/>
    </row>
    <row r="2836" spans="1:25">
      <c r="A2836" s="91"/>
      <c r="B2836" s="176"/>
      <c r="C2836" s="176"/>
      <c r="D2836" s="176"/>
      <c r="E2836" s="176"/>
      <c r="F2836" s="176"/>
      <c r="G2836" s="176"/>
      <c r="H2836" s="176"/>
      <c r="I2836" s="176"/>
      <c r="J2836" s="176"/>
      <c r="K2836" s="176"/>
      <c r="L2836" s="176"/>
      <c r="M2836" s="176"/>
      <c r="N2836" s="176"/>
      <c r="O2836" s="176"/>
      <c r="P2836" s="176"/>
      <c r="Q2836" s="176"/>
      <c r="R2836" s="176"/>
      <c r="S2836" s="176"/>
      <c r="T2836" s="176"/>
      <c r="U2836" s="176"/>
      <c r="V2836" s="176"/>
      <c r="W2836" s="176"/>
      <c r="X2836" s="176"/>
      <c r="Y2836" s="176"/>
    </row>
    <row r="2837" spans="1:25">
      <c r="A2837" s="91"/>
      <c r="B2837" s="176"/>
      <c r="C2837" s="176"/>
      <c r="D2837" s="176"/>
      <c r="E2837" s="176"/>
      <c r="F2837" s="176"/>
      <c r="G2837" s="176"/>
      <c r="H2837" s="176"/>
      <c r="I2837" s="176"/>
      <c r="J2837" s="176"/>
      <c r="K2837" s="176"/>
      <c r="L2837" s="176"/>
      <c r="M2837" s="176"/>
      <c r="N2837" s="176"/>
      <c r="O2837" s="176"/>
      <c r="P2837" s="176"/>
      <c r="Q2837" s="176"/>
      <c r="R2837" s="176"/>
      <c r="S2837" s="176"/>
      <c r="T2837" s="176"/>
      <c r="U2837" s="176"/>
      <c r="V2837" s="176"/>
      <c r="W2837" s="176"/>
      <c r="X2837" s="176"/>
      <c r="Y2837" s="176"/>
    </row>
    <row r="2838" spans="1:25">
      <c r="A2838" s="91"/>
      <c r="B2838" s="176"/>
      <c r="C2838" s="176"/>
      <c r="D2838" s="176"/>
      <c r="E2838" s="176"/>
      <c r="F2838" s="176"/>
      <c r="G2838" s="176"/>
      <c r="H2838" s="176"/>
      <c r="I2838" s="176"/>
      <c r="J2838" s="176"/>
      <c r="K2838" s="176"/>
      <c r="L2838" s="176"/>
      <c r="M2838" s="176"/>
      <c r="N2838" s="176"/>
      <c r="O2838" s="176"/>
      <c r="P2838" s="176"/>
      <c r="Q2838" s="176"/>
      <c r="R2838" s="176"/>
      <c r="S2838" s="176"/>
      <c r="T2838" s="176"/>
      <c r="U2838" s="176"/>
      <c r="V2838" s="176"/>
      <c r="W2838" s="176"/>
      <c r="X2838" s="176"/>
      <c r="Y2838" s="176"/>
    </row>
    <row r="2839" spans="1:25">
      <c r="A2839" s="91"/>
      <c r="B2839" s="176"/>
      <c r="C2839" s="176"/>
      <c r="D2839" s="176"/>
      <c r="E2839" s="176"/>
      <c r="F2839" s="176"/>
      <c r="G2839" s="176"/>
      <c r="H2839" s="176"/>
      <c r="I2839" s="176"/>
      <c r="J2839" s="176"/>
      <c r="K2839" s="176"/>
      <c r="L2839" s="176"/>
      <c r="M2839" s="176"/>
      <c r="N2839" s="176"/>
      <c r="O2839" s="176"/>
      <c r="P2839" s="176"/>
      <c r="Q2839" s="176"/>
      <c r="R2839" s="176"/>
      <c r="S2839" s="176"/>
      <c r="T2839" s="176"/>
      <c r="U2839" s="176"/>
      <c r="V2839" s="176"/>
      <c r="W2839" s="176"/>
      <c r="X2839" s="176"/>
      <c r="Y2839" s="176"/>
    </row>
    <row r="2840" spans="1:25">
      <c r="A2840" s="91"/>
      <c r="B2840" s="176"/>
      <c r="C2840" s="176"/>
      <c r="D2840" s="176"/>
      <c r="E2840" s="176"/>
      <c r="F2840" s="176"/>
      <c r="G2840" s="176"/>
      <c r="H2840" s="176"/>
      <c r="I2840" s="176"/>
      <c r="J2840" s="176"/>
      <c r="K2840" s="176"/>
      <c r="L2840" s="176"/>
      <c r="M2840" s="176"/>
      <c r="N2840" s="176"/>
      <c r="O2840" s="176"/>
      <c r="P2840" s="176"/>
      <c r="Q2840" s="176"/>
      <c r="R2840" s="176"/>
      <c r="S2840" s="176"/>
      <c r="T2840" s="176"/>
      <c r="U2840" s="176"/>
      <c r="V2840" s="176"/>
      <c r="W2840" s="176"/>
      <c r="X2840" s="176"/>
      <c r="Y2840" s="176"/>
    </row>
    <row r="2841" spans="1:25">
      <c r="A2841" s="91"/>
      <c r="B2841" s="176"/>
      <c r="C2841" s="176"/>
      <c r="D2841" s="176"/>
      <c r="E2841" s="176"/>
      <c r="F2841" s="176"/>
      <c r="G2841" s="176"/>
      <c r="H2841" s="176"/>
      <c r="I2841" s="176"/>
      <c r="J2841" s="176"/>
      <c r="K2841" s="176"/>
      <c r="L2841" s="176"/>
      <c r="M2841" s="176"/>
      <c r="N2841" s="176"/>
      <c r="O2841" s="176"/>
      <c r="P2841" s="176"/>
      <c r="Q2841" s="176"/>
      <c r="R2841" s="176"/>
      <c r="S2841" s="176"/>
      <c r="T2841" s="176"/>
      <c r="U2841" s="176"/>
      <c r="V2841" s="176"/>
      <c r="W2841" s="176"/>
      <c r="X2841" s="176"/>
      <c r="Y2841" s="176"/>
    </row>
    <row r="2842" spans="1:25">
      <c r="A2842" s="91"/>
      <c r="B2842" s="176"/>
      <c r="C2842" s="176"/>
      <c r="D2842" s="176"/>
      <c r="E2842" s="176"/>
      <c r="F2842" s="176"/>
      <c r="G2842" s="176"/>
      <c r="H2842" s="176"/>
      <c r="I2842" s="176"/>
      <c r="J2842" s="176"/>
      <c r="K2842" s="176"/>
      <c r="L2842" s="176"/>
      <c r="M2842" s="176"/>
      <c r="N2842" s="176"/>
      <c r="O2842" s="176"/>
      <c r="P2842" s="176"/>
      <c r="Q2842" s="176"/>
      <c r="R2842" s="176"/>
      <c r="S2842" s="176"/>
      <c r="T2842" s="176"/>
      <c r="U2842" s="176"/>
      <c r="V2842" s="176"/>
      <c r="W2842" s="176"/>
      <c r="X2842" s="176"/>
      <c r="Y2842" s="176"/>
    </row>
    <row r="2843" spans="1:25">
      <c r="A2843" s="91"/>
      <c r="B2843" s="176"/>
      <c r="C2843" s="176"/>
      <c r="D2843" s="176"/>
      <c r="E2843" s="176"/>
      <c r="F2843" s="176"/>
      <c r="G2843" s="176"/>
      <c r="H2843" s="176"/>
      <c r="I2843" s="176"/>
      <c r="J2843" s="176"/>
      <c r="K2843" s="176"/>
      <c r="L2843" s="176"/>
      <c r="M2843" s="176"/>
      <c r="N2843" s="176"/>
      <c r="O2843" s="176"/>
      <c r="P2843" s="176"/>
      <c r="Q2843" s="176"/>
      <c r="R2843" s="176"/>
      <c r="S2843" s="176"/>
      <c r="T2843" s="176"/>
      <c r="U2843" s="176"/>
      <c r="V2843" s="176"/>
      <c r="W2843" s="176"/>
      <c r="X2843" s="176"/>
      <c r="Y2843" s="176"/>
    </row>
    <row r="2844" spans="1:25">
      <c r="A2844" s="91"/>
      <c r="B2844" s="176"/>
      <c r="C2844" s="176"/>
      <c r="D2844" s="176"/>
      <c r="E2844" s="176"/>
      <c r="F2844" s="176"/>
      <c r="G2844" s="176"/>
      <c r="H2844" s="176"/>
      <c r="I2844" s="176"/>
      <c r="J2844" s="176"/>
      <c r="K2844" s="176"/>
      <c r="L2844" s="176"/>
      <c r="M2844" s="176"/>
      <c r="N2844" s="176"/>
      <c r="O2844" s="176"/>
      <c r="P2844" s="176"/>
      <c r="Q2844" s="176"/>
      <c r="R2844" s="176"/>
      <c r="S2844" s="176"/>
      <c r="T2844" s="176"/>
      <c r="U2844" s="176"/>
      <c r="V2844" s="176"/>
      <c r="W2844" s="176"/>
      <c r="X2844" s="176"/>
      <c r="Y2844" s="176"/>
    </row>
    <row r="2845" spans="1:25">
      <c r="A2845" s="91"/>
      <c r="B2845" s="176"/>
      <c r="C2845" s="176"/>
      <c r="D2845" s="176"/>
      <c r="E2845" s="176"/>
      <c r="F2845" s="176"/>
      <c r="G2845" s="176"/>
      <c r="H2845" s="176"/>
      <c r="I2845" s="176"/>
      <c r="J2845" s="176"/>
      <c r="K2845" s="176"/>
      <c r="L2845" s="176"/>
      <c r="M2845" s="176"/>
      <c r="N2845" s="176"/>
      <c r="O2845" s="176"/>
      <c r="P2845" s="176"/>
      <c r="Q2845" s="176"/>
      <c r="R2845" s="176"/>
      <c r="S2845" s="176"/>
      <c r="T2845" s="176"/>
      <c r="U2845" s="176"/>
      <c r="V2845" s="176"/>
      <c r="W2845" s="176"/>
      <c r="X2845" s="176"/>
      <c r="Y2845" s="176"/>
    </row>
    <row r="2846" spans="1:25">
      <c r="A2846" s="91"/>
      <c r="B2846" s="176"/>
      <c r="C2846" s="176"/>
      <c r="D2846" s="176"/>
      <c r="E2846" s="176"/>
      <c r="F2846" s="176"/>
      <c r="G2846" s="176"/>
      <c r="H2846" s="176"/>
      <c r="I2846" s="176"/>
      <c r="J2846" s="176"/>
      <c r="K2846" s="176"/>
      <c r="L2846" s="176"/>
      <c r="M2846" s="176"/>
      <c r="N2846" s="176"/>
      <c r="O2846" s="176"/>
      <c r="P2846" s="176"/>
      <c r="Q2846" s="176"/>
      <c r="R2846" s="176"/>
      <c r="S2846" s="176"/>
      <c r="T2846" s="176"/>
      <c r="U2846" s="176"/>
      <c r="V2846" s="176"/>
      <c r="W2846" s="176"/>
      <c r="X2846" s="176"/>
      <c r="Y2846" s="176"/>
    </row>
    <row r="2847" spans="1:25">
      <c r="A2847" s="91"/>
      <c r="B2847" s="176"/>
      <c r="C2847" s="176"/>
      <c r="D2847" s="176"/>
      <c r="E2847" s="176"/>
      <c r="F2847" s="176"/>
      <c r="G2847" s="176"/>
      <c r="H2847" s="176"/>
      <c r="I2847" s="176"/>
      <c r="J2847" s="176"/>
      <c r="K2847" s="176"/>
      <c r="L2847" s="176"/>
      <c r="M2847" s="176"/>
      <c r="N2847" s="176"/>
      <c r="O2847" s="176"/>
      <c r="P2847" s="176"/>
      <c r="Q2847" s="176"/>
      <c r="R2847" s="176"/>
      <c r="S2847" s="176"/>
      <c r="T2847" s="176"/>
      <c r="U2847" s="176"/>
      <c r="V2847" s="176"/>
      <c r="W2847" s="176"/>
      <c r="X2847" s="176"/>
      <c r="Y2847" s="176"/>
    </row>
    <row r="2848" spans="1:25">
      <c r="A2848" s="91"/>
      <c r="B2848" s="176"/>
      <c r="C2848" s="176"/>
      <c r="D2848" s="176"/>
      <c r="E2848" s="176"/>
      <c r="F2848" s="176"/>
      <c r="G2848" s="176"/>
      <c r="H2848" s="176"/>
      <c r="I2848" s="176"/>
      <c r="J2848" s="176"/>
      <c r="K2848" s="176"/>
      <c r="L2848" s="176"/>
      <c r="M2848" s="176"/>
      <c r="N2848" s="176"/>
      <c r="O2848" s="176"/>
      <c r="P2848" s="176"/>
      <c r="Q2848" s="176"/>
      <c r="R2848" s="176"/>
      <c r="S2848" s="176"/>
      <c r="T2848" s="176"/>
      <c r="U2848" s="176"/>
      <c r="V2848" s="176"/>
      <c r="W2848" s="176"/>
      <c r="X2848" s="176"/>
      <c r="Y2848" s="176"/>
    </row>
    <row r="2849" spans="1:25">
      <c r="A2849" s="91"/>
      <c r="B2849" s="176"/>
      <c r="C2849" s="176"/>
      <c r="D2849" s="176"/>
      <c r="E2849" s="176"/>
      <c r="F2849" s="176"/>
      <c r="G2849" s="176"/>
      <c r="H2849" s="176"/>
      <c r="I2849" s="176"/>
      <c r="J2849" s="176"/>
      <c r="K2849" s="176"/>
      <c r="L2849" s="176"/>
      <c r="M2849" s="176"/>
      <c r="N2849" s="176"/>
      <c r="O2849" s="176"/>
      <c r="P2849" s="176"/>
      <c r="Q2849" s="176"/>
      <c r="R2849" s="176"/>
      <c r="S2849" s="176"/>
      <c r="T2849" s="176"/>
      <c r="U2849" s="176"/>
      <c r="V2849" s="176"/>
      <c r="W2849" s="176"/>
      <c r="X2849" s="176"/>
      <c r="Y2849" s="176"/>
    </row>
    <row r="2850" spans="1:25">
      <c r="A2850" s="91"/>
      <c r="B2850" s="176"/>
      <c r="C2850" s="176"/>
      <c r="D2850" s="176"/>
      <c r="E2850" s="176"/>
      <c r="F2850" s="176"/>
      <c r="G2850" s="176"/>
      <c r="H2850" s="176"/>
      <c r="I2850" s="176"/>
      <c r="J2850" s="176"/>
      <c r="K2850" s="176"/>
      <c r="L2850" s="176"/>
      <c r="M2850" s="176"/>
      <c r="N2850" s="176"/>
      <c r="O2850" s="176"/>
      <c r="P2850" s="176"/>
      <c r="Q2850" s="176"/>
      <c r="R2850" s="176"/>
      <c r="S2850" s="176"/>
      <c r="T2850" s="176"/>
      <c r="U2850" s="176"/>
      <c r="V2850" s="176"/>
      <c r="W2850" s="176"/>
      <c r="X2850" s="176"/>
      <c r="Y2850" s="176"/>
    </row>
    <row r="2851" spans="1:25">
      <c r="A2851" s="91"/>
      <c r="B2851" s="176"/>
      <c r="C2851" s="176"/>
      <c r="D2851" s="176"/>
      <c r="E2851" s="176"/>
      <c r="F2851" s="176"/>
      <c r="G2851" s="176"/>
      <c r="H2851" s="176"/>
      <c r="I2851" s="176"/>
      <c r="J2851" s="176"/>
      <c r="K2851" s="176"/>
      <c r="L2851" s="176"/>
      <c r="M2851" s="176"/>
      <c r="N2851" s="176"/>
      <c r="O2851" s="176"/>
      <c r="P2851" s="176"/>
      <c r="Q2851" s="176"/>
      <c r="R2851" s="176"/>
      <c r="S2851" s="176"/>
      <c r="T2851" s="176"/>
      <c r="U2851" s="176"/>
      <c r="V2851" s="176"/>
      <c r="W2851" s="176"/>
      <c r="X2851" s="176"/>
      <c r="Y2851" s="176"/>
    </row>
    <row r="2852" spans="1:25">
      <c r="A2852" s="91"/>
      <c r="B2852" s="176"/>
      <c r="C2852" s="176"/>
      <c r="D2852" s="176"/>
      <c r="E2852" s="176"/>
      <c r="F2852" s="176"/>
      <c r="G2852" s="176"/>
      <c r="H2852" s="176"/>
      <c r="I2852" s="176"/>
      <c r="J2852" s="176"/>
      <c r="K2852" s="176"/>
      <c r="L2852" s="176"/>
      <c r="M2852" s="176"/>
      <c r="N2852" s="176"/>
      <c r="O2852" s="176"/>
      <c r="P2852" s="176"/>
      <c r="Q2852" s="176"/>
      <c r="R2852" s="176"/>
      <c r="S2852" s="176"/>
      <c r="T2852" s="176"/>
      <c r="U2852" s="176"/>
      <c r="V2852" s="176"/>
      <c r="W2852" s="176"/>
      <c r="X2852" s="176"/>
      <c r="Y2852" s="176"/>
    </row>
    <row r="2853" spans="1:25">
      <c r="A2853" s="91"/>
      <c r="B2853" s="176"/>
      <c r="C2853" s="176"/>
      <c r="D2853" s="176"/>
      <c r="E2853" s="176"/>
      <c r="F2853" s="176"/>
      <c r="G2853" s="176"/>
      <c r="H2853" s="176"/>
      <c r="I2853" s="176"/>
      <c r="J2853" s="176"/>
      <c r="K2853" s="176"/>
      <c r="L2853" s="176"/>
      <c r="M2853" s="176"/>
      <c r="N2853" s="176"/>
      <c r="O2853" s="176"/>
      <c r="P2853" s="176"/>
      <c r="Q2853" s="176"/>
      <c r="R2853" s="176"/>
      <c r="S2853" s="176"/>
      <c r="T2853" s="176"/>
      <c r="U2853" s="176"/>
      <c r="V2853" s="176"/>
      <c r="W2853" s="176"/>
      <c r="X2853" s="176"/>
      <c r="Y2853" s="176"/>
    </row>
    <row r="2854" spans="1:25">
      <c r="A2854" s="91"/>
      <c r="B2854" s="176"/>
      <c r="C2854" s="176"/>
      <c r="D2854" s="176"/>
      <c r="E2854" s="176"/>
      <c r="F2854" s="176"/>
      <c r="G2854" s="176"/>
      <c r="H2854" s="176"/>
      <c r="I2854" s="176"/>
      <c r="J2854" s="176"/>
      <c r="K2854" s="176"/>
      <c r="L2854" s="176"/>
      <c r="M2854" s="176"/>
      <c r="N2854" s="176"/>
      <c r="O2854" s="176"/>
      <c r="P2854" s="176"/>
      <c r="Q2854" s="176"/>
      <c r="R2854" s="176"/>
      <c r="S2854" s="176"/>
      <c r="T2854" s="176"/>
      <c r="U2854" s="176"/>
      <c r="V2854" s="176"/>
      <c r="W2854" s="176"/>
      <c r="X2854" s="176"/>
      <c r="Y2854" s="176"/>
    </row>
    <row r="2855" spans="1:25">
      <c r="A2855" s="91"/>
      <c r="B2855" s="176"/>
      <c r="C2855" s="176"/>
      <c r="D2855" s="176"/>
      <c r="E2855" s="176"/>
      <c r="F2855" s="176"/>
      <c r="G2855" s="176"/>
      <c r="H2855" s="176"/>
      <c r="I2855" s="176"/>
      <c r="J2855" s="176"/>
      <c r="K2855" s="176"/>
      <c r="L2855" s="176"/>
      <c r="M2855" s="176"/>
      <c r="N2855" s="176"/>
      <c r="O2855" s="176"/>
      <c r="P2855" s="176"/>
      <c r="Q2855" s="176"/>
      <c r="R2855" s="176"/>
      <c r="S2855" s="176"/>
      <c r="T2855" s="176"/>
      <c r="U2855" s="176"/>
      <c r="V2855" s="176"/>
      <c r="W2855" s="176"/>
      <c r="X2855" s="176"/>
      <c r="Y2855" s="176"/>
    </row>
    <row r="2856" spans="1:25">
      <c r="A2856" s="91"/>
      <c r="B2856" s="176"/>
      <c r="C2856" s="176"/>
      <c r="D2856" s="176"/>
      <c r="E2856" s="176"/>
      <c r="F2856" s="176"/>
      <c r="G2856" s="176"/>
      <c r="H2856" s="176"/>
      <c r="I2856" s="176"/>
      <c r="J2856" s="176"/>
      <c r="K2856" s="176"/>
      <c r="L2856" s="176"/>
      <c r="M2856" s="176"/>
      <c r="N2856" s="176"/>
      <c r="O2856" s="176"/>
      <c r="P2856" s="176"/>
      <c r="Q2856" s="176"/>
      <c r="R2856" s="176"/>
      <c r="S2856" s="176"/>
      <c r="T2856" s="176"/>
      <c r="U2856" s="176"/>
      <c r="V2856" s="176"/>
      <c r="W2856" s="176"/>
      <c r="X2856" s="176"/>
      <c r="Y2856" s="176"/>
    </row>
    <row r="2857" spans="1:25">
      <c r="A2857" s="91"/>
      <c r="B2857" s="176"/>
      <c r="C2857" s="176"/>
      <c r="D2857" s="176"/>
      <c r="E2857" s="176"/>
      <c r="F2857" s="176"/>
      <c r="G2857" s="176"/>
      <c r="H2857" s="176"/>
      <c r="I2857" s="176"/>
      <c r="J2857" s="176"/>
      <c r="K2857" s="176"/>
      <c r="L2857" s="176"/>
      <c r="M2857" s="176"/>
      <c r="N2857" s="176"/>
      <c r="O2857" s="176"/>
      <c r="P2857" s="176"/>
      <c r="Q2857" s="176"/>
      <c r="R2857" s="176"/>
      <c r="S2857" s="176"/>
      <c r="T2857" s="176"/>
      <c r="U2857" s="176"/>
      <c r="V2857" s="176"/>
      <c r="W2857" s="176"/>
      <c r="X2857" s="176"/>
      <c r="Y2857" s="176"/>
    </row>
    <row r="2858" spans="1:25">
      <c r="A2858" s="91"/>
      <c r="B2858" s="176"/>
      <c r="C2858" s="176"/>
      <c r="D2858" s="176"/>
      <c r="E2858" s="176"/>
      <c r="F2858" s="176"/>
      <c r="G2858" s="176"/>
      <c r="H2858" s="176"/>
      <c r="I2858" s="176"/>
      <c r="J2858" s="176"/>
      <c r="K2858" s="176"/>
      <c r="L2858" s="176"/>
      <c r="M2858" s="176"/>
      <c r="N2858" s="176"/>
      <c r="O2858" s="176"/>
      <c r="P2858" s="176"/>
      <c r="Q2858" s="176"/>
      <c r="R2858" s="176"/>
      <c r="S2858" s="176"/>
      <c r="T2858" s="176"/>
      <c r="U2858" s="176"/>
      <c r="V2858" s="176"/>
      <c r="W2858" s="176"/>
      <c r="X2858" s="176"/>
      <c r="Y2858" s="176"/>
    </row>
    <row r="2859" spans="1:25">
      <c r="A2859" s="91"/>
      <c r="B2859" s="176"/>
      <c r="C2859" s="176"/>
      <c r="D2859" s="176"/>
      <c r="E2859" s="176"/>
      <c r="F2859" s="176"/>
      <c r="G2859" s="176"/>
      <c r="H2859" s="176"/>
      <c r="I2859" s="176"/>
      <c r="J2859" s="176"/>
      <c r="K2859" s="176"/>
      <c r="L2859" s="176"/>
      <c r="M2859" s="176"/>
      <c r="N2859" s="176"/>
      <c r="O2859" s="176"/>
      <c r="P2859" s="176"/>
      <c r="Q2859" s="176"/>
      <c r="R2859" s="176"/>
      <c r="S2859" s="176"/>
      <c r="T2859" s="176"/>
      <c r="U2859" s="176"/>
      <c r="V2859" s="176"/>
      <c r="W2859" s="176"/>
      <c r="X2859" s="176"/>
      <c r="Y2859" s="176"/>
    </row>
    <row r="2860" spans="1:25">
      <c r="A2860" s="91"/>
      <c r="B2860" s="176"/>
      <c r="C2860" s="176"/>
      <c r="D2860" s="176"/>
      <c r="E2860" s="176"/>
      <c r="F2860" s="176"/>
      <c r="G2860" s="176"/>
      <c r="H2860" s="176"/>
      <c r="I2860" s="176"/>
      <c r="J2860" s="176"/>
      <c r="K2860" s="176"/>
      <c r="L2860" s="176"/>
      <c r="M2860" s="176"/>
      <c r="N2860" s="176"/>
      <c r="O2860" s="176"/>
      <c r="P2860" s="176"/>
      <c r="Q2860" s="176"/>
      <c r="R2860" s="176"/>
      <c r="S2860" s="176"/>
      <c r="T2860" s="176"/>
      <c r="U2860" s="176"/>
      <c r="V2860" s="176"/>
      <c r="W2860" s="176"/>
      <c r="X2860" s="176"/>
      <c r="Y2860" s="176"/>
    </row>
    <row r="2861" spans="1:25">
      <c r="A2861" s="91"/>
      <c r="B2861" s="176"/>
      <c r="C2861" s="176"/>
      <c r="D2861" s="176"/>
      <c r="E2861" s="176"/>
      <c r="F2861" s="176"/>
      <c r="G2861" s="176"/>
      <c r="H2861" s="176"/>
      <c r="I2861" s="176"/>
      <c r="J2861" s="176"/>
      <c r="K2861" s="176"/>
      <c r="L2861" s="176"/>
      <c r="M2861" s="176"/>
      <c r="N2861" s="176"/>
      <c r="O2861" s="176"/>
      <c r="P2861" s="176"/>
      <c r="Q2861" s="176"/>
      <c r="R2861" s="176"/>
      <c r="S2861" s="176"/>
      <c r="T2861" s="176"/>
      <c r="U2861" s="176"/>
      <c r="V2861" s="176"/>
      <c r="W2861" s="176"/>
      <c r="X2861" s="176"/>
      <c r="Y2861" s="176"/>
    </row>
    <row r="2862" spans="1:25">
      <c r="A2862" s="91"/>
      <c r="B2862" s="176"/>
      <c r="C2862" s="176"/>
      <c r="D2862" s="176"/>
      <c r="E2862" s="176"/>
      <c r="F2862" s="176"/>
      <c r="G2862" s="176"/>
      <c r="H2862" s="176"/>
      <c r="I2862" s="176"/>
      <c r="J2862" s="176"/>
      <c r="K2862" s="176"/>
      <c r="L2862" s="176"/>
      <c r="M2862" s="176"/>
      <c r="N2862" s="176"/>
      <c r="O2862" s="176"/>
      <c r="P2862" s="176"/>
      <c r="Q2862" s="176"/>
      <c r="R2862" s="176"/>
      <c r="S2862" s="176"/>
      <c r="T2862" s="176"/>
      <c r="U2862" s="176"/>
      <c r="V2862" s="176"/>
      <c r="W2862" s="176"/>
      <c r="X2862" s="176"/>
      <c r="Y2862" s="176"/>
    </row>
    <row r="2863" spans="1:25">
      <c r="A2863" s="91"/>
      <c r="B2863" s="176"/>
      <c r="C2863" s="176"/>
      <c r="D2863" s="176"/>
      <c r="E2863" s="176"/>
      <c r="F2863" s="176"/>
      <c r="G2863" s="176"/>
      <c r="H2863" s="176"/>
      <c r="I2863" s="176"/>
      <c r="J2863" s="176"/>
      <c r="K2863" s="176"/>
      <c r="L2863" s="176"/>
      <c r="M2863" s="176"/>
      <c r="N2863" s="176"/>
      <c r="O2863" s="176"/>
      <c r="P2863" s="176"/>
      <c r="Q2863" s="176"/>
      <c r="R2863" s="176"/>
      <c r="S2863" s="176"/>
      <c r="T2863" s="176"/>
      <c r="U2863" s="176"/>
      <c r="V2863" s="176"/>
      <c r="W2863" s="176"/>
      <c r="X2863" s="176"/>
      <c r="Y2863" s="176"/>
    </row>
    <row r="2864" spans="1:25">
      <c r="A2864" s="91"/>
      <c r="B2864" s="176"/>
      <c r="C2864" s="176"/>
      <c r="D2864" s="176"/>
      <c r="E2864" s="176"/>
      <c r="F2864" s="176"/>
      <c r="G2864" s="176"/>
      <c r="H2864" s="176"/>
      <c r="I2864" s="176"/>
      <c r="J2864" s="176"/>
      <c r="K2864" s="176"/>
      <c r="L2864" s="176"/>
      <c r="M2864" s="176"/>
      <c r="N2864" s="176"/>
      <c r="O2864" s="176"/>
      <c r="P2864" s="176"/>
      <c r="Q2864" s="176"/>
      <c r="R2864" s="176"/>
      <c r="S2864" s="176"/>
      <c r="T2864" s="176"/>
      <c r="U2864" s="176"/>
      <c r="V2864" s="176"/>
      <c r="W2864" s="176"/>
      <c r="X2864" s="176"/>
      <c r="Y2864" s="176"/>
    </row>
    <row r="2865" spans="1:25">
      <c r="A2865" s="91"/>
      <c r="B2865" s="176"/>
      <c r="C2865" s="176"/>
      <c r="D2865" s="176"/>
      <c r="E2865" s="176"/>
      <c r="F2865" s="176"/>
      <c r="G2865" s="176"/>
      <c r="H2865" s="176"/>
      <c r="I2865" s="176"/>
      <c r="J2865" s="176"/>
      <c r="K2865" s="176"/>
      <c r="L2865" s="176"/>
      <c r="M2865" s="176"/>
      <c r="N2865" s="176"/>
      <c r="O2865" s="176"/>
      <c r="P2865" s="176"/>
      <c r="Q2865" s="176"/>
      <c r="R2865" s="176"/>
      <c r="S2865" s="176"/>
      <c r="T2865" s="176"/>
      <c r="U2865" s="176"/>
      <c r="V2865" s="176"/>
      <c r="W2865" s="176"/>
      <c r="X2865" s="176"/>
      <c r="Y2865" s="176"/>
    </row>
    <row r="2866" spans="1:25">
      <c r="A2866" s="91"/>
      <c r="B2866" s="176"/>
      <c r="C2866" s="176"/>
      <c r="D2866" s="176"/>
      <c r="E2866" s="176"/>
      <c r="F2866" s="176"/>
      <c r="G2866" s="176"/>
      <c r="H2866" s="176"/>
      <c r="I2866" s="176"/>
      <c r="J2866" s="176"/>
      <c r="K2866" s="176"/>
      <c r="L2866" s="176"/>
      <c r="M2866" s="176"/>
      <c r="N2866" s="176"/>
      <c r="O2866" s="176"/>
      <c r="P2866" s="176"/>
      <c r="Q2866" s="176"/>
      <c r="R2866" s="176"/>
      <c r="S2866" s="176"/>
      <c r="T2866" s="176"/>
      <c r="U2866" s="176"/>
      <c r="V2866" s="176"/>
      <c r="W2866" s="176"/>
      <c r="X2866" s="176"/>
      <c r="Y2866" s="176"/>
    </row>
    <row r="2867" spans="1:25">
      <c r="A2867" s="91"/>
      <c r="B2867" s="176"/>
      <c r="C2867" s="176"/>
      <c r="D2867" s="176"/>
      <c r="E2867" s="176"/>
      <c r="F2867" s="176"/>
      <c r="G2867" s="176"/>
      <c r="H2867" s="176"/>
      <c r="I2867" s="176"/>
      <c r="J2867" s="176"/>
      <c r="K2867" s="176"/>
      <c r="L2867" s="176"/>
      <c r="M2867" s="176"/>
      <c r="N2867" s="176"/>
      <c r="O2867" s="176"/>
      <c r="P2867" s="176"/>
      <c r="Q2867" s="176"/>
      <c r="R2867" s="176"/>
      <c r="S2867" s="176"/>
      <c r="T2867" s="176"/>
      <c r="U2867" s="176"/>
      <c r="V2867" s="176"/>
      <c r="W2867" s="176"/>
      <c r="X2867" s="176"/>
      <c r="Y2867" s="176"/>
    </row>
    <row r="2868" spans="1:25">
      <c r="A2868" s="91"/>
      <c r="B2868" s="176"/>
      <c r="C2868" s="176"/>
      <c r="D2868" s="176"/>
      <c r="E2868" s="176"/>
      <c r="F2868" s="176"/>
      <c r="G2868" s="176"/>
      <c r="H2868" s="176"/>
      <c r="I2868" s="176"/>
      <c r="J2868" s="176"/>
      <c r="K2868" s="176"/>
      <c r="L2868" s="176"/>
      <c r="M2868" s="176"/>
      <c r="N2868" s="176"/>
      <c r="O2868" s="176"/>
      <c r="P2868" s="176"/>
      <c r="Q2868" s="176"/>
      <c r="R2868" s="176"/>
      <c r="S2868" s="176"/>
      <c r="T2868" s="176"/>
      <c r="U2868" s="176"/>
      <c r="V2868" s="176"/>
      <c r="W2868" s="176"/>
      <c r="X2868" s="176"/>
      <c r="Y2868" s="176"/>
    </row>
    <row r="2869" spans="1:25">
      <c r="A2869" s="91"/>
      <c r="B2869" s="176"/>
      <c r="C2869" s="176"/>
      <c r="D2869" s="176"/>
      <c r="E2869" s="176"/>
      <c r="F2869" s="176"/>
      <c r="G2869" s="176"/>
      <c r="H2869" s="176"/>
      <c r="I2869" s="176"/>
      <c r="J2869" s="176"/>
      <c r="K2869" s="176"/>
      <c r="L2869" s="176"/>
      <c r="M2869" s="176"/>
      <c r="N2869" s="176"/>
      <c r="O2869" s="176"/>
      <c r="P2869" s="176"/>
      <c r="Q2869" s="176"/>
      <c r="R2869" s="176"/>
      <c r="S2869" s="176"/>
      <c r="T2869" s="176"/>
      <c r="U2869" s="176"/>
      <c r="V2869" s="176"/>
      <c r="W2869" s="176"/>
      <c r="X2869" s="176"/>
      <c r="Y2869" s="176"/>
    </row>
    <row r="2870" spans="1:25">
      <c r="A2870" s="91"/>
      <c r="B2870" s="176"/>
      <c r="C2870" s="176"/>
      <c r="D2870" s="176"/>
      <c r="E2870" s="176"/>
      <c r="F2870" s="176"/>
      <c r="G2870" s="176"/>
      <c r="H2870" s="176"/>
      <c r="I2870" s="176"/>
      <c r="J2870" s="176"/>
      <c r="K2870" s="176"/>
      <c r="L2870" s="176"/>
      <c r="M2870" s="176"/>
      <c r="N2870" s="176"/>
      <c r="O2870" s="176"/>
      <c r="P2870" s="176"/>
      <c r="Q2870" s="176"/>
      <c r="R2870" s="176"/>
      <c r="S2870" s="176"/>
      <c r="T2870" s="176"/>
      <c r="U2870" s="176"/>
      <c r="V2870" s="176"/>
      <c r="W2870" s="176"/>
      <c r="X2870" s="176"/>
      <c r="Y2870" s="176"/>
    </row>
    <row r="2871" spans="1:25">
      <c r="A2871" s="91"/>
      <c r="B2871" s="176"/>
      <c r="C2871" s="176"/>
      <c r="D2871" s="176"/>
      <c r="E2871" s="176"/>
      <c r="F2871" s="176"/>
      <c r="G2871" s="176"/>
      <c r="H2871" s="176"/>
      <c r="I2871" s="176"/>
      <c r="J2871" s="176"/>
      <c r="K2871" s="176"/>
      <c r="L2871" s="176"/>
      <c r="M2871" s="176"/>
      <c r="N2871" s="176"/>
      <c r="O2871" s="176"/>
      <c r="P2871" s="176"/>
      <c r="Q2871" s="176"/>
      <c r="R2871" s="176"/>
      <c r="S2871" s="176"/>
      <c r="T2871" s="176"/>
      <c r="U2871" s="176"/>
      <c r="V2871" s="176"/>
      <c r="W2871" s="176"/>
      <c r="X2871" s="176"/>
      <c r="Y2871" s="176"/>
    </row>
    <row r="2872" spans="1:25">
      <c r="A2872" s="91"/>
      <c r="B2872" s="176"/>
      <c r="C2872" s="176"/>
      <c r="D2872" s="176"/>
      <c r="E2872" s="176"/>
      <c r="F2872" s="176"/>
      <c r="G2872" s="176"/>
      <c r="H2872" s="176"/>
      <c r="I2872" s="176"/>
      <c r="J2872" s="176"/>
      <c r="K2872" s="176"/>
      <c r="L2872" s="176"/>
      <c r="M2872" s="176"/>
      <c r="N2872" s="176"/>
      <c r="O2872" s="176"/>
      <c r="P2872" s="176"/>
      <c r="Q2872" s="176"/>
      <c r="R2872" s="176"/>
      <c r="S2872" s="176"/>
      <c r="T2872" s="176"/>
      <c r="U2872" s="176"/>
      <c r="V2872" s="176"/>
      <c r="W2872" s="176"/>
      <c r="X2872" s="176"/>
      <c r="Y2872" s="176"/>
    </row>
    <row r="2873" spans="1:25">
      <c r="A2873" s="91"/>
      <c r="B2873" s="176"/>
      <c r="C2873" s="176"/>
      <c r="D2873" s="176"/>
      <c r="E2873" s="176"/>
      <c r="F2873" s="176"/>
      <c r="G2873" s="176"/>
      <c r="H2873" s="176"/>
      <c r="I2873" s="176"/>
      <c r="J2873" s="176"/>
      <c r="K2873" s="176"/>
      <c r="L2873" s="176"/>
      <c r="M2873" s="176"/>
      <c r="N2873" s="176"/>
      <c r="O2873" s="176"/>
      <c r="P2873" s="176"/>
      <c r="Q2873" s="176"/>
      <c r="R2873" s="176"/>
      <c r="S2873" s="176"/>
      <c r="T2873" s="176"/>
      <c r="U2873" s="176"/>
      <c r="V2873" s="176"/>
      <c r="W2873" s="176"/>
      <c r="X2873" s="176"/>
      <c r="Y2873" s="176"/>
    </row>
    <row r="2874" spans="1:25">
      <c r="A2874" s="91"/>
      <c r="B2874" s="176"/>
      <c r="C2874" s="176"/>
      <c r="D2874" s="176"/>
      <c r="E2874" s="176"/>
      <c r="F2874" s="176"/>
      <c r="G2874" s="176"/>
      <c r="H2874" s="176"/>
      <c r="I2874" s="176"/>
      <c r="J2874" s="176"/>
      <c r="K2874" s="176"/>
      <c r="L2874" s="176"/>
      <c r="M2874" s="176"/>
      <c r="N2874" s="176"/>
      <c r="O2874" s="176"/>
      <c r="P2874" s="176"/>
      <c r="Q2874" s="176"/>
      <c r="R2874" s="176"/>
      <c r="S2874" s="176"/>
      <c r="T2874" s="176"/>
      <c r="U2874" s="176"/>
      <c r="V2874" s="176"/>
      <c r="W2874" s="176"/>
      <c r="X2874" s="176"/>
      <c r="Y2874" s="176"/>
    </row>
    <row r="2875" spans="1:25">
      <c r="A2875" s="91"/>
      <c r="B2875" s="176"/>
      <c r="C2875" s="176"/>
      <c r="D2875" s="176"/>
      <c r="E2875" s="176"/>
      <c r="F2875" s="176"/>
      <c r="G2875" s="176"/>
      <c r="H2875" s="176"/>
      <c r="I2875" s="176"/>
      <c r="J2875" s="176"/>
      <c r="K2875" s="176"/>
      <c r="L2875" s="176"/>
      <c r="M2875" s="176"/>
      <c r="N2875" s="176"/>
      <c r="O2875" s="176"/>
      <c r="P2875" s="176"/>
      <c r="Q2875" s="176"/>
      <c r="R2875" s="176"/>
      <c r="S2875" s="176"/>
      <c r="T2875" s="176"/>
      <c r="U2875" s="176"/>
      <c r="V2875" s="176"/>
      <c r="W2875" s="176"/>
      <c r="X2875" s="176"/>
      <c r="Y2875" s="176"/>
    </row>
    <row r="2876" spans="1:25">
      <c r="A2876" s="91"/>
      <c r="B2876" s="176"/>
      <c r="C2876" s="176"/>
      <c r="D2876" s="176"/>
      <c r="E2876" s="176"/>
      <c r="F2876" s="176"/>
      <c r="G2876" s="176"/>
      <c r="H2876" s="176"/>
      <c r="I2876" s="176"/>
      <c r="J2876" s="176"/>
      <c r="K2876" s="176"/>
      <c r="L2876" s="176"/>
      <c r="M2876" s="176"/>
      <c r="N2876" s="176"/>
      <c r="O2876" s="176"/>
      <c r="P2876" s="176"/>
      <c r="Q2876" s="176"/>
      <c r="R2876" s="176"/>
      <c r="S2876" s="176"/>
      <c r="T2876" s="176"/>
      <c r="U2876" s="176"/>
      <c r="V2876" s="176"/>
      <c r="W2876" s="176"/>
      <c r="X2876" s="176"/>
      <c r="Y2876" s="176"/>
    </row>
    <row r="2877" spans="1:25">
      <c r="A2877" s="91"/>
      <c r="B2877" s="176"/>
      <c r="C2877" s="176"/>
      <c r="D2877" s="176"/>
      <c r="E2877" s="176"/>
      <c r="F2877" s="176"/>
      <c r="G2877" s="176"/>
      <c r="H2877" s="176"/>
      <c r="I2877" s="176"/>
      <c r="J2877" s="176"/>
      <c r="K2877" s="176"/>
      <c r="L2877" s="176"/>
      <c r="M2877" s="176"/>
      <c r="N2877" s="176"/>
      <c r="O2877" s="176"/>
      <c r="P2877" s="176"/>
      <c r="Q2877" s="176"/>
      <c r="R2877" s="176"/>
      <c r="S2877" s="176"/>
      <c r="T2877" s="176"/>
      <c r="U2877" s="176"/>
      <c r="V2877" s="176"/>
      <c r="W2877" s="176"/>
      <c r="X2877" s="176"/>
      <c r="Y2877" s="176"/>
    </row>
    <row r="2878" spans="1:25">
      <c r="A2878" s="91"/>
      <c r="B2878" s="176"/>
      <c r="C2878" s="176"/>
      <c r="D2878" s="176"/>
      <c r="E2878" s="176"/>
      <c r="F2878" s="176"/>
      <c r="G2878" s="176"/>
      <c r="H2878" s="176"/>
      <c r="I2878" s="176"/>
      <c r="J2878" s="176"/>
      <c r="K2878" s="176"/>
      <c r="L2878" s="176"/>
      <c r="M2878" s="176"/>
      <c r="N2878" s="176"/>
      <c r="O2878" s="176"/>
      <c r="P2878" s="176"/>
      <c r="Q2878" s="176"/>
      <c r="R2878" s="176"/>
      <c r="S2878" s="176"/>
      <c r="T2878" s="176"/>
      <c r="U2878" s="176"/>
      <c r="V2878" s="176"/>
      <c r="W2878" s="176"/>
      <c r="X2878" s="176"/>
      <c r="Y2878" s="176"/>
    </row>
    <row r="2879" spans="1:25">
      <c r="A2879" s="91"/>
      <c r="B2879" s="176"/>
      <c r="C2879" s="176"/>
      <c r="D2879" s="176"/>
      <c r="E2879" s="176"/>
      <c r="F2879" s="176"/>
      <c r="G2879" s="176"/>
      <c r="H2879" s="176"/>
      <c r="I2879" s="176"/>
      <c r="J2879" s="176"/>
      <c r="K2879" s="176"/>
      <c r="L2879" s="176"/>
      <c r="M2879" s="176"/>
      <c r="N2879" s="176"/>
      <c r="O2879" s="176"/>
      <c r="P2879" s="176"/>
      <c r="Q2879" s="176"/>
      <c r="R2879" s="176"/>
      <c r="S2879" s="176"/>
      <c r="T2879" s="176"/>
      <c r="U2879" s="176"/>
      <c r="V2879" s="176"/>
      <c r="W2879" s="176"/>
      <c r="X2879" s="176"/>
      <c r="Y2879" s="176"/>
    </row>
    <row r="2880" spans="1:25">
      <c r="A2880" s="91"/>
      <c r="B2880" s="176"/>
      <c r="C2880" s="176"/>
      <c r="D2880" s="176"/>
      <c r="E2880" s="176"/>
      <c r="F2880" s="176"/>
      <c r="G2880" s="176"/>
      <c r="H2880" s="176"/>
      <c r="I2880" s="176"/>
      <c r="J2880" s="176"/>
      <c r="K2880" s="176"/>
      <c r="L2880" s="176"/>
      <c r="M2880" s="176"/>
      <c r="N2880" s="176"/>
      <c r="O2880" s="176"/>
      <c r="P2880" s="176"/>
      <c r="Q2880" s="176"/>
      <c r="R2880" s="176"/>
      <c r="S2880" s="176"/>
      <c r="T2880" s="176"/>
      <c r="U2880" s="176"/>
      <c r="V2880" s="176"/>
      <c r="W2880" s="176"/>
      <c r="X2880" s="176"/>
      <c r="Y2880" s="176"/>
    </row>
    <row r="2881" spans="1:25">
      <c r="A2881" s="91"/>
      <c r="B2881" s="176"/>
      <c r="C2881" s="176"/>
      <c r="D2881" s="176"/>
      <c r="E2881" s="176"/>
      <c r="F2881" s="176"/>
      <c r="G2881" s="176"/>
      <c r="H2881" s="176"/>
      <c r="I2881" s="176"/>
      <c r="J2881" s="176"/>
      <c r="K2881" s="176"/>
      <c r="L2881" s="176"/>
      <c r="M2881" s="176"/>
      <c r="N2881" s="176"/>
      <c r="O2881" s="176"/>
      <c r="P2881" s="176"/>
      <c r="Q2881" s="176"/>
      <c r="R2881" s="176"/>
      <c r="S2881" s="176"/>
      <c r="T2881" s="176"/>
      <c r="U2881" s="176"/>
      <c r="V2881" s="176"/>
      <c r="W2881" s="176"/>
      <c r="X2881" s="176"/>
      <c r="Y2881" s="176"/>
    </row>
    <row r="2882" spans="1:25">
      <c r="A2882" s="91"/>
      <c r="B2882" s="176"/>
      <c r="C2882" s="176"/>
      <c r="D2882" s="176"/>
      <c r="E2882" s="176"/>
      <c r="F2882" s="176"/>
      <c r="G2882" s="176"/>
      <c r="H2882" s="176"/>
      <c r="I2882" s="176"/>
      <c r="J2882" s="176"/>
      <c r="K2882" s="176"/>
      <c r="L2882" s="176"/>
      <c r="M2882" s="176"/>
      <c r="N2882" s="176"/>
      <c r="O2882" s="176"/>
      <c r="P2882" s="176"/>
      <c r="Q2882" s="176"/>
      <c r="R2882" s="176"/>
      <c r="S2882" s="176"/>
      <c r="T2882" s="176"/>
      <c r="U2882" s="176"/>
      <c r="V2882" s="176"/>
      <c r="W2882" s="176"/>
      <c r="X2882" s="176"/>
      <c r="Y2882" s="176"/>
    </row>
    <row r="2883" spans="1:25">
      <c r="A2883" s="91"/>
      <c r="B2883" s="176"/>
      <c r="C2883" s="176"/>
      <c r="D2883" s="176"/>
      <c r="E2883" s="176"/>
      <c r="F2883" s="176"/>
      <c r="G2883" s="176"/>
      <c r="H2883" s="176"/>
      <c r="I2883" s="176"/>
      <c r="J2883" s="176"/>
      <c r="K2883" s="176"/>
      <c r="L2883" s="176"/>
      <c r="M2883" s="176"/>
      <c r="N2883" s="176"/>
      <c r="O2883" s="176"/>
      <c r="P2883" s="176"/>
      <c r="Q2883" s="176"/>
      <c r="R2883" s="176"/>
      <c r="S2883" s="176"/>
      <c r="T2883" s="176"/>
      <c r="U2883" s="176"/>
      <c r="V2883" s="176"/>
      <c r="W2883" s="176"/>
      <c r="X2883" s="176"/>
      <c r="Y2883" s="176"/>
    </row>
    <row r="2884" spans="1:25">
      <c r="A2884" s="91"/>
      <c r="B2884" s="176"/>
      <c r="C2884" s="176"/>
      <c r="D2884" s="176"/>
      <c r="E2884" s="176"/>
      <c r="F2884" s="176"/>
      <c r="G2884" s="176"/>
      <c r="H2884" s="176"/>
      <c r="I2884" s="176"/>
      <c r="J2884" s="176"/>
      <c r="K2884" s="176"/>
      <c r="L2884" s="176"/>
      <c r="M2884" s="176"/>
      <c r="N2884" s="176"/>
      <c r="O2884" s="176"/>
      <c r="P2884" s="176"/>
      <c r="Q2884" s="176"/>
      <c r="R2884" s="176"/>
      <c r="S2884" s="176"/>
      <c r="T2884" s="176"/>
      <c r="U2884" s="176"/>
      <c r="V2884" s="176"/>
      <c r="W2884" s="176"/>
      <c r="X2884" s="176"/>
      <c r="Y2884" s="176"/>
    </row>
    <row r="2885" spans="1:25">
      <c r="A2885" s="91"/>
      <c r="B2885" s="176"/>
      <c r="C2885" s="176"/>
      <c r="D2885" s="176"/>
      <c r="E2885" s="176"/>
      <c r="F2885" s="176"/>
      <c r="G2885" s="176"/>
      <c r="H2885" s="176"/>
      <c r="I2885" s="176"/>
      <c r="J2885" s="176"/>
      <c r="K2885" s="176"/>
      <c r="L2885" s="176"/>
      <c r="M2885" s="176"/>
      <c r="N2885" s="176"/>
      <c r="O2885" s="176"/>
      <c r="P2885" s="176"/>
      <c r="Q2885" s="176"/>
      <c r="R2885" s="176"/>
      <c r="S2885" s="176"/>
      <c r="T2885" s="176"/>
      <c r="U2885" s="176"/>
      <c r="V2885" s="176"/>
      <c r="W2885" s="176"/>
      <c r="X2885" s="176"/>
      <c r="Y2885" s="176"/>
    </row>
    <row r="2886" spans="1:25">
      <c r="A2886" s="91"/>
      <c r="B2886" s="176"/>
      <c r="C2886" s="176"/>
      <c r="D2886" s="176"/>
      <c r="E2886" s="176"/>
      <c r="F2886" s="176"/>
      <c r="G2886" s="176"/>
      <c r="H2886" s="176"/>
      <c r="I2886" s="176"/>
      <c r="J2886" s="176"/>
      <c r="K2886" s="176"/>
      <c r="L2886" s="176"/>
      <c r="M2886" s="176"/>
      <c r="N2886" s="176"/>
      <c r="O2886" s="176"/>
      <c r="P2886" s="176"/>
      <c r="Q2886" s="176"/>
      <c r="R2886" s="176"/>
      <c r="S2886" s="176"/>
      <c r="T2886" s="176"/>
      <c r="U2886" s="176"/>
      <c r="V2886" s="176"/>
      <c r="W2886" s="176"/>
      <c r="X2886" s="176"/>
      <c r="Y2886" s="176"/>
    </row>
    <row r="2887" spans="1:25">
      <c r="A2887" s="91"/>
      <c r="B2887" s="176"/>
      <c r="C2887" s="176"/>
      <c r="D2887" s="176"/>
      <c r="E2887" s="176"/>
      <c r="F2887" s="176"/>
      <c r="G2887" s="176"/>
      <c r="H2887" s="176"/>
      <c r="I2887" s="176"/>
      <c r="J2887" s="176"/>
      <c r="K2887" s="176"/>
      <c r="L2887" s="176"/>
      <c r="M2887" s="176"/>
      <c r="N2887" s="176"/>
      <c r="O2887" s="176"/>
      <c r="P2887" s="176"/>
      <c r="Q2887" s="176"/>
      <c r="R2887" s="176"/>
      <c r="S2887" s="176"/>
      <c r="T2887" s="176"/>
      <c r="U2887" s="176"/>
      <c r="V2887" s="176"/>
      <c r="W2887" s="176"/>
      <c r="X2887" s="176"/>
      <c r="Y2887" s="176"/>
    </row>
    <row r="2888" spans="1:25">
      <c r="A2888" s="91"/>
      <c r="B2888" s="176"/>
      <c r="C2888" s="176"/>
      <c r="D2888" s="176"/>
      <c r="E2888" s="176"/>
      <c r="F2888" s="176"/>
      <c r="G2888" s="176"/>
      <c r="H2888" s="176"/>
      <c r="I2888" s="176"/>
      <c r="J2888" s="176"/>
      <c r="K2888" s="176"/>
      <c r="L2888" s="176"/>
      <c r="M2888" s="176"/>
      <c r="N2888" s="176"/>
      <c r="O2888" s="176"/>
      <c r="P2888" s="176"/>
      <c r="Q2888" s="176"/>
      <c r="R2888" s="176"/>
      <c r="S2888" s="176"/>
      <c r="T2888" s="176"/>
      <c r="U2888" s="176"/>
      <c r="V2888" s="176"/>
      <c r="W2888" s="176"/>
      <c r="X2888" s="176"/>
      <c r="Y2888" s="176"/>
    </row>
    <row r="2889" spans="1:25">
      <c r="A2889" s="91"/>
      <c r="B2889" s="176"/>
      <c r="C2889" s="176"/>
      <c r="D2889" s="176"/>
      <c r="E2889" s="176"/>
      <c r="F2889" s="176"/>
      <c r="G2889" s="176"/>
      <c r="H2889" s="176"/>
      <c r="I2889" s="176"/>
      <c r="J2889" s="176"/>
      <c r="K2889" s="176"/>
      <c r="L2889" s="176"/>
      <c r="M2889" s="176"/>
      <c r="N2889" s="176"/>
      <c r="O2889" s="176"/>
      <c r="P2889" s="176"/>
      <c r="Q2889" s="176"/>
      <c r="R2889" s="176"/>
      <c r="S2889" s="176"/>
      <c r="T2889" s="176"/>
      <c r="U2889" s="176"/>
      <c r="V2889" s="176"/>
      <c r="W2889" s="176"/>
      <c r="X2889" s="176"/>
      <c r="Y2889" s="176"/>
    </row>
    <row r="2890" spans="1:25">
      <c r="A2890" s="91"/>
      <c r="B2890" s="176"/>
      <c r="C2890" s="176"/>
      <c r="D2890" s="176"/>
      <c r="E2890" s="176"/>
      <c r="F2890" s="176"/>
      <c r="G2890" s="176"/>
      <c r="H2890" s="176"/>
      <c r="I2890" s="176"/>
      <c r="J2890" s="176"/>
      <c r="K2890" s="176"/>
      <c r="L2890" s="176"/>
      <c r="M2890" s="176"/>
      <c r="N2890" s="176"/>
      <c r="O2890" s="176"/>
      <c r="P2890" s="176"/>
      <c r="Q2890" s="176"/>
      <c r="R2890" s="176"/>
      <c r="S2890" s="176"/>
      <c r="T2890" s="176"/>
      <c r="U2890" s="176"/>
      <c r="V2890" s="176"/>
      <c r="W2890" s="176"/>
      <c r="X2890" s="176"/>
      <c r="Y2890" s="176"/>
    </row>
    <row r="2891" spans="1:25">
      <c r="A2891" s="91"/>
      <c r="B2891" s="176"/>
      <c r="C2891" s="176"/>
      <c r="D2891" s="176"/>
      <c r="E2891" s="176"/>
      <c r="F2891" s="176"/>
      <c r="G2891" s="176"/>
      <c r="H2891" s="176"/>
      <c r="I2891" s="176"/>
      <c r="J2891" s="176"/>
      <c r="K2891" s="176"/>
      <c r="L2891" s="176"/>
      <c r="M2891" s="176"/>
      <c r="N2891" s="176"/>
      <c r="O2891" s="176"/>
      <c r="P2891" s="176"/>
      <c r="Q2891" s="176"/>
      <c r="R2891" s="176"/>
      <c r="S2891" s="176"/>
      <c r="T2891" s="176"/>
      <c r="U2891" s="176"/>
      <c r="V2891" s="176"/>
      <c r="W2891" s="176"/>
      <c r="X2891" s="176"/>
      <c r="Y2891" s="176"/>
    </row>
    <row r="2892" spans="1:25">
      <c r="A2892" s="91"/>
      <c r="B2892" s="176"/>
      <c r="C2892" s="176"/>
      <c r="D2892" s="176"/>
      <c r="E2892" s="176"/>
      <c r="F2892" s="176"/>
      <c r="G2892" s="176"/>
      <c r="H2892" s="176"/>
      <c r="I2892" s="176"/>
      <c r="J2892" s="176"/>
      <c r="K2892" s="176"/>
      <c r="L2892" s="176"/>
      <c r="M2892" s="176"/>
      <c r="N2892" s="176"/>
      <c r="O2892" s="176"/>
      <c r="P2892" s="176"/>
      <c r="Q2892" s="176"/>
      <c r="R2892" s="176"/>
      <c r="S2892" s="176"/>
      <c r="T2892" s="176"/>
      <c r="U2892" s="176"/>
      <c r="V2892" s="176"/>
      <c r="W2892" s="176"/>
      <c r="X2892" s="176"/>
      <c r="Y2892" s="176"/>
    </row>
    <row r="2893" spans="1:25">
      <c r="A2893" s="91"/>
      <c r="B2893" s="176"/>
      <c r="C2893" s="176"/>
      <c r="D2893" s="176"/>
      <c r="E2893" s="176"/>
      <c r="F2893" s="176"/>
      <c r="G2893" s="176"/>
      <c r="H2893" s="176"/>
      <c r="I2893" s="176"/>
      <c r="J2893" s="176"/>
      <c r="K2893" s="176"/>
      <c r="L2893" s="176"/>
      <c r="M2893" s="176"/>
      <c r="N2893" s="176"/>
      <c r="O2893" s="176"/>
      <c r="P2893" s="176"/>
      <c r="Q2893" s="176"/>
      <c r="R2893" s="176"/>
      <c r="S2893" s="176"/>
      <c r="T2893" s="176"/>
      <c r="U2893" s="176"/>
      <c r="V2893" s="176"/>
      <c r="W2893" s="176"/>
      <c r="X2893" s="176"/>
      <c r="Y2893" s="176"/>
    </row>
    <row r="2894" spans="1:25">
      <c r="A2894" s="91"/>
      <c r="B2894" s="176"/>
      <c r="C2894" s="176"/>
      <c r="D2894" s="176"/>
      <c r="E2894" s="176"/>
      <c r="F2894" s="176"/>
      <c r="G2894" s="176"/>
      <c r="H2894" s="176"/>
      <c r="I2894" s="176"/>
      <c r="J2894" s="176"/>
      <c r="K2894" s="176"/>
      <c r="L2894" s="176"/>
      <c r="M2894" s="176"/>
      <c r="N2894" s="176"/>
      <c r="O2894" s="176"/>
      <c r="P2894" s="176"/>
      <c r="Q2894" s="176"/>
      <c r="R2894" s="176"/>
      <c r="S2894" s="176"/>
      <c r="T2894" s="176"/>
      <c r="U2894" s="176"/>
      <c r="V2894" s="176"/>
      <c r="W2894" s="176"/>
      <c r="X2894" s="176"/>
      <c r="Y2894" s="176"/>
    </row>
    <row r="2895" spans="1:25">
      <c r="A2895" s="91"/>
      <c r="B2895" s="176"/>
      <c r="C2895" s="176"/>
      <c r="D2895" s="176"/>
      <c r="E2895" s="176"/>
      <c r="F2895" s="176"/>
      <c r="G2895" s="176"/>
      <c r="H2895" s="176"/>
      <c r="I2895" s="176"/>
      <c r="J2895" s="176"/>
      <c r="K2895" s="176"/>
      <c r="L2895" s="176"/>
      <c r="M2895" s="176"/>
      <c r="N2895" s="176"/>
      <c r="O2895" s="176"/>
      <c r="P2895" s="176"/>
      <c r="Q2895" s="176"/>
      <c r="R2895" s="176"/>
      <c r="S2895" s="176"/>
      <c r="T2895" s="176"/>
      <c r="U2895" s="176"/>
      <c r="V2895" s="176"/>
      <c r="W2895" s="176"/>
      <c r="X2895" s="176"/>
      <c r="Y2895" s="176"/>
    </row>
    <row r="2896" spans="1:25">
      <c r="A2896" s="91"/>
      <c r="B2896" s="176"/>
      <c r="C2896" s="176"/>
      <c r="D2896" s="176"/>
      <c r="E2896" s="176"/>
      <c r="F2896" s="176"/>
      <c r="G2896" s="176"/>
      <c r="H2896" s="176"/>
      <c r="I2896" s="176"/>
      <c r="J2896" s="176"/>
      <c r="K2896" s="176"/>
      <c r="L2896" s="176"/>
      <c r="M2896" s="176"/>
      <c r="N2896" s="176"/>
      <c r="O2896" s="176"/>
      <c r="P2896" s="176"/>
      <c r="Q2896" s="176"/>
      <c r="R2896" s="176"/>
      <c r="S2896" s="176"/>
      <c r="T2896" s="176"/>
      <c r="U2896" s="176"/>
      <c r="V2896" s="176"/>
      <c r="W2896" s="176"/>
      <c r="X2896" s="176"/>
      <c r="Y2896" s="176"/>
    </row>
    <row r="2897" spans="1:25">
      <c r="A2897" s="91"/>
      <c r="B2897" s="176"/>
      <c r="C2897" s="176"/>
      <c r="D2897" s="176"/>
      <c r="E2897" s="176"/>
      <c r="F2897" s="176"/>
      <c r="G2897" s="176"/>
      <c r="H2897" s="176"/>
      <c r="I2897" s="176"/>
      <c r="J2897" s="176"/>
      <c r="K2897" s="176"/>
      <c r="L2897" s="176"/>
      <c r="M2897" s="176"/>
      <c r="N2897" s="176"/>
      <c r="O2897" s="176"/>
      <c r="P2897" s="176"/>
      <c r="Q2897" s="176"/>
      <c r="R2897" s="176"/>
      <c r="S2897" s="176"/>
      <c r="T2897" s="176"/>
      <c r="U2897" s="176"/>
      <c r="V2897" s="176"/>
      <c r="W2897" s="176"/>
      <c r="X2897" s="176"/>
      <c r="Y2897" s="176"/>
    </row>
    <row r="2898" spans="1:25">
      <c r="A2898" s="91"/>
      <c r="B2898" s="176"/>
      <c r="C2898" s="176"/>
      <c r="D2898" s="176"/>
      <c r="E2898" s="176"/>
      <c r="F2898" s="176"/>
      <c r="G2898" s="176"/>
      <c r="H2898" s="176"/>
      <c r="I2898" s="176"/>
      <c r="J2898" s="176"/>
      <c r="K2898" s="176"/>
      <c r="L2898" s="176"/>
      <c r="M2898" s="176"/>
      <c r="N2898" s="176"/>
      <c r="O2898" s="176"/>
      <c r="P2898" s="176"/>
      <c r="Q2898" s="176"/>
      <c r="R2898" s="176"/>
      <c r="S2898" s="176"/>
      <c r="T2898" s="176"/>
      <c r="U2898" s="176"/>
      <c r="V2898" s="176"/>
      <c r="W2898" s="176"/>
      <c r="X2898" s="176"/>
      <c r="Y2898" s="176"/>
    </row>
    <row r="2899" spans="1:25">
      <c r="A2899" s="91"/>
      <c r="B2899" s="176"/>
      <c r="C2899" s="176"/>
      <c r="D2899" s="176"/>
      <c r="E2899" s="176"/>
      <c r="F2899" s="176"/>
      <c r="G2899" s="176"/>
      <c r="H2899" s="176"/>
      <c r="I2899" s="176"/>
      <c r="J2899" s="176"/>
      <c r="K2899" s="176"/>
      <c r="L2899" s="176"/>
      <c r="M2899" s="176"/>
      <c r="N2899" s="176"/>
      <c r="O2899" s="176"/>
      <c r="P2899" s="176"/>
      <c r="Q2899" s="176"/>
      <c r="R2899" s="176"/>
      <c r="S2899" s="176"/>
      <c r="T2899" s="176"/>
      <c r="U2899" s="176"/>
      <c r="V2899" s="176"/>
      <c r="W2899" s="176"/>
      <c r="X2899" s="176"/>
      <c r="Y2899" s="176"/>
    </row>
    <row r="2900" spans="1:25">
      <c r="A2900" s="91"/>
      <c r="B2900" s="176"/>
      <c r="C2900" s="176"/>
      <c r="D2900" s="176"/>
      <c r="E2900" s="176"/>
      <c r="F2900" s="176"/>
      <c r="G2900" s="176"/>
      <c r="H2900" s="176"/>
      <c r="I2900" s="176"/>
      <c r="J2900" s="176"/>
      <c r="K2900" s="176"/>
      <c r="L2900" s="176"/>
      <c r="M2900" s="176"/>
      <c r="N2900" s="176"/>
      <c r="O2900" s="176"/>
      <c r="P2900" s="176"/>
      <c r="Q2900" s="176"/>
      <c r="R2900" s="176"/>
      <c r="S2900" s="176"/>
      <c r="T2900" s="176"/>
      <c r="U2900" s="176"/>
      <c r="V2900" s="176"/>
      <c r="W2900" s="176"/>
      <c r="X2900" s="176"/>
      <c r="Y2900" s="176"/>
    </row>
    <row r="2901" spans="1:25">
      <c r="A2901" s="91"/>
      <c r="B2901" s="176"/>
      <c r="C2901" s="176"/>
      <c r="D2901" s="176"/>
      <c r="E2901" s="176"/>
      <c r="F2901" s="176"/>
      <c r="G2901" s="176"/>
      <c r="H2901" s="176"/>
      <c r="I2901" s="176"/>
      <c r="J2901" s="176"/>
      <c r="K2901" s="176"/>
      <c r="L2901" s="176"/>
      <c r="M2901" s="176"/>
      <c r="N2901" s="176"/>
      <c r="O2901" s="176"/>
      <c r="P2901" s="176"/>
      <c r="Q2901" s="176"/>
      <c r="R2901" s="176"/>
      <c r="S2901" s="176"/>
      <c r="T2901" s="176"/>
      <c r="U2901" s="176"/>
      <c r="V2901" s="176"/>
      <c r="W2901" s="176"/>
      <c r="X2901" s="176"/>
      <c r="Y2901" s="176"/>
    </row>
    <row r="2902" spans="1:25">
      <c r="A2902" s="91"/>
      <c r="B2902" s="176"/>
      <c r="C2902" s="176"/>
      <c r="D2902" s="176"/>
      <c r="E2902" s="176"/>
      <c r="F2902" s="176"/>
      <c r="G2902" s="176"/>
      <c r="H2902" s="176"/>
      <c r="I2902" s="176"/>
      <c r="J2902" s="176"/>
      <c r="K2902" s="176"/>
      <c r="L2902" s="176"/>
      <c r="M2902" s="176"/>
      <c r="N2902" s="176"/>
      <c r="O2902" s="176"/>
      <c r="P2902" s="176"/>
      <c r="Q2902" s="176"/>
      <c r="R2902" s="176"/>
      <c r="S2902" s="176"/>
      <c r="T2902" s="176"/>
      <c r="U2902" s="176"/>
      <c r="V2902" s="176"/>
      <c r="W2902" s="176"/>
      <c r="X2902" s="176"/>
      <c r="Y2902" s="176"/>
    </row>
    <row r="2903" spans="1:25">
      <c r="A2903" s="91"/>
      <c r="B2903" s="176"/>
      <c r="C2903" s="176"/>
      <c r="D2903" s="176"/>
      <c r="E2903" s="176"/>
      <c r="F2903" s="176"/>
      <c r="G2903" s="176"/>
      <c r="H2903" s="176"/>
      <c r="I2903" s="176"/>
      <c r="J2903" s="176"/>
      <c r="K2903" s="176"/>
      <c r="L2903" s="176"/>
      <c r="M2903" s="176"/>
      <c r="N2903" s="176"/>
      <c r="O2903" s="176"/>
      <c r="P2903" s="176"/>
      <c r="Q2903" s="176"/>
      <c r="R2903" s="176"/>
      <c r="S2903" s="176"/>
      <c r="T2903" s="176"/>
      <c r="U2903" s="176"/>
      <c r="V2903" s="176"/>
      <c r="W2903" s="176"/>
      <c r="X2903" s="176"/>
      <c r="Y2903" s="176"/>
    </row>
    <row r="2904" spans="1:25">
      <c r="A2904" s="91"/>
      <c r="B2904" s="176"/>
      <c r="C2904" s="176"/>
      <c r="D2904" s="176"/>
      <c r="E2904" s="176"/>
      <c r="F2904" s="176"/>
      <c r="G2904" s="176"/>
      <c r="H2904" s="176"/>
      <c r="I2904" s="176"/>
      <c r="J2904" s="176"/>
      <c r="K2904" s="176"/>
      <c r="L2904" s="176"/>
      <c r="M2904" s="176"/>
      <c r="N2904" s="176"/>
      <c r="O2904" s="176"/>
      <c r="P2904" s="176"/>
      <c r="Q2904" s="176"/>
      <c r="R2904" s="176"/>
      <c r="S2904" s="176"/>
      <c r="T2904" s="176"/>
      <c r="U2904" s="176"/>
      <c r="V2904" s="176"/>
      <c r="W2904" s="176"/>
      <c r="X2904" s="176"/>
      <c r="Y2904" s="176"/>
    </row>
    <row r="2905" spans="1:25">
      <c r="A2905" s="91"/>
      <c r="B2905" s="176"/>
      <c r="C2905" s="176"/>
      <c r="D2905" s="176"/>
      <c r="E2905" s="176"/>
      <c r="F2905" s="176"/>
      <c r="G2905" s="176"/>
      <c r="H2905" s="176"/>
      <c r="I2905" s="176"/>
      <c r="J2905" s="176"/>
      <c r="K2905" s="176"/>
      <c r="L2905" s="176"/>
      <c r="M2905" s="176"/>
      <c r="N2905" s="176"/>
      <c r="O2905" s="176"/>
      <c r="P2905" s="176"/>
      <c r="Q2905" s="176"/>
      <c r="R2905" s="176"/>
      <c r="S2905" s="176"/>
      <c r="T2905" s="176"/>
      <c r="U2905" s="176"/>
      <c r="V2905" s="176"/>
      <c r="W2905" s="176"/>
      <c r="X2905" s="176"/>
      <c r="Y2905" s="176"/>
    </row>
    <row r="2906" spans="1:25">
      <c r="A2906" s="91"/>
      <c r="B2906" s="176"/>
      <c r="C2906" s="176"/>
      <c r="D2906" s="176"/>
      <c r="E2906" s="176"/>
      <c r="F2906" s="176"/>
      <c r="G2906" s="176"/>
      <c r="H2906" s="176"/>
      <c r="I2906" s="176"/>
      <c r="J2906" s="176"/>
      <c r="K2906" s="176"/>
      <c r="L2906" s="176"/>
      <c r="M2906" s="176"/>
      <c r="N2906" s="176"/>
      <c r="O2906" s="176"/>
      <c r="P2906" s="176"/>
      <c r="Q2906" s="176"/>
      <c r="R2906" s="176"/>
      <c r="S2906" s="176"/>
      <c r="T2906" s="176"/>
      <c r="U2906" s="176"/>
      <c r="V2906" s="176"/>
      <c r="W2906" s="176"/>
      <c r="X2906" s="176"/>
      <c r="Y2906" s="176"/>
    </row>
    <row r="2907" spans="1:25">
      <c r="A2907" s="91"/>
      <c r="B2907" s="176"/>
      <c r="C2907" s="176"/>
      <c r="D2907" s="176"/>
      <c r="E2907" s="176"/>
      <c r="F2907" s="176"/>
      <c r="G2907" s="176"/>
      <c r="H2907" s="176"/>
      <c r="I2907" s="176"/>
      <c r="J2907" s="176"/>
      <c r="K2907" s="176"/>
      <c r="L2907" s="176"/>
      <c r="M2907" s="176"/>
      <c r="N2907" s="176"/>
      <c r="O2907" s="176"/>
      <c r="P2907" s="176"/>
      <c r="Q2907" s="176"/>
      <c r="R2907" s="176"/>
      <c r="S2907" s="176"/>
      <c r="T2907" s="176"/>
      <c r="U2907" s="176"/>
      <c r="V2907" s="176"/>
      <c r="W2907" s="176"/>
      <c r="X2907" s="176"/>
      <c r="Y2907" s="176"/>
    </row>
    <row r="2908" spans="1:25">
      <c r="A2908" s="91"/>
      <c r="B2908" s="176"/>
      <c r="C2908" s="176"/>
      <c r="D2908" s="176"/>
      <c r="E2908" s="176"/>
      <c r="F2908" s="176"/>
      <c r="G2908" s="176"/>
      <c r="H2908" s="176"/>
      <c r="I2908" s="176"/>
      <c r="J2908" s="176"/>
      <c r="K2908" s="176"/>
      <c r="L2908" s="176"/>
      <c r="M2908" s="176"/>
      <c r="N2908" s="176"/>
      <c r="O2908" s="176"/>
      <c r="P2908" s="176"/>
      <c r="Q2908" s="176"/>
      <c r="R2908" s="176"/>
      <c r="S2908" s="176"/>
      <c r="T2908" s="176"/>
      <c r="U2908" s="176"/>
      <c r="V2908" s="176"/>
      <c r="W2908" s="176"/>
      <c r="X2908" s="176"/>
      <c r="Y2908" s="176"/>
    </row>
    <row r="2909" spans="1:25">
      <c r="A2909" s="91"/>
      <c r="B2909" s="176"/>
      <c r="C2909" s="176"/>
      <c r="D2909" s="176"/>
      <c r="E2909" s="176"/>
      <c r="F2909" s="176"/>
      <c r="G2909" s="176"/>
      <c r="H2909" s="176"/>
      <c r="I2909" s="176"/>
      <c r="J2909" s="176"/>
      <c r="K2909" s="176"/>
      <c r="L2909" s="176"/>
      <c r="M2909" s="176"/>
      <c r="N2909" s="176"/>
      <c r="O2909" s="176"/>
      <c r="P2909" s="176"/>
      <c r="Q2909" s="176"/>
      <c r="R2909" s="176"/>
      <c r="S2909" s="176"/>
      <c r="T2909" s="176"/>
      <c r="U2909" s="176"/>
      <c r="V2909" s="176"/>
      <c r="W2909" s="176"/>
      <c r="X2909" s="176"/>
      <c r="Y2909" s="176"/>
    </row>
    <row r="2910" spans="1:25">
      <c r="A2910" s="91"/>
      <c r="B2910" s="176"/>
      <c r="C2910" s="176"/>
      <c r="D2910" s="176"/>
      <c r="E2910" s="176"/>
      <c r="F2910" s="176"/>
      <c r="G2910" s="176"/>
      <c r="H2910" s="176"/>
      <c r="I2910" s="176"/>
      <c r="J2910" s="176"/>
      <c r="K2910" s="176"/>
      <c r="L2910" s="176"/>
      <c r="M2910" s="176"/>
      <c r="N2910" s="176"/>
      <c r="O2910" s="176"/>
      <c r="P2910" s="176"/>
      <c r="Q2910" s="176"/>
      <c r="R2910" s="176"/>
      <c r="S2910" s="176"/>
      <c r="T2910" s="176"/>
      <c r="U2910" s="176"/>
      <c r="V2910" s="176"/>
      <c r="W2910" s="176"/>
      <c r="X2910" s="176"/>
      <c r="Y2910" s="176"/>
    </row>
    <row r="2911" spans="1:25">
      <c r="A2911" s="91"/>
      <c r="B2911" s="176"/>
      <c r="C2911" s="176"/>
      <c r="D2911" s="176"/>
      <c r="E2911" s="176"/>
      <c r="F2911" s="176"/>
      <c r="G2911" s="176"/>
      <c r="H2911" s="176"/>
      <c r="I2911" s="176"/>
      <c r="J2911" s="176"/>
      <c r="K2911" s="176"/>
      <c r="L2911" s="176"/>
      <c r="M2911" s="176"/>
      <c r="N2911" s="176"/>
      <c r="O2911" s="176"/>
      <c r="P2911" s="176"/>
      <c r="Q2911" s="176"/>
      <c r="R2911" s="176"/>
      <c r="S2911" s="176"/>
      <c r="T2911" s="176"/>
      <c r="U2911" s="176"/>
      <c r="V2911" s="176"/>
      <c r="W2911" s="176"/>
      <c r="X2911" s="176"/>
      <c r="Y2911" s="176"/>
    </row>
    <row r="2912" spans="1:25">
      <c r="A2912" s="91"/>
      <c r="B2912" s="176"/>
      <c r="C2912" s="176"/>
      <c r="D2912" s="176"/>
      <c r="E2912" s="176"/>
      <c r="F2912" s="176"/>
      <c r="G2912" s="176"/>
      <c r="H2912" s="176"/>
      <c r="I2912" s="176"/>
      <c r="J2912" s="176"/>
      <c r="K2912" s="176"/>
      <c r="L2912" s="176"/>
      <c r="M2912" s="176"/>
      <c r="N2912" s="176"/>
      <c r="O2912" s="176"/>
      <c r="P2912" s="176"/>
      <c r="Q2912" s="176"/>
      <c r="R2912" s="176"/>
      <c r="S2912" s="176"/>
      <c r="T2912" s="176"/>
      <c r="U2912" s="176"/>
      <c r="V2912" s="176"/>
      <c r="W2912" s="176"/>
      <c r="X2912" s="176"/>
      <c r="Y2912" s="176"/>
    </row>
    <row r="2913" spans="1:25">
      <c r="A2913" s="91"/>
      <c r="B2913" s="176"/>
      <c r="C2913" s="176"/>
      <c r="D2913" s="176"/>
      <c r="E2913" s="176"/>
      <c r="F2913" s="176"/>
      <c r="G2913" s="176"/>
      <c r="H2913" s="176"/>
      <c r="I2913" s="176"/>
      <c r="J2913" s="176"/>
      <c r="K2913" s="176"/>
      <c r="L2913" s="176"/>
      <c r="M2913" s="176"/>
      <c r="N2913" s="176"/>
      <c r="O2913" s="176"/>
      <c r="P2913" s="176"/>
      <c r="Q2913" s="176"/>
      <c r="R2913" s="176"/>
      <c r="S2913" s="176"/>
      <c r="T2913" s="176"/>
      <c r="U2913" s="176"/>
      <c r="V2913" s="176"/>
      <c r="W2913" s="176"/>
      <c r="X2913" s="176"/>
      <c r="Y2913" s="176"/>
    </row>
    <row r="2914" spans="1:25">
      <c r="A2914" s="91"/>
      <c r="B2914" s="176"/>
      <c r="C2914" s="176"/>
      <c r="D2914" s="176"/>
      <c r="E2914" s="176"/>
      <c r="F2914" s="176"/>
      <c r="G2914" s="176"/>
      <c r="H2914" s="176"/>
      <c r="I2914" s="176"/>
      <c r="J2914" s="176"/>
      <c r="K2914" s="176"/>
      <c r="L2914" s="176"/>
      <c r="M2914" s="176"/>
      <c r="N2914" s="176"/>
      <c r="O2914" s="176"/>
      <c r="P2914" s="176"/>
      <c r="Q2914" s="176"/>
      <c r="R2914" s="176"/>
      <c r="S2914" s="176"/>
      <c r="T2914" s="176"/>
      <c r="U2914" s="176"/>
      <c r="V2914" s="176"/>
      <c r="W2914" s="176"/>
      <c r="X2914" s="176"/>
      <c r="Y2914" s="176"/>
    </row>
    <row r="2915" spans="1:25">
      <c r="A2915" s="91"/>
      <c r="B2915" s="176"/>
      <c r="C2915" s="176"/>
      <c r="D2915" s="176"/>
      <c r="E2915" s="176"/>
      <c r="F2915" s="176"/>
      <c r="G2915" s="176"/>
      <c r="H2915" s="176"/>
      <c r="I2915" s="176"/>
      <c r="J2915" s="176"/>
      <c r="K2915" s="176"/>
      <c r="L2915" s="176"/>
      <c r="M2915" s="176"/>
      <c r="N2915" s="176"/>
      <c r="O2915" s="176"/>
      <c r="P2915" s="176"/>
      <c r="Q2915" s="176"/>
      <c r="R2915" s="176"/>
      <c r="S2915" s="176"/>
      <c r="T2915" s="176"/>
      <c r="U2915" s="176"/>
      <c r="V2915" s="176"/>
      <c r="W2915" s="176"/>
      <c r="X2915" s="176"/>
      <c r="Y2915" s="176"/>
    </row>
    <row r="2916" spans="1:25">
      <c r="A2916" s="91"/>
      <c r="B2916" s="176"/>
      <c r="C2916" s="176"/>
      <c r="D2916" s="176"/>
      <c r="E2916" s="176"/>
      <c r="F2916" s="176"/>
      <c r="G2916" s="176"/>
      <c r="H2916" s="176"/>
      <c r="I2916" s="176"/>
      <c r="J2916" s="176"/>
      <c r="K2916" s="176"/>
      <c r="L2916" s="176"/>
      <c r="M2916" s="176"/>
      <c r="N2916" s="176"/>
      <c r="O2916" s="176"/>
      <c r="P2916" s="176"/>
      <c r="Q2916" s="176"/>
      <c r="R2916" s="176"/>
      <c r="S2916" s="176"/>
      <c r="T2916" s="176"/>
      <c r="U2916" s="176"/>
      <c r="V2916" s="176"/>
      <c r="W2916" s="176"/>
      <c r="X2916" s="176"/>
      <c r="Y2916" s="176"/>
    </row>
    <row r="2917" spans="1:25">
      <c r="A2917" s="91"/>
      <c r="B2917" s="176"/>
      <c r="C2917" s="176"/>
      <c r="D2917" s="176"/>
      <c r="E2917" s="176"/>
      <c r="F2917" s="176"/>
      <c r="G2917" s="176"/>
      <c r="H2917" s="176"/>
      <c r="I2917" s="176"/>
      <c r="J2917" s="176"/>
      <c r="K2917" s="176"/>
      <c r="L2917" s="176"/>
      <c r="M2917" s="176"/>
      <c r="N2917" s="176"/>
      <c r="O2917" s="176"/>
      <c r="P2917" s="176"/>
      <c r="Q2917" s="176"/>
      <c r="R2917" s="176"/>
      <c r="S2917" s="176"/>
      <c r="T2917" s="176"/>
      <c r="U2917" s="176"/>
      <c r="V2917" s="176"/>
      <c r="W2917" s="176"/>
      <c r="X2917" s="176"/>
      <c r="Y2917" s="176"/>
    </row>
    <row r="2918" spans="1:25">
      <c r="A2918" s="91"/>
      <c r="B2918" s="176"/>
      <c r="C2918" s="176"/>
      <c r="D2918" s="176"/>
      <c r="E2918" s="176"/>
      <c r="F2918" s="176"/>
      <c r="G2918" s="176"/>
      <c r="H2918" s="176"/>
      <c r="I2918" s="176"/>
      <c r="J2918" s="176"/>
      <c r="K2918" s="176"/>
      <c r="L2918" s="176"/>
      <c r="M2918" s="176"/>
      <c r="N2918" s="176"/>
      <c r="O2918" s="176"/>
      <c r="P2918" s="176"/>
      <c r="Q2918" s="176"/>
      <c r="R2918" s="176"/>
      <c r="S2918" s="176"/>
      <c r="T2918" s="176"/>
      <c r="U2918" s="176"/>
      <c r="V2918" s="176"/>
      <c r="W2918" s="176"/>
      <c r="X2918" s="176"/>
      <c r="Y2918" s="176"/>
    </row>
    <row r="2919" spans="1:25">
      <c r="A2919" s="91"/>
      <c r="B2919" s="176"/>
      <c r="C2919" s="176"/>
      <c r="D2919" s="176"/>
      <c r="E2919" s="176"/>
      <c r="F2919" s="176"/>
      <c r="G2919" s="176"/>
      <c r="H2919" s="176"/>
      <c r="I2919" s="176"/>
      <c r="J2919" s="176"/>
      <c r="K2919" s="176"/>
      <c r="L2919" s="176"/>
      <c r="M2919" s="176"/>
      <c r="N2919" s="176"/>
      <c r="O2919" s="176"/>
      <c r="P2919" s="176"/>
      <c r="Q2919" s="176"/>
      <c r="R2919" s="176"/>
      <c r="S2919" s="176"/>
      <c r="T2919" s="176"/>
      <c r="U2919" s="176"/>
      <c r="V2919" s="176"/>
      <c r="W2919" s="176"/>
      <c r="X2919" s="176"/>
      <c r="Y2919" s="176"/>
    </row>
    <row r="2920" spans="1:25">
      <c r="A2920" s="91"/>
      <c r="B2920" s="176"/>
      <c r="C2920" s="176"/>
      <c r="D2920" s="176"/>
      <c r="E2920" s="176"/>
      <c r="F2920" s="176"/>
      <c r="G2920" s="176"/>
      <c r="H2920" s="176"/>
      <c r="I2920" s="176"/>
      <c r="J2920" s="176"/>
      <c r="K2920" s="176"/>
      <c r="L2920" s="176"/>
      <c r="M2920" s="176"/>
      <c r="N2920" s="176"/>
      <c r="O2920" s="176"/>
      <c r="P2920" s="176"/>
      <c r="Q2920" s="176"/>
      <c r="R2920" s="176"/>
      <c r="S2920" s="176"/>
      <c r="T2920" s="176"/>
      <c r="U2920" s="176"/>
      <c r="V2920" s="176"/>
      <c r="W2920" s="176"/>
      <c r="X2920" s="176"/>
      <c r="Y2920" s="176"/>
    </row>
    <row r="2921" spans="1:25">
      <c r="A2921" s="91"/>
      <c r="B2921" s="176"/>
      <c r="C2921" s="176"/>
      <c r="D2921" s="176"/>
      <c r="E2921" s="176"/>
      <c r="F2921" s="176"/>
      <c r="G2921" s="176"/>
      <c r="H2921" s="176"/>
      <c r="I2921" s="176"/>
      <c r="J2921" s="176"/>
      <c r="K2921" s="176"/>
      <c r="L2921" s="176"/>
      <c r="M2921" s="176"/>
      <c r="N2921" s="176"/>
      <c r="O2921" s="176"/>
      <c r="P2921" s="176"/>
      <c r="Q2921" s="176"/>
      <c r="R2921" s="176"/>
      <c r="S2921" s="176"/>
      <c r="T2921" s="176"/>
      <c r="U2921" s="176"/>
      <c r="V2921" s="176"/>
      <c r="W2921" s="176"/>
      <c r="X2921" s="176"/>
      <c r="Y2921" s="176"/>
    </row>
    <row r="2922" spans="1:25">
      <c r="A2922" s="91"/>
      <c r="B2922" s="176"/>
      <c r="C2922" s="176"/>
      <c r="D2922" s="176"/>
      <c r="E2922" s="176"/>
      <c r="F2922" s="176"/>
      <c r="G2922" s="176"/>
      <c r="H2922" s="176"/>
      <c r="I2922" s="176"/>
      <c r="J2922" s="176"/>
      <c r="K2922" s="176"/>
      <c r="L2922" s="176"/>
      <c r="M2922" s="176"/>
      <c r="N2922" s="176"/>
      <c r="O2922" s="176"/>
      <c r="P2922" s="176"/>
      <c r="Q2922" s="176"/>
      <c r="R2922" s="176"/>
      <c r="S2922" s="176"/>
      <c r="T2922" s="176"/>
      <c r="U2922" s="176"/>
      <c r="V2922" s="176"/>
      <c r="W2922" s="176"/>
      <c r="X2922" s="176"/>
      <c r="Y2922" s="176"/>
    </row>
    <row r="2923" spans="1:25">
      <c r="A2923" s="91"/>
      <c r="B2923" s="176"/>
      <c r="C2923" s="176"/>
      <c r="D2923" s="176"/>
      <c r="E2923" s="176"/>
      <c r="F2923" s="176"/>
      <c r="G2923" s="176"/>
      <c r="H2923" s="176"/>
      <c r="I2923" s="176"/>
      <c r="J2923" s="176"/>
      <c r="K2923" s="176"/>
      <c r="L2923" s="176"/>
      <c r="M2923" s="176"/>
      <c r="N2923" s="176"/>
      <c r="O2923" s="176"/>
      <c r="P2923" s="176"/>
      <c r="Q2923" s="176"/>
      <c r="R2923" s="176"/>
      <c r="S2923" s="176"/>
      <c r="T2923" s="176"/>
      <c r="U2923" s="176"/>
      <c r="V2923" s="176"/>
      <c r="W2923" s="176"/>
      <c r="X2923" s="176"/>
      <c r="Y2923" s="176"/>
    </row>
    <row r="2924" spans="1:25">
      <c r="A2924" s="91"/>
      <c r="B2924" s="176"/>
      <c r="C2924" s="176"/>
      <c r="D2924" s="176"/>
      <c r="E2924" s="176"/>
      <c r="F2924" s="176"/>
      <c r="G2924" s="176"/>
      <c r="H2924" s="176"/>
      <c r="I2924" s="176"/>
      <c r="J2924" s="176"/>
      <c r="K2924" s="176"/>
      <c r="L2924" s="176"/>
      <c r="M2924" s="176"/>
      <c r="N2924" s="176"/>
      <c r="O2924" s="176"/>
      <c r="P2924" s="176"/>
      <c r="Q2924" s="176"/>
      <c r="R2924" s="176"/>
      <c r="S2924" s="176"/>
      <c r="T2924" s="176"/>
      <c r="U2924" s="176"/>
      <c r="V2924" s="176"/>
      <c r="W2924" s="176"/>
      <c r="X2924" s="176"/>
      <c r="Y2924" s="176"/>
    </row>
    <row r="2925" spans="1:25">
      <c r="A2925" s="91"/>
      <c r="B2925" s="176"/>
      <c r="C2925" s="176"/>
      <c r="D2925" s="176"/>
      <c r="E2925" s="176"/>
      <c r="F2925" s="176"/>
      <c r="G2925" s="176"/>
      <c r="H2925" s="176"/>
      <c r="I2925" s="176"/>
      <c r="J2925" s="176"/>
      <c r="K2925" s="176"/>
      <c r="L2925" s="176"/>
      <c r="M2925" s="176"/>
      <c r="N2925" s="176"/>
      <c r="O2925" s="176"/>
      <c r="P2925" s="176"/>
      <c r="Q2925" s="176"/>
      <c r="R2925" s="176"/>
      <c r="S2925" s="176"/>
      <c r="T2925" s="176"/>
      <c r="U2925" s="176"/>
      <c r="V2925" s="176"/>
      <c r="W2925" s="176"/>
      <c r="X2925" s="176"/>
      <c r="Y2925" s="176"/>
    </row>
    <row r="2926" spans="1:25">
      <c r="A2926" s="91"/>
      <c r="B2926" s="176"/>
      <c r="C2926" s="176"/>
      <c r="D2926" s="176"/>
      <c r="E2926" s="176"/>
      <c r="F2926" s="176"/>
      <c r="G2926" s="176"/>
      <c r="H2926" s="176"/>
      <c r="I2926" s="176"/>
      <c r="J2926" s="176"/>
      <c r="K2926" s="176"/>
      <c r="L2926" s="176"/>
      <c r="M2926" s="176"/>
      <c r="N2926" s="176"/>
      <c r="O2926" s="176"/>
      <c r="P2926" s="176"/>
      <c r="Q2926" s="176"/>
      <c r="R2926" s="176"/>
      <c r="S2926" s="176"/>
      <c r="T2926" s="176"/>
      <c r="U2926" s="176"/>
      <c r="V2926" s="176"/>
      <c r="W2926" s="176"/>
      <c r="X2926" s="176"/>
      <c r="Y2926" s="176"/>
    </row>
    <row r="2927" spans="1:25">
      <c r="A2927" s="91"/>
      <c r="B2927" s="176"/>
      <c r="C2927" s="176"/>
      <c r="D2927" s="176"/>
      <c r="E2927" s="176"/>
      <c r="F2927" s="176"/>
      <c r="G2927" s="176"/>
      <c r="H2927" s="176"/>
      <c r="I2927" s="176"/>
      <c r="J2927" s="176"/>
      <c r="K2927" s="176"/>
      <c r="L2927" s="176"/>
      <c r="M2927" s="176"/>
      <c r="N2927" s="176"/>
      <c r="O2927" s="176"/>
      <c r="P2927" s="176"/>
      <c r="Q2927" s="176"/>
      <c r="R2927" s="176"/>
      <c r="S2927" s="176"/>
      <c r="T2927" s="176"/>
      <c r="U2927" s="176"/>
      <c r="V2927" s="176"/>
      <c r="W2927" s="176"/>
      <c r="X2927" s="176"/>
      <c r="Y2927" s="176"/>
    </row>
    <row r="2928" spans="1:25">
      <c r="A2928" s="91"/>
      <c r="B2928" s="176"/>
      <c r="C2928" s="176"/>
      <c r="D2928" s="176"/>
      <c r="E2928" s="176"/>
      <c r="F2928" s="176"/>
      <c r="G2928" s="176"/>
      <c r="H2928" s="176"/>
      <c r="I2928" s="176"/>
      <c r="J2928" s="176"/>
      <c r="K2928" s="176"/>
      <c r="L2928" s="176"/>
      <c r="M2928" s="176"/>
      <c r="N2928" s="176"/>
      <c r="O2928" s="176"/>
      <c r="P2928" s="176"/>
      <c r="Q2928" s="176"/>
      <c r="R2928" s="176"/>
      <c r="S2928" s="176"/>
      <c r="T2928" s="176"/>
      <c r="U2928" s="176"/>
      <c r="V2928" s="176"/>
      <c r="W2928" s="176"/>
      <c r="X2928" s="176"/>
      <c r="Y2928" s="176"/>
    </row>
    <row r="2929" spans="1:25">
      <c r="A2929" s="91"/>
      <c r="B2929" s="176"/>
      <c r="C2929" s="176"/>
      <c r="D2929" s="176"/>
      <c r="E2929" s="176"/>
      <c r="F2929" s="176"/>
      <c r="G2929" s="176"/>
      <c r="H2929" s="176"/>
      <c r="I2929" s="176"/>
      <c r="J2929" s="176"/>
      <c r="K2929" s="176"/>
      <c r="L2929" s="176"/>
      <c r="M2929" s="176"/>
      <c r="N2929" s="176"/>
      <c r="O2929" s="176"/>
      <c r="P2929" s="176"/>
      <c r="Q2929" s="176"/>
      <c r="R2929" s="176"/>
      <c r="S2929" s="176"/>
      <c r="T2929" s="176"/>
      <c r="U2929" s="176"/>
      <c r="V2929" s="176"/>
      <c r="W2929" s="176"/>
      <c r="X2929" s="176"/>
      <c r="Y2929" s="176"/>
    </row>
    <row r="2930" spans="1:25">
      <c r="A2930" s="91"/>
      <c r="B2930" s="176"/>
      <c r="C2930" s="176"/>
      <c r="D2930" s="176"/>
      <c r="E2930" s="176"/>
      <c r="F2930" s="176"/>
      <c r="G2930" s="176"/>
      <c r="H2930" s="176"/>
      <c r="I2930" s="176"/>
      <c r="J2930" s="176"/>
      <c r="K2930" s="176"/>
      <c r="L2930" s="176"/>
      <c r="M2930" s="176"/>
      <c r="N2930" s="176"/>
      <c r="O2930" s="176"/>
      <c r="P2930" s="176"/>
      <c r="Q2930" s="176"/>
      <c r="R2930" s="176"/>
      <c r="S2930" s="176"/>
      <c r="T2930" s="176"/>
      <c r="U2930" s="176"/>
      <c r="V2930" s="176"/>
      <c r="W2930" s="176"/>
      <c r="X2930" s="176"/>
      <c r="Y2930" s="176"/>
    </row>
    <row r="2931" spans="1:25">
      <c r="A2931" s="91"/>
      <c r="B2931" s="176"/>
      <c r="C2931" s="176"/>
      <c r="D2931" s="176"/>
      <c r="E2931" s="176"/>
      <c r="F2931" s="176"/>
      <c r="G2931" s="176"/>
      <c r="H2931" s="176"/>
      <c r="I2931" s="176"/>
      <c r="J2931" s="176"/>
      <c r="K2931" s="176"/>
      <c r="L2931" s="176"/>
      <c r="M2931" s="176"/>
      <c r="N2931" s="176"/>
      <c r="O2931" s="176"/>
      <c r="P2931" s="176"/>
      <c r="Q2931" s="176"/>
      <c r="R2931" s="176"/>
      <c r="S2931" s="176"/>
      <c r="T2931" s="176"/>
      <c r="U2931" s="176"/>
      <c r="V2931" s="176"/>
      <c r="W2931" s="176"/>
      <c r="X2931" s="176"/>
      <c r="Y2931" s="176"/>
    </row>
    <row r="2932" spans="1:25">
      <c r="A2932" s="91"/>
      <c r="B2932" s="176"/>
      <c r="C2932" s="176"/>
      <c r="D2932" s="176"/>
      <c r="E2932" s="176"/>
      <c r="F2932" s="176"/>
      <c r="G2932" s="176"/>
      <c r="H2932" s="176"/>
      <c r="I2932" s="176"/>
      <c r="J2932" s="176"/>
      <c r="K2932" s="176"/>
      <c r="L2932" s="176"/>
      <c r="M2932" s="176"/>
      <c r="N2932" s="176"/>
      <c r="O2932" s="176"/>
      <c r="P2932" s="176"/>
      <c r="Q2932" s="176"/>
      <c r="R2932" s="176"/>
      <c r="S2932" s="176"/>
      <c r="T2932" s="176"/>
      <c r="U2932" s="176"/>
      <c r="V2932" s="176"/>
      <c r="W2932" s="176"/>
      <c r="X2932" s="176"/>
      <c r="Y2932" s="176"/>
    </row>
    <row r="2933" spans="1:25">
      <c r="A2933" s="91"/>
      <c r="B2933" s="176"/>
      <c r="C2933" s="176"/>
      <c r="D2933" s="176"/>
      <c r="E2933" s="176"/>
      <c r="F2933" s="176"/>
      <c r="G2933" s="176"/>
      <c r="H2933" s="176"/>
      <c r="I2933" s="176"/>
      <c r="J2933" s="176"/>
      <c r="K2933" s="176"/>
      <c r="L2933" s="176"/>
      <c r="M2933" s="176"/>
      <c r="N2933" s="176"/>
      <c r="O2933" s="176"/>
      <c r="P2933" s="176"/>
      <c r="Q2933" s="176"/>
      <c r="R2933" s="176"/>
      <c r="S2933" s="176"/>
      <c r="T2933" s="176"/>
      <c r="U2933" s="176"/>
      <c r="V2933" s="176"/>
      <c r="W2933" s="176"/>
      <c r="X2933" s="176"/>
      <c r="Y2933" s="176"/>
    </row>
    <row r="2934" spans="1:25">
      <c r="A2934" s="91"/>
      <c r="B2934" s="176"/>
      <c r="C2934" s="176"/>
      <c r="D2934" s="176"/>
      <c r="E2934" s="176"/>
      <c r="F2934" s="176"/>
      <c r="G2934" s="176"/>
      <c r="H2934" s="176"/>
      <c r="I2934" s="176"/>
      <c r="J2934" s="176"/>
      <c r="K2934" s="176"/>
      <c r="L2934" s="176"/>
      <c r="M2934" s="176"/>
      <c r="N2934" s="176"/>
      <c r="O2934" s="176"/>
      <c r="P2934" s="176"/>
      <c r="Q2934" s="176"/>
      <c r="R2934" s="176"/>
      <c r="S2934" s="176"/>
      <c r="T2934" s="176"/>
      <c r="U2934" s="176"/>
      <c r="V2934" s="176"/>
      <c r="W2934" s="176"/>
      <c r="X2934" s="176"/>
      <c r="Y2934" s="176"/>
    </row>
    <row r="2935" spans="1:25">
      <c r="A2935" s="91"/>
      <c r="B2935" s="176"/>
      <c r="C2935" s="176"/>
      <c r="D2935" s="176"/>
      <c r="E2935" s="176"/>
      <c r="F2935" s="176"/>
      <c r="G2935" s="176"/>
      <c r="H2935" s="176"/>
      <c r="I2935" s="176"/>
      <c r="J2935" s="176"/>
      <c r="K2935" s="176"/>
      <c r="L2935" s="176"/>
      <c r="M2935" s="176"/>
      <c r="N2935" s="176"/>
      <c r="O2935" s="176"/>
      <c r="P2935" s="176"/>
      <c r="Q2935" s="176"/>
      <c r="R2935" s="176"/>
      <c r="S2935" s="176"/>
      <c r="T2935" s="176"/>
      <c r="U2935" s="176"/>
      <c r="V2935" s="176"/>
      <c r="W2935" s="176"/>
      <c r="X2935" s="176"/>
      <c r="Y2935" s="176"/>
    </row>
    <row r="2936" spans="1:25">
      <c r="A2936" s="91"/>
      <c r="B2936" s="176"/>
      <c r="C2936" s="176"/>
      <c r="D2936" s="176"/>
      <c r="E2936" s="176"/>
      <c r="F2936" s="176"/>
      <c r="G2936" s="176"/>
      <c r="H2936" s="176"/>
      <c r="I2936" s="176"/>
      <c r="J2936" s="176"/>
      <c r="K2936" s="176"/>
      <c r="L2936" s="176"/>
      <c r="M2936" s="176"/>
      <c r="N2936" s="176"/>
      <c r="O2936" s="176"/>
      <c r="P2936" s="176"/>
      <c r="Q2936" s="176"/>
      <c r="R2936" s="176"/>
      <c r="S2936" s="176"/>
      <c r="T2936" s="176"/>
      <c r="U2936" s="176"/>
      <c r="V2936" s="176"/>
      <c r="W2936" s="176"/>
      <c r="X2936" s="176"/>
      <c r="Y2936" s="176"/>
    </row>
    <row r="2937" spans="1:25">
      <c r="A2937" s="91"/>
      <c r="B2937" s="176"/>
      <c r="C2937" s="176"/>
      <c r="D2937" s="176"/>
      <c r="E2937" s="176"/>
      <c r="F2937" s="176"/>
      <c r="G2937" s="176"/>
      <c r="H2937" s="176"/>
      <c r="I2937" s="176"/>
      <c r="J2937" s="176"/>
      <c r="K2937" s="176"/>
      <c r="L2937" s="176"/>
      <c r="M2937" s="176"/>
      <c r="N2937" s="176"/>
      <c r="O2937" s="176"/>
      <c r="P2937" s="176"/>
      <c r="Q2937" s="176"/>
      <c r="R2937" s="176"/>
      <c r="S2937" s="176"/>
      <c r="T2937" s="176"/>
      <c r="U2937" s="176"/>
      <c r="V2937" s="176"/>
      <c r="W2937" s="176"/>
      <c r="X2937" s="176"/>
      <c r="Y2937" s="176"/>
    </row>
    <row r="2938" spans="1:25">
      <c r="A2938" s="91"/>
      <c r="B2938" s="176"/>
      <c r="C2938" s="176"/>
      <c r="D2938" s="176"/>
      <c r="E2938" s="176"/>
      <c r="F2938" s="176"/>
      <c r="G2938" s="176"/>
      <c r="H2938" s="176"/>
      <c r="I2938" s="176"/>
      <c r="J2938" s="176"/>
      <c r="K2938" s="176"/>
      <c r="L2938" s="176"/>
      <c r="M2938" s="176"/>
      <c r="N2938" s="176"/>
      <c r="O2938" s="176"/>
      <c r="P2938" s="176"/>
      <c r="Q2938" s="176"/>
      <c r="R2938" s="176"/>
      <c r="S2938" s="176"/>
      <c r="T2938" s="176"/>
      <c r="U2938" s="176"/>
      <c r="V2938" s="176"/>
      <c r="W2938" s="176"/>
      <c r="X2938" s="176"/>
      <c r="Y2938" s="176"/>
    </row>
    <row r="2939" spans="1:25">
      <c r="A2939" s="91"/>
      <c r="B2939" s="176"/>
      <c r="C2939" s="176"/>
      <c r="D2939" s="176"/>
      <c r="E2939" s="176"/>
      <c r="F2939" s="176"/>
      <c r="G2939" s="176"/>
      <c r="H2939" s="176"/>
      <c r="I2939" s="176"/>
      <c r="J2939" s="176"/>
      <c r="K2939" s="176"/>
      <c r="L2939" s="176"/>
      <c r="M2939" s="176"/>
      <c r="N2939" s="176"/>
      <c r="O2939" s="176"/>
      <c r="P2939" s="176"/>
      <c r="Q2939" s="176"/>
      <c r="R2939" s="176"/>
      <c r="S2939" s="176"/>
      <c r="T2939" s="176"/>
      <c r="U2939" s="176"/>
      <c r="V2939" s="176"/>
      <c r="W2939" s="176"/>
      <c r="X2939" s="176"/>
      <c r="Y2939" s="176"/>
    </row>
    <row r="2940" spans="1:25">
      <c r="A2940" s="91"/>
      <c r="B2940" s="176"/>
      <c r="C2940" s="176"/>
      <c r="D2940" s="176"/>
      <c r="E2940" s="176"/>
      <c r="F2940" s="176"/>
      <c r="G2940" s="176"/>
      <c r="H2940" s="176"/>
      <c r="I2940" s="176"/>
      <c r="J2940" s="176"/>
      <c r="K2940" s="176"/>
      <c r="L2940" s="176"/>
      <c r="M2940" s="176"/>
      <c r="N2940" s="176"/>
      <c r="O2940" s="176"/>
      <c r="P2940" s="176"/>
      <c r="Q2940" s="176"/>
      <c r="R2940" s="176"/>
      <c r="S2940" s="176"/>
      <c r="T2940" s="176"/>
      <c r="U2940" s="176"/>
      <c r="V2940" s="176"/>
      <c r="W2940" s="176"/>
      <c r="X2940" s="176"/>
      <c r="Y2940" s="176"/>
    </row>
    <row r="2941" spans="1:25">
      <c r="A2941" s="91"/>
      <c r="B2941" s="176"/>
      <c r="C2941" s="176"/>
      <c r="D2941" s="176"/>
      <c r="E2941" s="176"/>
      <c r="F2941" s="176"/>
      <c r="G2941" s="176"/>
      <c r="H2941" s="176"/>
      <c r="I2941" s="176"/>
      <c r="J2941" s="176"/>
      <c r="K2941" s="176"/>
      <c r="L2941" s="176"/>
      <c r="M2941" s="176"/>
      <c r="N2941" s="176"/>
      <c r="O2941" s="176"/>
      <c r="P2941" s="176"/>
      <c r="Q2941" s="176"/>
      <c r="R2941" s="176"/>
      <c r="S2941" s="176"/>
      <c r="T2941" s="176"/>
      <c r="U2941" s="176"/>
      <c r="V2941" s="176"/>
      <c r="W2941" s="176"/>
      <c r="X2941" s="176"/>
      <c r="Y2941" s="176"/>
    </row>
    <row r="2942" spans="1:25">
      <c r="A2942" s="91"/>
      <c r="B2942" s="176"/>
      <c r="C2942" s="176"/>
      <c r="D2942" s="176"/>
      <c r="E2942" s="176"/>
      <c r="F2942" s="176"/>
      <c r="G2942" s="176"/>
      <c r="H2942" s="176"/>
      <c r="I2942" s="176"/>
      <c r="J2942" s="176"/>
      <c r="K2942" s="176"/>
      <c r="L2942" s="176"/>
      <c r="M2942" s="176"/>
      <c r="N2942" s="176"/>
      <c r="O2942" s="176"/>
      <c r="P2942" s="176"/>
      <c r="Q2942" s="176"/>
      <c r="R2942" s="176"/>
      <c r="S2942" s="176"/>
      <c r="T2942" s="176"/>
      <c r="U2942" s="176"/>
      <c r="V2942" s="176"/>
      <c r="W2942" s="176"/>
      <c r="X2942" s="176"/>
      <c r="Y2942" s="176"/>
    </row>
    <row r="2943" spans="1:25">
      <c r="A2943" s="91"/>
      <c r="B2943" s="176"/>
      <c r="C2943" s="176"/>
      <c r="D2943" s="176"/>
      <c r="E2943" s="176"/>
      <c r="F2943" s="176"/>
      <c r="G2943" s="176"/>
      <c r="H2943" s="176"/>
      <c r="I2943" s="176"/>
      <c r="J2943" s="176"/>
      <c r="K2943" s="176"/>
      <c r="L2943" s="176"/>
      <c r="M2943" s="176"/>
      <c r="N2943" s="176"/>
      <c r="O2943" s="176"/>
      <c r="P2943" s="176"/>
      <c r="Q2943" s="176"/>
      <c r="R2943" s="176"/>
      <c r="S2943" s="176"/>
      <c r="T2943" s="176"/>
      <c r="U2943" s="176"/>
      <c r="V2943" s="176"/>
      <c r="W2943" s="176"/>
      <c r="X2943" s="176"/>
      <c r="Y2943" s="176"/>
    </row>
    <row r="2944" spans="1:25">
      <c r="A2944" s="91"/>
      <c r="B2944" s="176"/>
      <c r="C2944" s="176"/>
      <c r="D2944" s="176"/>
      <c r="E2944" s="176"/>
      <c r="F2944" s="176"/>
      <c r="G2944" s="176"/>
      <c r="H2944" s="176"/>
      <c r="I2944" s="176"/>
      <c r="J2944" s="176"/>
      <c r="K2944" s="176"/>
      <c r="L2944" s="176"/>
      <c r="M2944" s="176"/>
      <c r="N2944" s="176"/>
      <c r="O2944" s="176"/>
      <c r="P2944" s="176"/>
      <c r="Q2944" s="176"/>
      <c r="R2944" s="176"/>
      <c r="S2944" s="176"/>
      <c r="T2944" s="176"/>
      <c r="U2944" s="176"/>
      <c r="V2944" s="176"/>
      <c r="W2944" s="176"/>
      <c r="X2944" s="176"/>
      <c r="Y2944" s="176"/>
    </row>
    <row r="2945" spans="1:25">
      <c r="A2945" s="91"/>
      <c r="B2945" s="176"/>
      <c r="C2945" s="176"/>
      <c r="D2945" s="176"/>
      <c r="E2945" s="176"/>
      <c r="F2945" s="176"/>
      <c r="G2945" s="176"/>
      <c r="H2945" s="176"/>
      <c r="I2945" s="176"/>
      <c r="J2945" s="176"/>
      <c r="K2945" s="176"/>
      <c r="L2945" s="176"/>
      <c r="M2945" s="176"/>
      <c r="N2945" s="176"/>
      <c r="O2945" s="176"/>
      <c r="P2945" s="176"/>
      <c r="Q2945" s="176"/>
      <c r="R2945" s="176"/>
      <c r="S2945" s="176"/>
      <c r="T2945" s="176"/>
      <c r="U2945" s="176"/>
      <c r="V2945" s="176"/>
      <c r="W2945" s="176"/>
      <c r="X2945" s="176"/>
      <c r="Y2945" s="176"/>
    </row>
    <row r="2946" spans="1:25">
      <c r="A2946" s="91"/>
      <c r="B2946" s="176"/>
      <c r="C2946" s="176"/>
      <c r="D2946" s="176"/>
      <c r="E2946" s="176"/>
      <c r="F2946" s="176"/>
      <c r="G2946" s="176"/>
      <c r="H2946" s="176"/>
      <c r="I2946" s="176"/>
      <c r="J2946" s="176"/>
      <c r="K2946" s="176"/>
      <c r="L2946" s="176"/>
      <c r="M2946" s="176"/>
      <c r="N2946" s="176"/>
      <c r="O2946" s="176"/>
      <c r="P2946" s="176"/>
      <c r="Q2946" s="176"/>
      <c r="R2946" s="176"/>
      <c r="S2946" s="176"/>
      <c r="T2946" s="176"/>
      <c r="U2946" s="176"/>
      <c r="V2946" s="176"/>
      <c r="W2946" s="176"/>
      <c r="X2946" s="176"/>
      <c r="Y2946" s="176"/>
    </row>
    <row r="2947" spans="1:25">
      <c r="A2947" s="91"/>
      <c r="B2947" s="176"/>
      <c r="C2947" s="176"/>
      <c r="D2947" s="176"/>
      <c r="E2947" s="176"/>
      <c r="F2947" s="176"/>
      <c r="G2947" s="176"/>
      <c r="H2947" s="176"/>
      <c r="I2947" s="176"/>
      <c r="J2947" s="176"/>
      <c r="K2947" s="176"/>
      <c r="L2947" s="176"/>
      <c r="M2947" s="176"/>
      <c r="N2947" s="176"/>
      <c r="O2947" s="176"/>
      <c r="P2947" s="176"/>
      <c r="Q2947" s="176"/>
      <c r="R2947" s="176"/>
      <c r="S2947" s="176"/>
      <c r="T2947" s="176"/>
      <c r="U2947" s="176"/>
      <c r="V2947" s="176"/>
      <c r="W2947" s="176"/>
      <c r="X2947" s="176"/>
      <c r="Y2947" s="176"/>
    </row>
    <row r="2948" spans="1:25">
      <c r="A2948" s="91"/>
      <c r="B2948" s="176"/>
      <c r="C2948" s="176"/>
      <c r="D2948" s="176"/>
      <c r="E2948" s="176"/>
      <c r="F2948" s="176"/>
      <c r="G2948" s="176"/>
      <c r="H2948" s="176"/>
      <c r="I2948" s="176"/>
      <c r="J2948" s="176"/>
      <c r="K2948" s="176"/>
      <c r="L2948" s="176"/>
      <c r="M2948" s="176"/>
      <c r="N2948" s="176"/>
      <c r="O2948" s="176"/>
      <c r="P2948" s="176"/>
      <c r="Q2948" s="176"/>
      <c r="R2948" s="176"/>
      <c r="S2948" s="176"/>
      <c r="T2948" s="176"/>
      <c r="U2948" s="176"/>
      <c r="V2948" s="176"/>
      <c r="W2948" s="176"/>
      <c r="X2948" s="176"/>
      <c r="Y2948" s="176"/>
    </row>
    <row r="2949" spans="1:25">
      <c r="A2949" s="91"/>
      <c r="B2949" s="176"/>
      <c r="C2949" s="176"/>
      <c r="D2949" s="176"/>
      <c r="E2949" s="176"/>
      <c r="F2949" s="176"/>
      <c r="G2949" s="176"/>
      <c r="H2949" s="176"/>
      <c r="I2949" s="176"/>
      <c r="J2949" s="176"/>
      <c r="K2949" s="176"/>
      <c r="L2949" s="176"/>
      <c r="M2949" s="176"/>
      <c r="N2949" s="176"/>
      <c r="O2949" s="176"/>
      <c r="P2949" s="176"/>
      <c r="Q2949" s="176"/>
      <c r="R2949" s="176"/>
      <c r="S2949" s="176"/>
      <c r="T2949" s="176"/>
      <c r="U2949" s="176"/>
      <c r="V2949" s="176"/>
      <c r="W2949" s="176"/>
      <c r="X2949" s="176"/>
      <c r="Y2949" s="176"/>
    </row>
    <row r="2950" spans="1:25">
      <c r="A2950" s="91"/>
      <c r="B2950" s="176"/>
      <c r="C2950" s="176"/>
      <c r="D2950" s="176"/>
      <c r="E2950" s="176"/>
      <c r="F2950" s="176"/>
      <c r="G2950" s="176"/>
      <c r="H2950" s="176"/>
      <c r="I2950" s="176"/>
      <c r="J2950" s="176"/>
      <c r="K2950" s="176"/>
      <c r="L2950" s="176"/>
      <c r="M2950" s="176"/>
      <c r="N2950" s="176"/>
      <c r="O2950" s="176"/>
      <c r="P2950" s="176"/>
      <c r="Q2950" s="176"/>
      <c r="R2950" s="176"/>
      <c r="S2950" s="176"/>
      <c r="T2950" s="176"/>
      <c r="U2950" s="176"/>
      <c r="V2950" s="176"/>
      <c r="W2950" s="176"/>
      <c r="X2950" s="176"/>
      <c r="Y2950" s="176"/>
    </row>
    <row r="2951" spans="1:25">
      <c r="A2951" s="91"/>
      <c r="B2951" s="176"/>
      <c r="C2951" s="176"/>
      <c r="D2951" s="176"/>
      <c r="E2951" s="176"/>
      <c r="F2951" s="176"/>
      <c r="G2951" s="176"/>
      <c r="H2951" s="176"/>
      <c r="I2951" s="176"/>
      <c r="J2951" s="176"/>
      <c r="K2951" s="176"/>
      <c r="L2951" s="176"/>
      <c r="M2951" s="176"/>
      <c r="N2951" s="176"/>
      <c r="O2951" s="176"/>
      <c r="P2951" s="176"/>
      <c r="Q2951" s="176"/>
      <c r="R2951" s="176"/>
      <c r="S2951" s="176"/>
      <c r="T2951" s="176"/>
      <c r="U2951" s="176"/>
      <c r="V2951" s="176"/>
      <c r="W2951" s="176"/>
      <c r="X2951" s="176"/>
      <c r="Y2951" s="176"/>
    </row>
    <row r="2952" spans="1:25">
      <c r="A2952" s="91"/>
      <c r="B2952" s="176"/>
      <c r="C2952" s="176"/>
      <c r="D2952" s="176"/>
      <c r="E2952" s="176"/>
      <c r="F2952" s="176"/>
      <c r="G2952" s="176"/>
      <c r="H2952" s="176"/>
      <c r="I2952" s="176"/>
      <c r="J2952" s="176"/>
      <c r="K2952" s="176"/>
      <c r="L2952" s="176"/>
      <c r="M2952" s="176"/>
      <c r="N2952" s="176"/>
      <c r="O2952" s="176"/>
      <c r="P2952" s="176"/>
      <c r="Q2952" s="176"/>
      <c r="R2952" s="176"/>
      <c r="S2952" s="176"/>
      <c r="T2952" s="176"/>
      <c r="U2952" s="176"/>
      <c r="V2952" s="176"/>
      <c r="W2952" s="176"/>
      <c r="X2952" s="176"/>
      <c r="Y2952" s="176"/>
    </row>
    <row r="2953" spans="1:25">
      <c r="A2953" s="91"/>
      <c r="B2953" s="176"/>
      <c r="C2953" s="176"/>
      <c r="D2953" s="176"/>
      <c r="E2953" s="176"/>
      <c r="F2953" s="176"/>
      <c r="G2953" s="176"/>
      <c r="H2953" s="176"/>
      <c r="I2953" s="176"/>
      <c r="J2953" s="176"/>
      <c r="K2953" s="176"/>
      <c r="L2953" s="176"/>
      <c r="M2953" s="176"/>
      <c r="N2953" s="176"/>
      <c r="O2953" s="176"/>
      <c r="P2953" s="176"/>
      <c r="Q2953" s="176"/>
      <c r="R2953" s="176"/>
      <c r="S2953" s="176"/>
      <c r="T2953" s="176"/>
      <c r="U2953" s="176"/>
      <c r="V2953" s="176"/>
      <c r="W2953" s="176"/>
      <c r="X2953" s="176"/>
      <c r="Y2953" s="176"/>
    </row>
    <row r="2954" spans="1:25">
      <c r="A2954" s="91"/>
      <c r="B2954" s="176"/>
      <c r="C2954" s="176"/>
      <c r="D2954" s="176"/>
      <c r="E2954" s="176"/>
      <c r="F2954" s="176"/>
      <c r="G2954" s="176"/>
      <c r="H2954" s="176"/>
      <c r="I2954" s="176"/>
      <c r="J2954" s="176"/>
      <c r="K2954" s="176"/>
      <c r="L2954" s="176"/>
      <c r="M2954" s="176"/>
      <c r="N2954" s="176"/>
      <c r="O2954" s="176"/>
      <c r="P2954" s="176"/>
      <c r="Q2954" s="176"/>
      <c r="R2954" s="176"/>
      <c r="S2954" s="176"/>
      <c r="T2954" s="176"/>
      <c r="U2954" s="176"/>
      <c r="V2954" s="176"/>
      <c r="W2954" s="176"/>
      <c r="X2954" s="176"/>
      <c r="Y2954" s="176"/>
    </row>
    <row r="2955" spans="1:25">
      <c r="A2955" s="91"/>
      <c r="B2955" s="176"/>
      <c r="C2955" s="176"/>
      <c r="D2955" s="176"/>
      <c r="E2955" s="176"/>
      <c r="F2955" s="176"/>
      <c r="G2955" s="176"/>
      <c r="H2955" s="176"/>
      <c r="I2955" s="176"/>
      <c r="J2955" s="176"/>
      <c r="K2955" s="176"/>
      <c r="L2955" s="176"/>
      <c r="M2955" s="176"/>
      <c r="N2955" s="176"/>
      <c r="O2955" s="176"/>
      <c r="P2955" s="176"/>
      <c r="Q2955" s="176"/>
      <c r="R2955" s="176"/>
      <c r="S2955" s="176"/>
      <c r="T2955" s="176"/>
      <c r="U2955" s="176"/>
      <c r="V2955" s="176"/>
      <c r="W2955" s="176"/>
      <c r="X2955" s="176"/>
      <c r="Y2955" s="176"/>
    </row>
    <row r="2956" spans="1:25">
      <c r="A2956" s="91"/>
      <c r="B2956" s="176"/>
      <c r="C2956" s="176"/>
      <c r="D2956" s="176"/>
      <c r="E2956" s="176"/>
      <c r="F2956" s="176"/>
      <c r="G2956" s="176"/>
      <c r="H2956" s="176"/>
      <c r="I2956" s="176"/>
      <c r="J2956" s="176"/>
      <c r="K2956" s="176"/>
      <c r="L2956" s="176"/>
      <c r="M2956" s="176"/>
      <c r="N2956" s="176"/>
      <c r="O2956" s="176"/>
      <c r="P2956" s="176"/>
      <c r="Q2956" s="176"/>
      <c r="R2956" s="176"/>
      <c r="S2956" s="176"/>
      <c r="T2956" s="176"/>
      <c r="U2956" s="176"/>
      <c r="V2956" s="176"/>
      <c r="W2956" s="176"/>
      <c r="X2956" s="176"/>
      <c r="Y2956" s="176"/>
    </row>
    <row r="2957" spans="1:25">
      <c r="A2957" s="91"/>
      <c r="B2957" s="176"/>
      <c r="C2957" s="176"/>
      <c r="D2957" s="176"/>
      <c r="E2957" s="176"/>
      <c r="F2957" s="176"/>
      <c r="G2957" s="176"/>
      <c r="H2957" s="176"/>
      <c r="I2957" s="176"/>
      <c r="J2957" s="176"/>
      <c r="K2957" s="176"/>
      <c r="L2957" s="176"/>
      <c r="M2957" s="176"/>
      <c r="N2957" s="176"/>
      <c r="O2957" s="176"/>
      <c r="P2957" s="176"/>
      <c r="Q2957" s="176"/>
      <c r="R2957" s="176"/>
      <c r="S2957" s="176"/>
      <c r="T2957" s="176"/>
      <c r="U2957" s="176"/>
      <c r="V2957" s="176"/>
      <c r="W2957" s="176"/>
      <c r="X2957" s="176"/>
      <c r="Y2957" s="176"/>
    </row>
    <row r="2958" spans="1:25">
      <c r="A2958" s="91"/>
      <c r="B2958" s="176"/>
      <c r="C2958" s="176"/>
      <c r="D2958" s="176"/>
      <c r="E2958" s="176"/>
      <c r="F2958" s="176"/>
      <c r="G2958" s="176"/>
      <c r="H2958" s="176"/>
      <c r="I2958" s="176"/>
      <c r="J2958" s="176"/>
      <c r="K2958" s="176"/>
      <c r="L2958" s="176"/>
      <c r="M2958" s="176"/>
      <c r="N2958" s="176"/>
      <c r="O2958" s="176"/>
      <c r="P2958" s="176"/>
      <c r="Q2958" s="176"/>
      <c r="R2958" s="176"/>
      <c r="S2958" s="176"/>
      <c r="T2958" s="176"/>
      <c r="U2958" s="176"/>
      <c r="V2958" s="176"/>
      <c r="W2958" s="176"/>
      <c r="X2958" s="176"/>
      <c r="Y2958" s="176"/>
    </row>
    <row r="2959" spans="1:25">
      <c r="A2959" s="91"/>
      <c r="B2959" s="176"/>
      <c r="C2959" s="176"/>
      <c r="D2959" s="176"/>
      <c r="E2959" s="176"/>
      <c r="F2959" s="176"/>
      <c r="G2959" s="176"/>
      <c r="H2959" s="176"/>
      <c r="I2959" s="176"/>
      <c r="J2959" s="176"/>
      <c r="K2959" s="176"/>
      <c r="L2959" s="176"/>
      <c r="M2959" s="176"/>
      <c r="N2959" s="176"/>
      <c r="O2959" s="176"/>
      <c r="P2959" s="176"/>
      <c r="Q2959" s="176"/>
      <c r="R2959" s="176"/>
      <c r="S2959" s="176"/>
      <c r="T2959" s="176"/>
      <c r="U2959" s="176"/>
      <c r="V2959" s="176"/>
      <c r="W2959" s="176"/>
      <c r="X2959" s="176"/>
      <c r="Y2959" s="176"/>
    </row>
    <row r="2960" spans="1:25">
      <c r="A2960" s="91"/>
      <c r="B2960" s="176"/>
      <c r="C2960" s="176"/>
      <c r="D2960" s="176"/>
      <c r="E2960" s="176"/>
      <c r="F2960" s="176"/>
      <c r="G2960" s="176"/>
      <c r="H2960" s="176"/>
      <c r="I2960" s="176"/>
      <c r="J2960" s="176"/>
      <c r="K2960" s="176"/>
      <c r="L2960" s="176"/>
      <c r="M2960" s="176"/>
      <c r="N2960" s="176"/>
      <c r="O2960" s="176"/>
      <c r="P2960" s="176"/>
      <c r="Q2960" s="176"/>
      <c r="R2960" s="176"/>
      <c r="S2960" s="176"/>
      <c r="T2960" s="176"/>
      <c r="U2960" s="176"/>
      <c r="V2960" s="176"/>
      <c r="W2960" s="176"/>
      <c r="X2960" s="176"/>
      <c r="Y2960" s="176"/>
    </row>
    <row r="2961" spans="1:25">
      <c r="A2961" s="91"/>
      <c r="B2961" s="176"/>
      <c r="C2961" s="176"/>
      <c r="D2961" s="176"/>
      <c r="E2961" s="176"/>
      <c r="F2961" s="176"/>
      <c r="G2961" s="176"/>
      <c r="H2961" s="176"/>
      <c r="I2961" s="176"/>
      <c r="J2961" s="176"/>
      <c r="K2961" s="176"/>
      <c r="L2961" s="176"/>
      <c r="M2961" s="176"/>
      <c r="N2961" s="176"/>
      <c r="O2961" s="176"/>
      <c r="P2961" s="176"/>
      <c r="Q2961" s="176"/>
      <c r="R2961" s="176"/>
      <c r="S2961" s="176"/>
      <c r="T2961" s="176"/>
      <c r="U2961" s="176"/>
      <c r="V2961" s="176"/>
      <c r="W2961" s="176"/>
      <c r="X2961" s="176"/>
      <c r="Y2961" s="176"/>
    </row>
    <row r="2962" spans="1:25">
      <c r="A2962" s="91"/>
      <c r="B2962" s="176"/>
      <c r="C2962" s="176"/>
      <c r="D2962" s="176"/>
      <c r="E2962" s="176"/>
      <c r="F2962" s="176"/>
      <c r="G2962" s="176"/>
      <c r="H2962" s="176"/>
      <c r="I2962" s="176"/>
      <c r="J2962" s="176"/>
      <c r="K2962" s="176"/>
      <c r="L2962" s="176"/>
      <c r="M2962" s="176"/>
      <c r="N2962" s="176"/>
      <c r="O2962" s="176"/>
      <c r="P2962" s="176"/>
      <c r="Q2962" s="176"/>
      <c r="R2962" s="176"/>
      <c r="S2962" s="176"/>
      <c r="T2962" s="176"/>
      <c r="U2962" s="176"/>
      <c r="V2962" s="176"/>
      <c r="W2962" s="176"/>
      <c r="X2962" s="176"/>
      <c r="Y2962" s="176"/>
    </row>
    <row r="2963" spans="1:25">
      <c r="A2963" s="91"/>
      <c r="B2963" s="176"/>
      <c r="C2963" s="176"/>
      <c r="D2963" s="176"/>
      <c r="E2963" s="176"/>
      <c r="F2963" s="176"/>
      <c r="G2963" s="176"/>
      <c r="H2963" s="176"/>
      <c r="I2963" s="176"/>
      <c r="J2963" s="176"/>
      <c r="K2963" s="176"/>
      <c r="L2963" s="176"/>
      <c r="M2963" s="176"/>
      <c r="N2963" s="176"/>
      <c r="O2963" s="176"/>
      <c r="P2963" s="176"/>
      <c r="Q2963" s="176"/>
      <c r="R2963" s="176"/>
      <c r="S2963" s="176"/>
      <c r="T2963" s="176"/>
      <c r="U2963" s="176"/>
      <c r="V2963" s="176"/>
      <c r="W2963" s="176"/>
      <c r="X2963" s="176"/>
      <c r="Y2963" s="176"/>
    </row>
    <row r="2964" spans="1:25">
      <c r="A2964" s="91"/>
      <c r="B2964" s="176"/>
      <c r="C2964" s="176"/>
      <c r="D2964" s="176"/>
      <c r="E2964" s="176"/>
      <c r="F2964" s="176"/>
      <c r="G2964" s="176"/>
      <c r="H2964" s="176"/>
      <c r="I2964" s="176"/>
      <c r="J2964" s="176"/>
      <c r="K2964" s="176"/>
      <c r="L2964" s="176"/>
      <c r="M2964" s="176"/>
      <c r="N2964" s="176"/>
      <c r="O2964" s="176"/>
      <c r="P2964" s="176"/>
      <c r="Q2964" s="176"/>
      <c r="R2964" s="176"/>
      <c r="S2964" s="176"/>
      <c r="T2964" s="176"/>
      <c r="U2964" s="176"/>
      <c r="V2964" s="176"/>
      <c r="W2964" s="176"/>
      <c r="X2964" s="176"/>
      <c r="Y2964" s="176"/>
    </row>
    <row r="2965" spans="1:25">
      <c r="A2965" s="91"/>
      <c r="B2965" s="176"/>
      <c r="C2965" s="176"/>
      <c r="D2965" s="176"/>
      <c r="E2965" s="176"/>
      <c r="F2965" s="176"/>
      <c r="G2965" s="176"/>
      <c r="H2965" s="176"/>
      <c r="I2965" s="176"/>
      <c r="J2965" s="176"/>
      <c r="K2965" s="176"/>
      <c r="L2965" s="176"/>
      <c r="M2965" s="176"/>
      <c r="N2965" s="176"/>
      <c r="O2965" s="176"/>
      <c r="P2965" s="176"/>
      <c r="Q2965" s="176"/>
      <c r="R2965" s="176"/>
      <c r="S2965" s="176"/>
      <c r="T2965" s="176"/>
      <c r="U2965" s="176"/>
      <c r="V2965" s="176"/>
      <c r="W2965" s="176"/>
      <c r="X2965" s="176"/>
      <c r="Y2965" s="176"/>
    </row>
    <row r="2966" spans="1:25">
      <c r="A2966" s="91"/>
      <c r="B2966" s="176"/>
      <c r="C2966" s="176"/>
      <c r="D2966" s="176"/>
      <c r="E2966" s="176"/>
      <c r="F2966" s="176"/>
      <c r="G2966" s="176"/>
      <c r="H2966" s="176"/>
      <c r="I2966" s="176"/>
      <c r="J2966" s="176"/>
      <c r="K2966" s="176"/>
      <c r="L2966" s="176"/>
      <c r="M2966" s="176"/>
      <c r="N2966" s="176"/>
      <c r="O2966" s="176"/>
      <c r="P2966" s="176"/>
      <c r="Q2966" s="176"/>
      <c r="R2966" s="176"/>
      <c r="S2966" s="176"/>
      <c r="T2966" s="176"/>
      <c r="U2966" s="176"/>
      <c r="V2966" s="176"/>
      <c r="W2966" s="176"/>
      <c r="X2966" s="176"/>
      <c r="Y2966" s="176"/>
    </row>
    <row r="2967" spans="1:25">
      <c r="A2967" s="91"/>
      <c r="B2967" s="176"/>
      <c r="C2967" s="176"/>
      <c r="D2967" s="176"/>
      <c r="E2967" s="176"/>
      <c r="F2967" s="176"/>
      <c r="G2967" s="176"/>
      <c r="H2967" s="176"/>
      <c r="I2967" s="176"/>
      <c r="J2967" s="176"/>
      <c r="K2967" s="176"/>
      <c r="L2967" s="176"/>
      <c r="M2967" s="176"/>
      <c r="N2967" s="176"/>
      <c r="O2967" s="176"/>
      <c r="P2967" s="176"/>
      <c r="Q2967" s="176"/>
      <c r="R2967" s="176"/>
      <c r="S2967" s="176"/>
      <c r="T2967" s="176"/>
      <c r="U2967" s="176"/>
      <c r="V2967" s="176"/>
      <c r="W2967" s="176"/>
      <c r="X2967" s="176"/>
      <c r="Y2967" s="176"/>
    </row>
    <row r="2968" spans="1:25">
      <c r="A2968" s="91"/>
      <c r="B2968" s="176"/>
      <c r="C2968" s="176"/>
      <c r="D2968" s="176"/>
      <c r="E2968" s="176"/>
      <c r="F2968" s="176"/>
      <c r="G2968" s="176"/>
      <c r="H2968" s="176"/>
      <c r="I2968" s="176"/>
      <c r="J2968" s="176"/>
      <c r="K2968" s="176"/>
      <c r="L2968" s="176"/>
      <c r="M2968" s="176"/>
      <c r="N2968" s="176"/>
      <c r="O2968" s="176"/>
      <c r="P2968" s="176"/>
      <c r="Q2968" s="176"/>
      <c r="R2968" s="176"/>
      <c r="S2968" s="176"/>
      <c r="T2968" s="176"/>
      <c r="U2968" s="176"/>
      <c r="V2968" s="176"/>
      <c r="W2968" s="176"/>
      <c r="X2968" s="176"/>
      <c r="Y2968" s="176"/>
    </row>
    <row r="2969" spans="1:25">
      <c r="A2969" s="91"/>
      <c r="B2969" s="176"/>
      <c r="C2969" s="176"/>
      <c r="D2969" s="176"/>
      <c r="E2969" s="176"/>
      <c r="F2969" s="176"/>
      <c r="G2969" s="176"/>
      <c r="H2969" s="176"/>
      <c r="I2969" s="176"/>
      <c r="J2969" s="176"/>
      <c r="K2969" s="176"/>
      <c r="L2969" s="176"/>
      <c r="M2969" s="176"/>
      <c r="N2969" s="176"/>
      <c r="O2969" s="176"/>
      <c r="P2969" s="176"/>
      <c r="Q2969" s="176"/>
      <c r="R2969" s="176"/>
      <c r="S2969" s="176"/>
      <c r="T2969" s="176"/>
      <c r="U2969" s="176"/>
      <c r="V2969" s="176"/>
      <c r="W2969" s="176"/>
      <c r="X2969" s="176"/>
      <c r="Y2969" s="176"/>
    </row>
    <row r="2970" spans="1:25">
      <c r="A2970" s="91"/>
      <c r="B2970" s="176"/>
      <c r="C2970" s="176"/>
      <c r="D2970" s="176"/>
      <c r="E2970" s="176"/>
      <c r="F2970" s="176"/>
      <c r="G2970" s="176"/>
      <c r="H2970" s="176"/>
      <c r="I2970" s="176"/>
      <c r="J2970" s="176"/>
      <c r="K2970" s="176"/>
      <c r="L2970" s="176"/>
      <c r="M2970" s="176"/>
      <c r="N2970" s="176"/>
      <c r="O2970" s="176"/>
      <c r="P2970" s="176"/>
      <c r="Q2970" s="176"/>
      <c r="R2970" s="176"/>
      <c r="S2970" s="176"/>
      <c r="T2970" s="176"/>
      <c r="U2970" s="176"/>
      <c r="V2970" s="176"/>
      <c r="W2970" s="176"/>
      <c r="X2970" s="176"/>
      <c r="Y2970" s="176"/>
    </row>
    <row r="2971" spans="1:25">
      <c r="A2971" s="91"/>
      <c r="B2971" s="176"/>
      <c r="C2971" s="176"/>
      <c r="D2971" s="176"/>
      <c r="E2971" s="176"/>
      <c r="F2971" s="176"/>
      <c r="G2971" s="176"/>
      <c r="H2971" s="176"/>
      <c r="I2971" s="176"/>
      <c r="J2971" s="176"/>
      <c r="K2971" s="176"/>
      <c r="L2971" s="176"/>
      <c r="M2971" s="176"/>
      <c r="N2971" s="176"/>
      <c r="O2971" s="176"/>
      <c r="P2971" s="176"/>
      <c r="Q2971" s="176"/>
      <c r="R2971" s="176"/>
      <c r="S2971" s="176"/>
      <c r="T2971" s="176"/>
      <c r="U2971" s="176"/>
      <c r="V2971" s="176"/>
      <c r="W2971" s="176"/>
      <c r="X2971" s="176"/>
      <c r="Y2971" s="176"/>
    </row>
    <row r="2972" spans="1:25">
      <c r="A2972" s="91"/>
      <c r="B2972" s="176"/>
      <c r="C2972" s="176"/>
      <c r="D2972" s="176"/>
      <c r="E2972" s="176"/>
      <c r="F2972" s="176"/>
      <c r="G2972" s="176"/>
      <c r="H2972" s="176"/>
      <c r="I2972" s="176"/>
      <c r="J2972" s="176"/>
      <c r="K2972" s="176"/>
      <c r="L2972" s="176"/>
      <c r="M2972" s="176"/>
      <c r="N2972" s="176"/>
      <c r="O2972" s="176"/>
      <c r="P2972" s="176"/>
      <c r="Q2972" s="176"/>
      <c r="R2972" s="176"/>
      <c r="S2972" s="176"/>
      <c r="T2972" s="176"/>
      <c r="U2972" s="176"/>
      <c r="V2972" s="176"/>
      <c r="W2972" s="176"/>
      <c r="X2972" s="176"/>
      <c r="Y2972" s="176"/>
    </row>
    <row r="2973" spans="1:25">
      <c r="A2973" s="91"/>
      <c r="B2973" s="176"/>
      <c r="C2973" s="176"/>
      <c r="D2973" s="176"/>
      <c r="E2973" s="176"/>
      <c r="F2973" s="176"/>
      <c r="G2973" s="176"/>
      <c r="H2973" s="176"/>
      <c r="I2973" s="176"/>
      <c r="J2973" s="176"/>
      <c r="K2973" s="176"/>
      <c r="L2973" s="176"/>
      <c r="M2973" s="176"/>
      <c r="N2973" s="176"/>
      <c r="O2973" s="176"/>
      <c r="P2973" s="176"/>
      <c r="Q2973" s="176"/>
      <c r="R2973" s="176"/>
      <c r="S2973" s="176"/>
      <c r="T2973" s="176"/>
      <c r="U2973" s="176"/>
      <c r="V2973" s="176"/>
      <c r="W2973" s="176"/>
      <c r="X2973" s="176"/>
      <c r="Y2973" s="176"/>
    </row>
    <row r="2974" spans="1:25">
      <c r="A2974" s="91"/>
      <c r="B2974" s="176"/>
      <c r="C2974" s="176"/>
      <c r="D2974" s="176"/>
      <c r="E2974" s="176"/>
      <c r="F2974" s="176"/>
      <c r="G2974" s="176"/>
      <c r="H2974" s="176"/>
      <c r="I2974" s="176"/>
      <c r="J2974" s="176"/>
      <c r="K2974" s="176"/>
      <c r="L2974" s="176"/>
      <c r="M2974" s="176"/>
      <c r="N2974" s="176"/>
      <c r="O2974" s="176"/>
      <c r="P2974" s="176"/>
      <c r="Q2974" s="176"/>
      <c r="R2974" s="176"/>
      <c r="S2974" s="176"/>
      <c r="T2974" s="176"/>
      <c r="U2974" s="176"/>
      <c r="V2974" s="176"/>
      <c r="W2974" s="176"/>
      <c r="X2974" s="176"/>
      <c r="Y2974" s="176"/>
    </row>
    <row r="2975" spans="1:25">
      <c r="A2975" s="91"/>
      <c r="B2975" s="176"/>
      <c r="C2975" s="176"/>
      <c r="D2975" s="176"/>
      <c r="E2975" s="176"/>
      <c r="F2975" s="176"/>
      <c r="G2975" s="176"/>
      <c r="H2975" s="176"/>
      <c r="I2975" s="176"/>
      <c r="J2975" s="176"/>
      <c r="K2975" s="176"/>
      <c r="L2975" s="176"/>
      <c r="M2975" s="176"/>
      <c r="N2975" s="176"/>
      <c r="O2975" s="176"/>
      <c r="P2975" s="176"/>
      <c r="Q2975" s="176"/>
      <c r="R2975" s="176"/>
      <c r="S2975" s="176"/>
      <c r="T2975" s="176"/>
      <c r="U2975" s="176"/>
      <c r="V2975" s="176"/>
      <c r="W2975" s="176"/>
      <c r="X2975" s="176"/>
      <c r="Y2975" s="176"/>
    </row>
    <row r="2976" spans="1:25">
      <c r="A2976" s="91"/>
      <c r="B2976" s="176"/>
      <c r="C2976" s="176"/>
      <c r="D2976" s="176"/>
      <c r="E2976" s="176"/>
      <c r="F2976" s="176"/>
      <c r="G2976" s="176"/>
      <c r="H2976" s="176"/>
      <c r="I2976" s="176"/>
      <c r="J2976" s="176"/>
      <c r="K2976" s="176"/>
      <c r="L2976" s="176"/>
      <c r="M2976" s="176"/>
      <c r="N2976" s="176"/>
      <c r="O2976" s="176"/>
      <c r="P2976" s="176"/>
      <c r="Q2976" s="176"/>
      <c r="R2976" s="176"/>
      <c r="S2976" s="176"/>
      <c r="T2976" s="176"/>
      <c r="U2976" s="176"/>
      <c r="V2976" s="176"/>
      <c r="W2976" s="176"/>
      <c r="X2976" s="176"/>
      <c r="Y2976" s="176"/>
    </row>
    <row r="2977" spans="1:25">
      <c r="A2977" s="91"/>
      <c r="B2977" s="176"/>
      <c r="C2977" s="176"/>
      <c r="D2977" s="176"/>
      <c r="E2977" s="176"/>
      <c r="F2977" s="176"/>
      <c r="G2977" s="176"/>
      <c r="H2977" s="176"/>
      <c r="I2977" s="176"/>
      <c r="J2977" s="176"/>
      <c r="K2977" s="176"/>
      <c r="L2977" s="176"/>
      <c r="M2977" s="176"/>
      <c r="N2977" s="176"/>
      <c r="O2977" s="176"/>
      <c r="P2977" s="176"/>
      <c r="Q2977" s="176"/>
      <c r="R2977" s="176"/>
      <c r="S2977" s="176"/>
      <c r="T2977" s="176"/>
      <c r="U2977" s="176"/>
      <c r="V2977" s="176"/>
      <c r="W2977" s="176"/>
      <c r="X2977" s="176"/>
      <c r="Y2977" s="176"/>
    </row>
    <row r="2978" spans="1:25">
      <c r="A2978" s="91"/>
      <c r="B2978" s="176"/>
      <c r="C2978" s="176"/>
      <c r="D2978" s="176"/>
      <c r="E2978" s="176"/>
      <c r="F2978" s="176"/>
      <c r="G2978" s="176"/>
      <c r="H2978" s="176"/>
      <c r="I2978" s="176"/>
      <c r="J2978" s="176"/>
      <c r="K2978" s="176"/>
      <c r="L2978" s="176"/>
      <c r="M2978" s="176"/>
      <c r="N2978" s="176"/>
      <c r="O2978" s="176"/>
      <c r="P2978" s="176"/>
      <c r="Q2978" s="176"/>
      <c r="R2978" s="176"/>
      <c r="S2978" s="176"/>
      <c r="T2978" s="176"/>
      <c r="U2978" s="176"/>
      <c r="V2978" s="176"/>
      <c r="W2978" s="176"/>
      <c r="X2978" s="176"/>
      <c r="Y2978" s="176"/>
    </row>
    <row r="2979" spans="1:25">
      <c r="A2979" s="91"/>
      <c r="B2979" s="176"/>
      <c r="C2979" s="176"/>
      <c r="D2979" s="176"/>
      <c r="E2979" s="176"/>
      <c r="F2979" s="176"/>
      <c r="G2979" s="176"/>
      <c r="H2979" s="176"/>
      <c r="I2979" s="176"/>
      <c r="J2979" s="176"/>
      <c r="K2979" s="176"/>
      <c r="L2979" s="176"/>
      <c r="M2979" s="176"/>
      <c r="N2979" s="176"/>
      <c r="O2979" s="176"/>
      <c r="P2979" s="176"/>
      <c r="Q2979" s="176"/>
      <c r="R2979" s="176"/>
      <c r="S2979" s="176"/>
      <c r="T2979" s="176"/>
      <c r="U2979" s="176"/>
      <c r="V2979" s="176"/>
      <c r="W2979" s="176"/>
      <c r="X2979" s="176"/>
      <c r="Y2979" s="176"/>
    </row>
    <row r="2980" spans="1:25">
      <c r="A2980" s="91"/>
      <c r="B2980" s="176"/>
      <c r="C2980" s="176"/>
      <c r="D2980" s="176"/>
      <c r="E2980" s="176"/>
      <c r="F2980" s="176"/>
      <c r="G2980" s="176"/>
      <c r="H2980" s="176"/>
      <c r="I2980" s="176"/>
      <c r="J2980" s="176"/>
      <c r="K2980" s="176"/>
      <c r="L2980" s="176"/>
      <c r="M2980" s="176"/>
      <c r="N2980" s="176"/>
      <c r="O2980" s="176"/>
      <c r="P2980" s="176"/>
      <c r="Q2980" s="176"/>
      <c r="R2980" s="176"/>
      <c r="S2980" s="176"/>
      <c r="T2980" s="176"/>
      <c r="U2980" s="176"/>
      <c r="V2980" s="176"/>
      <c r="W2980" s="176"/>
      <c r="X2980" s="176"/>
      <c r="Y2980" s="176"/>
    </row>
    <row r="2981" spans="1:25">
      <c r="A2981" s="91"/>
      <c r="B2981" s="176"/>
      <c r="C2981" s="176"/>
      <c r="D2981" s="176"/>
      <c r="E2981" s="176"/>
      <c r="F2981" s="176"/>
      <c r="G2981" s="176"/>
      <c r="H2981" s="176"/>
      <c r="I2981" s="176"/>
      <c r="J2981" s="176"/>
      <c r="K2981" s="176"/>
      <c r="L2981" s="176"/>
      <c r="M2981" s="176"/>
      <c r="N2981" s="176"/>
      <c r="O2981" s="176"/>
      <c r="P2981" s="176"/>
      <c r="Q2981" s="176"/>
      <c r="R2981" s="176"/>
      <c r="S2981" s="176"/>
      <c r="T2981" s="176"/>
      <c r="U2981" s="176"/>
      <c r="V2981" s="176"/>
      <c r="W2981" s="176"/>
      <c r="X2981" s="176"/>
      <c r="Y2981" s="176"/>
    </row>
    <row r="2982" spans="1:25">
      <c r="A2982" s="91"/>
      <c r="B2982" s="176"/>
      <c r="C2982" s="176"/>
      <c r="D2982" s="176"/>
      <c r="E2982" s="176"/>
      <c r="F2982" s="176"/>
      <c r="G2982" s="176"/>
      <c r="H2982" s="176"/>
      <c r="I2982" s="176"/>
      <c r="J2982" s="176"/>
      <c r="K2982" s="176"/>
      <c r="L2982" s="176"/>
      <c r="M2982" s="176"/>
      <c r="N2982" s="176"/>
      <c r="O2982" s="176"/>
      <c r="P2982" s="176"/>
      <c r="Q2982" s="176"/>
      <c r="R2982" s="176"/>
      <c r="S2982" s="176"/>
      <c r="T2982" s="176"/>
      <c r="U2982" s="176"/>
      <c r="V2982" s="176"/>
      <c r="W2982" s="176"/>
      <c r="X2982" s="176"/>
      <c r="Y2982" s="176"/>
    </row>
    <row r="2983" spans="1:25">
      <c r="A2983" s="91"/>
      <c r="B2983" s="176"/>
      <c r="C2983" s="176"/>
      <c r="D2983" s="176"/>
      <c r="E2983" s="176"/>
      <c r="F2983" s="176"/>
      <c r="G2983" s="176"/>
      <c r="H2983" s="176"/>
      <c r="I2983" s="176"/>
      <c r="J2983" s="176"/>
      <c r="K2983" s="176"/>
      <c r="L2983" s="176"/>
      <c r="M2983" s="176"/>
      <c r="N2983" s="176"/>
      <c r="O2983" s="176"/>
      <c r="P2983" s="176"/>
      <c r="Q2983" s="176"/>
      <c r="R2983" s="176"/>
      <c r="S2983" s="176"/>
      <c r="T2983" s="176"/>
      <c r="U2983" s="176"/>
      <c r="V2983" s="176"/>
      <c r="W2983" s="176"/>
      <c r="X2983" s="176"/>
      <c r="Y2983" s="176"/>
    </row>
    <row r="2984" spans="1:25">
      <c r="A2984" s="91"/>
      <c r="B2984" s="176"/>
      <c r="C2984" s="176"/>
      <c r="D2984" s="176"/>
      <c r="E2984" s="176"/>
      <c r="F2984" s="176"/>
      <c r="G2984" s="176"/>
      <c r="H2984" s="176"/>
      <c r="I2984" s="176"/>
      <c r="J2984" s="176"/>
      <c r="K2984" s="176"/>
      <c r="L2984" s="176"/>
      <c r="M2984" s="176"/>
      <c r="N2984" s="176"/>
      <c r="O2984" s="176"/>
      <c r="P2984" s="176"/>
      <c r="Q2984" s="176"/>
      <c r="R2984" s="176"/>
      <c r="S2984" s="176"/>
      <c r="T2984" s="176"/>
      <c r="U2984" s="176"/>
      <c r="V2984" s="176"/>
      <c r="W2984" s="176"/>
      <c r="X2984" s="176"/>
      <c r="Y2984" s="176"/>
    </row>
    <row r="2985" spans="1:25">
      <c r="A2985" s="91"/>
      <c r="B2985" s="176"/>
      <c r="C2985" s="176"/>
      <c r="D2985" s="176"/>
      <c r="E2985" s="176"/>
      <c r="F2985" s="176"/>
      <c r="G2985" s="176"/>
      <c r="H2985" s="176"/>
      <c r="I2985" s="176"/>
      <c r="J2985" s="176"/>
      <c r="K2985" s="176"/>
      <c r="L2985" s="176"/>
      <c r="M2985" s="176"/>
      <c r="N2985" s="176"/>
      <c r="O2985" s="176"/>
      <c r="P2985" s="176"/>
      <c r="Q2985" s="176"/>
      <c r="R2985" s="176"/>
      <c r="S2985" s="176"/>
      <c r="T2985" s="176"/>
      <c r="U2985" s="176"/>
      <c r="V2985" s="176"/>
      <c r="W2985" s="176"/>
      <c r="X2985" s="176"/>
      <c r="Y2985" s="176"/>
    </row>
    <row r="2986" spans="1:25">
      <c r="A2986" s="91"/>
      <c r="B2986" s="176"/>
      <c r="C2986" s="176"/>
      <c r="D2986" s="176"/>
      <c r="E2986" s="176"/>
      <c r="F2986" s="176"/>
      <c r="G2986" s="176"/>
      <c r="H2986" s="176"/>
      <c r="I2986" s="176"/>
      <c r="J2986" s="176"/>
      <c r="K2986" s="176"/>
      <c r="L2986" s="176"/>
      <c r="M2986" s="176"/>
      <c r="N2986" s="176"/>
      <c r="O2986" s="176"/>
      <c r="P2986" s="176"/>
      <c r="Q2986" s="176"/>
      <c r="R2986" s="176"/>
      <c r="S2986" s="176"/>
      <c r="T2986" s="176"/>
      <c r="U2986" s="176"/>
      <c r="V2986" s="176"/>
      <c r="W2986" s="176"/>
      <c r="X2986" s="176"/>
      <c r="Y2986" s="176"/>
    </row>
    <row r="2987" spans="1:25">
      <c r="A2987" s="91"/>
      <c r="B2987" s="176"/>
      <c r="C2987" s="176"/>
      <c r="D2987" s="176"/>
      <c r="E2987" s="176"/>
      <c r="F2987" s="176"/>
      <c r="G2987" s="176"/>
      <c r="H2987" s="176"/>
      <c r="I2987" s="176"/>
      <c r="J2987" s="176"/>
      <c r="K2987" s="176"/>
      <c r="L2987" s="176"/>
      <c r="M2987" s="176"/>
      <c r="N2987" s="176"/>
      <c r="O2987" s="176"/>
      <c r="P2987" s="176"/>
      <c r="Q2987" s="176"/>
      <c r="R2987" s="176"/>
      <c r="S2987" s="176"/>
      <c r="T2987" s="176"/>
      <c r="U2987" s="176"/>
      <c r="V2987" s="176"/>
      <c r="W2987" s="176"/>
      <c r="X2987" s="176"/>
      <c r="Y2987" s="176"/>
    </row>
    <row r="2988" spans="1:25">
      <c r="A2988" s="91"/>
      <c r="B2988" s="176"/>
      <c r="C2988" s="176"/>
      <c r="D2988" s="176"/>
      <c r="E2988" s="176"/>
      <c r="F2988" s="176"/>
      <c r="G2988" s="176"/>
      <c r="H2988" s="176"/>
      <c r="I2988" s="176"/>
      <c r="J2988" s="176"/>
      <c r="K2988" s="176"/>
      <c r="L2988" s="176"/>
      <c r="M2988" s="176"/>
      <c r="N2988" s="176"/>
      <c r="O2988" s="176"/>
      <c r="P2988" s="176"/>
      <c r="Q2988" s="176"/>
      <c r="R2988" s="176"/>
      <c r="S2988" s="176"/>
      <c r="T2988" s="176"/>
      <c r="U2988" s="176"/>
      <c r="V2988" s="176"/>
      <c r="W2988" s="176"/>
      <c r="X2988" s="176"/>
      <c r="Y2988" s="176"/>
    </row>
    <row r="2989" spans="1:25">
      <c r="A2989" s="91"/>
      <c r="B2989" s="176"/>
      <c r="C2989" s="176"/>
      <c r="D2989" s="176"/>
      <c r="E2989" s="176"/>
      <c r="F2989" s="176"/>
      <c r="G2989" s="176"/>
      <c r="H2989" s="176"/>
      <c r="I2989" s="176"/>
      <c r="J2989" s="176"/>
      <c r="K2989" s="176"/>
      <c r="L2989" s="176"/>
      <c r="M2989" s="176"/>
      <c r="N2989" s="176"/>
      <c r="O2989" s="176"/>
      <c r="P2989" s="176"/>
      <c r="Q2989" s="176"/>
      <c r="R2989" s="176"/>
      <c r="S2989" s="176"/>
      <c r="T2989" s="176"/>
      <c r="U2989" s="176"/>
      <c r="V2989" s="176"/>
      <c r="W2989" s="176"/>
      <c r="X2989" s="176"/>
      <c r="Y2989" s="176"/>
    </row>
    <row r="2990" spans="1:25">
      <c r="A2990" s="91"/>
      <c r="B2990" s="176"/>
      <c r="C2990" s="176"/>
      <c r="D2990" s="176"/>
      <c r="E2990" s="176"/>
      <c r="F2990" s="176"/>
      <c r="G2990" s="176"/>
      <c r="H2990" s="176"/>
      <c r="I2990" s="176"/>
      <c r="J2990" s="176"/>
      <c r="K2990" s="176"/>
      <c r="L2990" s="176"/>
      <c r="M2990" s="176"/>
      <c r="N2990" s="176"/>
      <c r="O2990" s="176"/>
      <c r="P2990" s="176"/>
      <c r="Q2990" s="176"/>
      <c r="R2990" s="176"/>
      <c r="S2990" s="176"/>
      <c r="T2990" s="176"/>
      <c r="U2990" s="176"/>
      <c r="V2990" s="176"/>
      <c r="W2990" s="176"/>
      <c r="X2990" s="176"/>
      <c r="Y2990" s="176"/>
    </row>
    <row r="2991" spans="1:25">
      <c r="A2991" s="91"/>
      <c r="B2991" s="176"/>
      <c r="C2991" s="176"/>
      <c r="D2991" s="176"/>
      <c r="E2991" s="176"/>
      <c r="F2991" s="176"/>
      <c r="G2991" s="176"/>
      <c r="H2991" s="176"/>
      <c r="I2991" s="176"/>
      <c r="J2991" s="176"/>
      <c r="K2991" s="176"/>
      <c r="L2991" s="176"/>
      <c r="M2991" s="176"/>
      <c r="N2991" s="176"/>
      <c r="O2991" s="176"/>
      <c r="P2991" s="176"/>
      <c r="Q2991" s="176"/>
      <c r="R2991" s="176"/>
      <c r="S2991" s="176"/>
      <c r="T2991" s="176"/>
      <c r="U2991" s="176"/>
      <c r="V2991" s="176"/>
      <c r="W2991" s="176"/>
      <c r="X2991" s="176"/>
      <c r="Y2991" s="176"/>
    </row>
    <row r="2992" spans="1:25">
      <c r="A2992" s="91"/>
      <c r="B2992" s="176"/>
      <c r="C2992" s="176"/>
      <c r="D2992" s="176"/>
      <c r="E2992" s="176"/>
      <c r="F2992" s="176"/>
      <c r="G2992" s="176"/>
      <c r="H2992" s="176"/>
      <c r="I2992" s="176"/>
      <c r="J2992" s="176"/>
      <c r="K2992" s="176"/>
      <c r="L2992" s="176"/>
      <c r="M2992" s="176"/>
      <c r="N2992" s="176"/>
      <c r="O2992" s="176"/>
      <c r="P2992" s="176"/>
      <c r="Q2992" s="176"/>
      <c r="R2992" s="176"/>
      <c r="S2992" s="176"/>
      <c r="T2992" s="176"/>
      <c r="U2992" s="176"/>
      <c r="V2992" s="176"/>
      <c r="W2992" s="176"/>
      <c r="X2992" s="176"/>
      <c r="Y2992" s="176"/>
    </row>
    <row r="2993" spans="1:25">
      <c r="A2993" s="91"/>
      <c r="B2993" s="176"/>
      <c r="C2993" s="176"/>
      <c r="D2993" s="176"/>
      <c r="E2993" s="176"/>
      <c r="F2993" s="176"/>
      <c r="G2993" s="176"/>
      <c r="H2993" s="176"/>
      <c r="I2993" s="176"/>
      <c r="J2993" s="176"/>
      <c r="K2993" s="176"/>
      <c r="L2993" s="176"/>
      <c r="M2993" s="176"/>
      <c r="N2993" s="176"/>
      <c r="O2993" s="176"/>
      <c r="P2993" s="176"/>
      <c r="Q2993" s="176"/>
      <c r="R2993" s="176"/>
      <c r="S2993" s="176"/>
      <c r="T2993" s="176"/>
      <c r="U2993" s="176"/>
      <c r="V2993" s="176"/>
      <c r="W2993" s="176"/>
      <c r="X2993" s="176"/>
      <c r="Y2993" s="176"/>
    </row>
    <row r="2994" spans="1:25">
      <c r="A2994" s="91"/>
      <c r="B2994" s="176"/>
      <c r="C2994" s="176"/>
      <c r="D2994" s="176"/>
      <c r="E2994" s="176"/>
      <c r="F2994" s="176"/>
      <c r="G2994" s="176"/>
      <c r="H2994" s="176"/>
      <c r="I2994" s="176"/>
      <c r="J2994" s="176"/>
      <c r="K2994" s="176"/>
      <c r="L2994" s="176"/>
      <c r="M2994" s="176"/>
      <c r="N2994" s="176"/>
      <c r="O2994" s="176"/>
      <c r="P2994" s="176"/>
      <c r="Q2994" s="176"/>
      <c r="R2994" s="176"/>
      <c r="S2994" s="176"/>
      <c r="T2994" s="176"/>
      <c r="U2994" s="176"/>
      <c r="V2994" s="176"/>
      <c r="W2994" s="176"/>
      <c r="X2994" s="176"/>
      <c r="Y2994" s="176"/>
    </row>
    <row r="2995" spans="1:25">
      <c r="A2995" s="91"/>
      <c r="B2995" s="176"/>
      <c r="C2995" s="176"/>
      <c r="D2995" s="176"/>
      <c r="E2995" s="176"/>
      <c r="F2995" s="176"/>
      <c r="G2995" s="176"/>
      <c r="H2995" s="176"/>
      <c r="I2995" s="176"/>
      <c r="J2995" s="176"/>
      <c r="K2995" s="176"/>
      <c r="L2995" s="176"/>
      <c r="M2995" s="176"/>
      <c r="N2995" s="176"/>
      <c r="O2995" s="176"/>
      <c r="P2995" s="176"/>
      <c r="Q2995" s="176"/>
      <c r="R2995" s="176"/>
      <c r="S2995" s="176"/>
      <c r="T2995" s="176"/>
      <c r="U2995" s="176"/>
      <c r="V2995" s="176"/>
      <c r="W2995" s="176"/>
      <c r="X2995" s="176"/>
      <c r="Y2995" s="176"/>
    </row>
    <row r="2996" spans="1:25">
      <c r="A2996" s="91"/>
      <c r="B2996" s="176"/>
      <c r="C2996" s="176"/>
      <c r="D2996" s="176"/>
      <c r="E2996" s="176"/>
      <c r="F2996" s="176"/>
      <c r="G2996" s="176"/>
      <c r="H2996" s="176"/>
      <c r="I2996" s="176"/>
      <c r="J2996" s="176"/>
      <c r="K2996" s="176"/>
      <c r="L2996" s="176"/>
      <c r="M2996" s="176"/>
      <c r="N2996" s="176"/>
      <c r="O2996" s="176"/>
      <c r="P2996" s="176"/>
      <c r="Q2996" s="176"/>
      <c r="R2996" s="176"/>
      <c r="S2996" s="176"/>
      <c r="T2996" s="176"/>
      <c r="U2996" s="176"/>
      <c r="V2996" s="176"/>
      <c r="W2996" s="176"/>
      <c r="X2996" s="176"/>
      <c r="Y2996" s="176"/>
    </row>
    <row r="2997" spans="1:25">
      <c r="A2997" s="91"/>
      <c r="B2997" s="176"/>
      <c r="C2997" s="176"/>
      <c r="D2997" s="176"/>
      <c r="E2997" s="176"/>
      <c r="F2997" s="176"/>
      <c r="G2997" s="176"/>
      <c r="H2997" s="176"/>
      <c r="I2997" s="176"/>
      <c r="J2997" s="176"/>
      <c r="K2997" s="176"/>
      <c r="L2997" s="176"/>
      <c r="M2997" s="176"/>
      <c r="N2997" s="176"/>
      <c r="O2997" s="176"/>
      <c r="P2997" s="176"/>
      <c r="Q2997" s="176"/>
      <c r="R2997" s="176"/>
      <c r="S2997" s="176"/>
      <c r="T2997" s="176"/>
      <c r="U2997" s="176"/>
      <c r="V2997" s="176"/>
      <c r="W2997" s="176"/>
      <c r="X2997" s="176"/>
      <c r="Y2997" s="176"/>
    </row>
    <row r="2998" spans="1:25">
      <c r="A2998" s="91"/>
      <c r="B2998" s="176"/>
      <c r="C2998" s="176"/>
      <c r="D2998" s="176"/>
      <c r="E2998" s="176"/>
      <c r="F2998" s="176"/>
      <c r="G2998" s="176"/>
      <c r="H2998" s="176"/>
      <c r="I2998" s="176"/>
      <c r="J2998" s="176"/>
      <c r="K2998" s="176"/>
      <c r="L2998" s="176"/>
      <c r="M2998" s="176"/>
      <c r="N2998" s="176"/>
      <c r="O2998" s="176"/>
      <c r="P2998" s="176"/>
      <c r="Q2998" s="176"/>
      <c r="R2998" s="176"/>
      <c r="S2998" s="176"/>
      <c r="T2998" s="176"/>
      <c r="U2998" s="176"/>
      <c r="V2998" s="176"/>
      <c r="W2998" s="176"/>
      <c r="X2998" s="176"/>
      <c r="Y2998" s="176"/>
    </row>
    <row r="2999" spans="1:25">
      <c r="A2999" s="91"/>
      <c r="B2999" s="176"/>
      <c r="C2999" s="176"/>
      <c r="D2999" s="176"/>
      <c r="E2999" s="176"/>
      <c r="F2999" s="176"/>
      <c r="G2999" s="176"/>
      <c r="H2999" s="176"/>
      <c r="I2999" s="176"/>
      <c r="J2999" s="176"/>
      <c r="K2999" s="176"/>
      <c r="L2999" s="176"/>
      <c r="M2999" s="176"/>
      <c r="N2999" s="176"/>
      <c r="O2999" s="176"/>
      <c r="P2999" s="176"/>
      <c r="Q2999" s="176"/>
      <c r="R2999" s="176"/>
      <c r="S2999" s="176"/>
      <c r="T2999" s="176"/>
      <c r="U2999" s="176"/>
      <c r="V2999" s="176"/>
      <c r="W2999" s="176"/>
      <c r="X2999" s="176"/>
      <c r="Y2999" s="176"/>
    </row>
    <row r="3000" spans="1:25">
      <c r="A3000" s="91"/>
      <c r="B3000" s="176"/>
      <c r="C3000" s="176"/>
      <c r="D3000" s="176"/>
      <c r="E3000" s="176"/>
      <c r="F3000" s="176"/>
      <c r="G3000" s="176"/>
      <c r="H3000" s="176"/>
      <c r="I3000" s="176"/>
      <c r="J3000" s="176"/>
      <c r="K3000" s="176"/>
      <c r="L3000" s="176"/>
      <c r="M3000" s="176"/>
      <c r="N3000" s="176"/>
      <c r="O3000" s="176"/>
      <c r="P3000" s="176"/>
      <c r="Q3000" s="176"/>
      <c r="R3000" s="176"/>
      <c r="S3000" s="176"/>
      <c r="T3000" s="176"/>
      <c r="U3000" s="176"/>
      <c r="V3000" s="176"/>
      <c r="W3000" s="176"/>
      <c r="X3000" s="176"/>
      <c r="Y3000" s="176"/>
    </row>
    <row r="3001" spans="1:25">
      <c r="A3001" s="91"/>
      <c r="B3001" s="176"/>
      <c r="C3001" s="176"/>
      <c r="D3001" s="176"/>
      <c r="E3001" s="176"/>
      <c r="F3001" s="176"/>
      <c r="G3001" s="176"/>
      <c r="H3001" s="176"/>
      <c r="I3001" s="176"/>
      <c r="J3001" s="176"/>
      <c r="K3001" s="176"/>
      <c r="L3001" s="176"/>
      <c r="M3001" s="176"/>
      <c r="N3001" s="176"/>
      <c r="O3001" s="176"/>
      <c r="P3001" s="176"/>
      <c r="Q3001" s="176"/>
      <c r="R3001" s="176"/>
      <c r="S3001" s="176"/>
      <c r="T3001" s="176"/>
      <c r="U3001" s="176"/>
      <c r="V3001" s="176"/>
      <c r="W3001" s="176"/>
      <c r="X3001" s="176"/>
      <c r="Y3001" s="176"/>
    </row>
    <row r="3002" spans="1:25">
      <c r="A3002" s="91"/>
      <c r="B3002" s="176"/>
      <c r="C3002" s="176"/>
      <c r="D3002" s="176"/>
      <c r="E3002" s="176"/>
      <c r="F3002" s="176"/>
      <c r="G3002" s="176"/>
      <c r="H3002" s="176"/>
      <c r="I3002" s="176"/>
      <c r="J3002" s="176"/>
      <c r="K3002" s="176"/>
      <c r="L3002" s="176"/>
      <c r="M3002" s="176"/>
      <c r="N3002" s="176"/>
      <c r="O3002" s="176"/>
      <c r="P3002" s="176"/>
      <c r="Q3002" s="176"/>
      <c r="R3002" s="176"/>
      <c r="S3002" s="176"/>
      <c r="T3002" s="176"/>
      <c r="U3002" s="176"/>
      <c r="V3002" s="176"/>
      <c r="W3002" s="176"/>
      <c r="X3002" s="176"/>
      <c r="Y3002" s="176"/>
    </row>
    <row r="3003" spans="1:25">
      <c r="A3003" s="91"/>
      <c r="B3003" s="176"/>
      <c r="C3003" s="176"/>
      <c r="D3003" s="176"/>
      <c r="E3003" s="176"/>
      <c r="F3003" s="176"/>
      <c r="G3003" s="176"/>
      <c r="H3003" s="176"/>
      <c r="I3003" s="176"/>
      <c r="J3003" s="176"/>
      <c r="K3003" s="176"/>
      <c r="L3003" s="176"/>
      <c r="M3003" s="176"/>
      <c r="N3003" s="176"/>
      <c r="O3003" s="176"/>
      <c r="P3003" s="176"/>
      <c r="Q3003" s="176"/>
      <c r="R3003" s="176"/>
      <c r="S3003" s="176"/>
      <c r="T3003" s="176"/>
      <c r="U3003" s="176"/>
      <c r="V3003" s="176"/>
      <c r="W3003" s="176"/>
      <c r="X3003" s="176"/>
      <c r="Y3003" s="176"/>
    </row>
    <row r="3004" spans="1:25">
      <c r="A3004" s="91"/>
      <c r="B3004" s="176"/>
      <c r="C3004" s="176"/>
      <c r="D3004" s="176"/>
      <c r="E3004" s="176"/>
      <c r="F3004" s="176"/>
      <c r="G3004" s="176"/>
      <c r="H3004" s="176"/>
      <c r="I3004" s="176"/>
      <c r="J3004" s="176"/>
      <c r="K3004" s="176"/>
      <c r="L3004" s="176"/>
      <c r="M3004" s="176"/>
      <c r="N3004" s="176"/>
      <c r="O3004" s="176"/>
      <c r="P3004" s="176"/>
      <c r="Q3004" s="176"/>
      <c r="R3004" s="176"/>
      <c r="S3004" s="176"/>
      <c r="T3004" s="176"/>
      <c r="U3004" s="176"/>
      <c r="V3004" s="176"/>
      <c r="W3004" s="176"/>
      <c r="X3004" s="176"/>
      <c r="Y3004" s="176"/>
    </row>
    <row r="3005" spans="1:25">
      <c r="A3005" s="91"/>
      <c r="B3005" s="176"/>
      <c r="C3005" s="176"/>
      <c r="D3005" s="176"/>
      <c r="E3005" s="176"/>
      <c r="F3005" s="176"/>
      <c r="G3005" s="176"/>
      <c r="H3005" s="176"/>
      <c r="I3005" s="176"/>
      <c r="J3005" s="176"/>
      <c r="K3005" s="176"/>
      <c r="L3005" s="176"/>
      <c r="M3005" s="176"/>
      <c r="N3005" s="176"/>
      <c r="O3005" s="176"/>
      <c r="P3005" s="176"/>
      <c r="Q3005" s="176"/>
      <c r="R3005" s="176"/>
      <c r="S3005" s="176"/>
      <c r="T3005" s="176"/>
      <c r="U3005" s="176"/>
      <c r="V3005" s="176"/>
      <c r="W3005" s="176"/>
      <c r="X3005" s="176"/>
      <c r="Y3005" s="176"/>
    </row>
    <row r="3006" spans="1:25">
      <c r="A3006" s="91"/>
      <c r="B3006" s="176"/>
      <c r="C3006" s="176"/>
      <c r="D3006" s="176"/>
      <c r="E3006" s="176"/>
      <c r="F3006" s="176"/>
      <c r="G3006" s="176"/>
      <c r="H3006" s="176"/>
      <c r="I3006" s="176"/>
      <c r="J3006" s="176"/>
      <c r="K3006" s="176"/>
      <c r="L3006" s="176"/>
      <c r="M3006" s="176"/>
      <c r="N3006" s="176"/>
      <c r="O3006" s="176"/>
      <c r="P3006" s="176"/>
      <c r="Q3006" s="176"/>
      <c r="R3006" s="176"/>
      <c r="S3006" s="176"/>
      <c r="T3006" s="176"/>
      <c r="U3006" s="176"/>
      <c r="V3006" s="176"/>
      <c r="W3006" s="176"/>
      <c r="X3006" s="176"/>
      <c r="Y3006" s="176"/>
    </row>
    <row r="3007" spans="1:25">
      <c r="A3007" s="91"/>
      <c r="B3007" s="176"/>
      <c r="C3007" s="176"/>
      <c r="D3007" s="176"/>
      <c r="E3007" s="176"/>
      <c r="F3007" s="176"/>
      <c r="G3007" s="176"/>
      <c r="H3007" s="176"/>
      <c r="I3007" s="176"/>
      <c r="J3007" s="176"/>
      <c r="K3007" s="176"/>
      <c r="L3007" s="176"/>
      <c r="M3007" s="176"/>
      <c r="N3007" s="176"/>
      <c r="O3007" s="176"/>
      <c r="P3007" s="176"/>
      <c r="Q3007" s="176"/>
      <c r="R3007" s="176"/>
      <c r="S3007" s="176"/>
      <c r="T3007" s="176"/>
      <c r="U3007" s="176"/>
      <c r="V3007" s="176"/>
      <c r="W3007" s="176"/>
      <c r="X3007" s="176"/>
      <c r="Y3007" s="176"/>
    </row>
    <row r="3008" spans="1:25">
      <c r="A3008" s="91"/>
      <c r="B3008" s="176"/>
      <c r="C3008" s="176"/>
      <c r="D3008" s="176"/>
      <c r="E3008" s="176"/>
      <c r="F3008" s="176"/>
      <c r="G3008" s="176"/>
      <c r="H3008" s="176"/>
      <c r="I3008" s="176"/>
      <c r="J3008" s="176"/>
      <c r="K3008" s="176"/>
      <c r="L3008" s="176"/>
      <c r="M3008" s="176"/>
      <c r="N3008" s="176"/>
      <c r="O3008" s="176"/>
      <c r="P3008" s="176"/>
      <c r="Q3008" s="176"/>
      <c r="R3008" s="176"/>
      <c r="S3008" s="176"/>
      <c r="T3008" s="176"/>
      <c r="U3008" s="176"/>
      <c r="V3008" s="176"/>
      <c r="W3008" s="176"/>
      <c r="X3008" s="176"/>
      <c r="Y3008" s="176"/>
    </row>
    <row r="3009" spans="1:25">
      <c r="A3009" s="91"/>
      <c r="B3009" s="176"/>
      <c r="C3009" s="176"/>
      <c r="D3009" s="176"/>
      <c r="E3009" s="176"/>
      <c r="F3009" s="176"/>
      <c r="G3009" s="176"/>
      <c r="H3009" s="176"/>
      <c r="I3009" s="176"/>
      <c r="J3009" s="176"/>
      <c r="K3009" s="176"/>
      <c r="L3009" s="176"/>
      <c r="M3009" s="176"/>
      <c r="N3009" s="176"/>
      <c r="O3009" s="176"/>
      <c r="P3009" s="176"/>
      <c r="Q3009" s="176"/>
      <c r="R3009" s="176"/>
      <c r="S3009" s="176"/>
      <c r="T3009" s="176"/>
      <c r="U3009" s="176"/>
      <c r="V3009" s="176"/>
      <c r="W3009" s="176"/>
      <c r="X3009" s="176"/>
      <c r="Y3009" s="176"/>
    </row>
    <row r="3010" spans="1:25">
      <c r="A3010" s="91"/>
      <c r="B3010" s="176"/>
      <c r="C3010" s="176"/>
      <c r="D3010" s="176"/>
      <c r="E3010" s="176"/>
      <c r="F3010" s="176"/>
      <c r="G3010" s="176"/>
      <c r="H3010" s="176"/>
      <c r="I3010" s="176"/>
      <c r="J3010" s="176"/>
      <c r="K3010" s="176"/>
      <c r="L3010" s="176"/>
      <c r="M3010" s="176"/>
      <c r="N3010" s="176"/>
      <c r="O3010" s="176"/>
      <c r="P3010" s="176"/>
      <c r="Q3010" s="176"/>
      <c r="R3010" s="176"/>
      <c r="S3010" s="176"/>
      <c r="T3010" s="176"/>
      <c r="U3010" s="176"/>
      <c r="V3010" s="176"/>
      <c r="W3010" s="176"/>
      <c r="X3010" s="176"/>
      <c r="Y3010" s="176"/>
    </row>
    <row r="3011" spans="1:25">
      <c r="A3011" s="91"/>
      <c r="B3011" s="176"/>
      <c r="C3011" s="176"/>
      <c r="D3011" s="176"/>
      <c r="E3011" s="176"/>
      <c r="F3011" s="176"/>
      <c r="G3011" s="176"/>
      <c r="H3011" s="176"/>
      <c r="I3011" s="176"/>
      <c r="J3011" s="176"/>
      <c r="K3011" s="176"/>
      <c r="L3011" s="176"/>
      <c r="M3011" s="176"/>
      <c r="N3011" s="176"/>
      <c r="O3011" s="176"/>
      <c r="P3011" s="176"/>
      <c r="Q3011" s="176"/>
      <c r="R3011" s="176"/>
      <c r="S3011" s="176"/>
      <c r="T3011" s="176"/>
      <c r="U3011" s="176"/>
      <c r="V3011" s="176"/>
      <c r="W3011" s="176"/>
      <c r="X3011" s="176"/>
      <c r="Y3011" s="176"/>
    </row>
    <row r="3012" spans="1:25">
      <c r="A3012" s="91"/>
      <c r="B3012" s="176"/>
      <c r="C3012" s="176"/>
      <c r="D3012" s="176"/>
      <c r="E3012" s="176"/>
      <c r="F3012" s="176"/>
      <c r="G3012" s="176"/>
      <c r="H3012" s="176"/>
      <c r="I3012" s="176"/>
      <c r="J3012" s="176"/>
      <c r="K3012" s="176"/>
      <c r="L3012" s="176"/>
      <c r="M3012" s="176"/>
      <c r="N3012" s="176"/>
      <c r="O3012" s="176"/>
      <c r="P3012" s="176"/>
      <c r="Q3012" s="176"/>
      <c r="R3012" s="176"/>
      <c r="S3012" s="176"/>
      <c r="T3012" s="176"/>
      <c r="U3012" s="176"/>
      <c r="V3012" s="176"/>
      <c r="W3012" s="176"/>
      <c r="X3012" s="176"/>
      <c r="Y3012" s="176"/>
    </row>
    <row r="3013" spans="1:25">
      <c r="A3013" s="91"/>
      <c r="B3013" s="176"/>
      <c r="C3013" s="176"/>
      <c r="D3013" s="176"/>
      <c r="E3013" s="176"/>
      <c r="F3013" s="176"/>
      <c r="G3013" s="176"/>
      <c r="H3013" s="176"/>
      <c r="I3013" s="176"/>
      <c r="J3013" s="176"/>
      <c r="K3013" s="176"/>
      <c r="L3013" s="176"/>
      <c r="M3013" s="176"/>
      <c r="N3013" s="176"/>
      <c r="O3013" s="176"/>
      <c r="P3013" s="176"/>
      <c r="Q3013" s="176"/>
      <c r="R3013" s="176"/>
      <c r="S3013" s="176"/>
      <c r="T3013" s="176"/>
      <c r="U3013" s="176"/>
      <c r="V3013" s="176"/>
      <c r="W3013" s="176"/>
      <c r="X3013" s="176"/>
      <c r="Y3013" s="176"/>
    </row>
    <row r="3014" spans="1:25">
      <c r="A3014" s="91"/>
      <c r="B3014" s="176"/>
      <c r="C3014" s="176"/>
      <c r="D3014" s="176"/>
      <c r="E3014" s="176"/>
      <c r="F3014" s="176"/>
      <c r="G3014" s="176"/>
      <c r="H3014" s="176"/>
      <c r="I3014" s="176"/>
      <c r="J3014" s="176"/>
      <c r="K3014" s="176"/>
      <c r="L3014" s="176"/>
      <c r="M3014" s="176"/>
      <c r="N3014" s="176"/>
      <c r="O3014" s="176"/>
      <c r="P3014" s="176"/>
      <c r="Q3014" s="176"/>
      <c r="R3014" s="176"/>
      <c r="S3014" s="176"/>
      <c r="T3014" s="176"/>
      <c r="U3014" s="176"/>
      <c r="V3014" s="176"/>
      <c r="W3014" s="176"/>
      <c r="X3014" s="176"/>
      <c r="Y3014" s="176"/>
    </row>
    <row r="3015" spans="1:25">
      <c r="A3015" s="91"/>
      <c r="B3015" s="176"/>
      <c r="C3015" s="176"/>
      <c r="D3015" s="176"/>
      <c r="E3015" s="176"/>
      <c r="F3015" s="176"/>
      <c r="G3015" s="176"/>
      <c r="H3015" s="176"/>
      <c r="I3015" s="176"/>
      <c r="J3015" s="176"/>
      <c r="K3015" s="176"/>
      <c r="L3015" s="176"/>
      <c r="M3015" s="176"/>
      <c r="N3015" s="176"/>
      <c r="O3015" s="176"/>
      <c r="P3015" s="176"/>
      <c r="Q3015" s="176"/>
      <c r="R3015" s="176"/>
      <c r="S3015" s="176"/>
      <c r="T3015" s="176"/>
      <c r="U3015" s="176"/>
      <c r="V3015" s="176"/>
      <c r="W3015" s="176"/>
      <c r="X3015" s="176"/>
      <c r="Y3015" s="176"/>
    </row>
    <row r="3016" spans="1:25">
      <c r="A3016" s="91"/>
      <c r="B3016" s="176"/>
      <c r="C3016" s="176"/>
      <c r="D3016" s="176"/>
      <c r="E3016" s="176"/>
      <c r="F3016" s="176"/>
      <c r="G3016" s="176"/>
      <c r="H3016" s="176"/>
      <c r="I3016" s="176"/>
      <c r="J3016" s="176"/>
      <c r="K3016" s="176"/>
      <c r="L3016" s="176"/>
      <c r="M3016" s="176"/>
      <c r="N3016" s="176"/>
      <c r="O3016" s="176"/>
      <c r="P3016" s="176"/>
      <c r="Q3016" s="176"/>
      <c r="R3016" s="176"/>
      <c r="S3016" s="176"/>
      <c r="T3016" s="176"/>
      <c r="U3016" s="176"/>
      <c r="V3016" s="176"/>
      <c r="W3016" s="176"/>
      <c r="X3016" s="176"/>
      <c r="Y3016" s="176"/>
    </row>
    <row r="3017" spans="1:25">
      <c r="A3017" s="91"/>
      <c r="B3017" s="176"/>
      <c r="C3017" s="176"/>
      <c r="D3017" s="176"/>
      <c r="E3017" s="176"/>
      <c r="F3017" s="176"/>
      <c r="G3017" s="176"/>
      <c r="H3017" s="176"/>
      <c r="I3017" s="176"/>
      <c r="J3017" s="176"/>
      <c r="K3017" s="176"/>
      <c r="L3017" s="176"/>
      <c r="M3017" s="176"/>
      <c r="N3017" s="176"/>
      <c r="O3017" s="176"/>
      <c r="P3017" s="176"/>
      <c r="Q3017" s="176"/>
      <c r="R3017" s="176"/>
      <c r="S3017" s="176"/>
      <c r="T3017" s="176"/>
      <c r="U3017" s="176"/>
      <c r="V3017" s="176"/>
      <c r="W3017" s="176"/>
      <c r="X3017" s="176"/>
      <c r="Y3017" s="176"/>
    </row>
    <row r="3018" spans="1:25">
      <c r="A3018" s="91"/>
      <c r="B3018" s="176"/>
      <c r="C3018" s="176"/>
      <c r="D3018" s="176"/>
      <c r="E3018" s="176"/>
      <c r="F3018" s="176"/>
      <c r="G3018" s="176"/>
      <c r="H3018" s="176"/>
      <c r="I3018" s="176"/>
      <c r="J3018" s="176"/>
      <c r="K3018" s="176"/>
      <c r="L3018" s="176"/>
      <c r="M3018" s="176"/>
      <c r="N3018" s="176"/>
      <c r="O3018" s="176"/>
      <c r="P3018" s="176"/>
      <c r="Q3018" s="176"/>
      <c r="R3018" s="176"/>
      <c r="S3018" s="176"/>
      <c r="T3018" s="176"/>
      <c r="U3018" s="176"/>
      <c r="V3018" s="176"/>
      <c r="W3018" s="176"/>
      <c r="X3018" s="176"/>
      <c r="Y3018" s="176"/>
    </row>
    <row r="3019" spans="1:25">
      <c r="A3019" s="91"/>
      <c r="B3019" s="176"/>
      <c r="C3019" s="176"/>
      <c r="D3019" s="176"/>
      <c r="E3019" s="176"/>
      <c r="F3019" s="176"/>
      <c r="G3019" s="176"/>
      <c r="H3019" s="176"/>
      <c r="I3019" s="176"/>
      <c r="J3019" s="176"/>
      <c r="K3019" s="176"/>
      <c r="L3019" s="176"/>
      <c r="M3019" s="176"/>
      <c r="N3019" s="176"/>
      <c r="O3019" s="176"/>
      <c r="P3019" s="176"/>
      <c r="Q3019" s="176"/>
      <c r="R3019" s="176"/>
      <c r="S3019" s="176"/>
      <c r="T3019" s="176"/>
      <c r="U3019" s="176"/>
      <c r="V3019" s="176"/>
      <c r="W3019" s="176"/>
      <c r="X3019" s="176"/>
      <c r="Y3019" s="176"/>
    </row>
    <row r="3020" spans="1:25">
      <c r="A3020" s="91"/>
      <c r="B3020" s="176"/>
      <c r="C3020" s="176"/>
      <c r="D3020" s="176"/>
      <c r="E3020" s="176"/>
      <c r="F3020" s="176"/>
      <c r="G3020" s="176"/>
      <c r="H3020" s="176"/>
      <c r="I3020" s="176"/>
      <c r="J3020" s="176"/>
      <c r="K3020" s="176"/>
      <c r="L3020" s="176"/>
      <c r="M3020" s="176"/>
      <c r="N3020" s="176"/>
      <c r="O3020" s="176"/>
      <c r="P3020" s="176"/>
      <c r="Q3020" s="176"/>
      <c r="R3020" s="176"/>
      <c r="S3020" s="176"/>
      <c r="T3020" s="176"/>
      <c r="U3020" s="176"/>
      <c r="V3020" s="176"/>
      <c r="W3020" s="176"/>
      <c r="X3020" s="176"/>
      <c r="Y3020" s="176"/>
    </row>
    <row r="3021" spans="1:25">
      <c r="A3021" s="91"/>
      <c r="B3021" s="176"/>
      <c r="C3021" s="176"/>
      <c r="D3021" s="176"/>
      <c r="E3021" s="176"/>
      <c r="F3021" s="176"/>
      <c r="G3021" s="176"/>
      <c r="H3021" s="176"/>
      <c r="I3021" s="176"/>
      <c r="J3021" s="176"/>
      <c r="K3021" s="176"/>
      <c r="L3021" s="176"/>
      <c r="M3021" s="176"/>
      <c r="N3021" s="176"/>
      <c r="O3021" s="176"/>
      <c r="P3021" s="176"/>
      <c r="Q3021" s="176"/>
      <c r="R3021" s="176"/>
      <c r="S3021" s="176"/>
      <c r="T3021" s="176"/>
      <c r="U3021" s="176"/>
      <c r="V3021" s="176"/>
      <c r="W3021" s="176"/>
      <c r="X3021" s="176"/>
      <c r="Y3021" s="176"/>
    </row>
    <row r="3022" spans="1:25">
      <c r="A3022" s="91"/>
      <c r="B3022" s="176"/>
      <c r="C3022" s="176"/>
      <c r="D3022" s="176"/>
      <c r="E3022" s="176"/>
      <c r="F3022" s="176"/>
      <c r="G3022" s="176"/>
      <c r="H3022" s="176"/>
      <c r="I3022" s="176"/>
      <c r="J3022" s="176"/>
      <c r="K3022" s="176"/>
      <c r="L3022" s="176"/>
      <c r="M3022" s="176"/>
      <c r="N3022" s="176"/>
      <c r="O3022" s="176"/>
      <c r="P3022" s="176"/>
      <c r="Q3022" s="176"/>
      <c r="R3022" s="176"/>
      <c r="S3022" s="176"/>
      <c r="T3022" s="176"/>
      <c r="U3022" s="176"/>
      <c r="V3022" s="176"/>
      <c r="W3022" s="176"/>
      <c r="X3022" s="176"/>
      <c r="Y3022" s="176"/>
    </row>
    <row r="3023" spans="1:25">
      <c r="A3023" s="91"/>
      <c r="B3023" s="176"/>
      <c r="C3023" s="176"/>
      <c r="D3023" s="176"/>
      <c r="E3023" s="176"/>
      <c r="F3023" s="176"/>
      <c r="G3023" s="176"/>
      <c r="H3023" s="176"/>
      <c r="I3023" s="176"/>
      <c r="J3023" s="176"/>
      <c r="K3023" s="176"/>
      <c r="L3023" s="176"/>
      <c r="M3023" s="176"/>
      <c r="N3023" s="176"/>
      <c r="O3023" s="176"/>
      <c r="P3023" s="176"/>
      <c r="Q3023" s="176"/>
      <c r="R3023" s="176"/>
      <c r="S3023" s="176"/>
      <c r="T3023" s="176"/>
      <c r="U3023" s="176"/>
      <c r="V3023" s="176"/>
      <c r="W3023" s="176"/>
      <c r="X3023" s="176"/>
      <c r="Y3023" s="176"/>
    </row>
    <row r="3024" spans="1:25">
      <c r="A3024" s="91"/>
      <c r="B3024" s="176"/>
      <c r="C3024" s="176"/>
      <c r="D3024" s="176"/>
      <c r="E3024" s="176"/>
      <c r="F3024" s="176"/>
      <c r="G3024" s="176"/>
      <c r="H3024" s="176"/>
      <c r="I3024" s="176"/>
      <c r="J3024" s="176"/>
      <c r="K3024" s="176"/>
      <c r="L3024" s="176"/>
      <c r="M3024" s="176"/>
      <c r="N3024" s="176"/>
      <c r="O3024" s="176"/>
      <c r="P3024" s="176"/>
      <c r="Q3024" s="176"/>
      <c r="R3024" s="176"/>
      <c r="S3024" s="176"/>
      <c r="T3024" s="176"/>
      <c r="U3024" s="176"/>
      <c r="V3024" s="176"/>
      <c r="W3024" s="176"/>
      <c r="X3024" s="176"/>
      <c r="Y3024" s="176"/>
    </row>
    <row r="3025" spans="1:25">
      <c r="A3025" s="91"/>
      <c r="B3025" s="176"/>
      <c r="C3025" s="176"/>
      <c r="D3025" s="176"/>
      <c r="E3025" s="176"/>
      <c r="F3025" s="176"/>
      <c r="G3025" s="176"/>
      <c r="H3025" s="176"/>
      <c r="I3025" s="176"/>
      <c r="J3025" s="176"/>
      <c r="K3025" s="176"/>
      <c r="L3025" s="176"/>
      <c r="M3025" s="176"/>
      <c r="N3025" s="176"/>
      <c r="O3025" s="176"/>
      <c r="P3025" s="176"/>
      <c r="Q3025" s="176"/>
      <c r="R3025" s="176"/>
      <c r="S3025" s="176"/>
      <c r="T3025" s="176"/>
      <c r="U3025" s="176"/>
      <c r="V3025" s="176"/>
      <c r="W3025" s="176"/>
      <c r="X3025" s="176"/>
      <c r="Y3025" s="176"/>
    </row>
    <row r="3026" spans="1:25">
      <c r="A3026" s="91"/>
      <c r="B3026" s="176"/>
      <c r="C3026" s="176"/>
      <c r="D3026" s="176"/>
      <c r="E3026" s="176"/>
      <c r="F3026" s="176"/>
      <c r="G3026" s="176"/>
      <c r="H3026" s="176"/>
      <c r="I3026" s="176"/>
      <c r="J3026" s="176"/>
      <c r="K3026" s="176"/>
      <c r="L3026" s="176"/>
      <c r="M3026" s="176"/>
      <c r="N3026" s="176"/>
      <c r="O3026" s="176"/>
      <c r="P3026" s="176"/>
      <c r="Q3026" s="176"/>
      <c r="R3026" s="176"/>
      <c r="S3026" s="176"/>
      <c r="T3026" s="176"/>
      <c r="U3026" s="176"/>
      <c r="V3026" s="176"/>
      <c r="W3026" s="176"/>
      <c r="X3026" s="176"/>
      <c r="Y3026" s="176"/>
    </row>
    <row r="3027" spans="1:25">
      <c r="A3027" s="91"/>
      <c r="B3027" s="176"/>
      <c r="C3027" s="176"/>
      <c r="D3027" s="176"/>
      <c r="E3027" s="176"/>
      <c r="F3027" s="176"/>
      <c r="G3027" s="176"/>
      <c r="H3027" s="176"/>
      <c r="I3027" s="176"/>
      <c r="J3027" s="176"/>
      <c r="K3027" s="176"/>
      <c r="L3027" s="176"/>
      <c r="M3027" s="176"/>
      <c r="N3027" s="176"/>
      <c r="O3027" s="176"/>
      <c r="P3027" s="176"/>
      <c r="Q3027" s="176"/>
      <c r="R3027" s="176"/>
      <c r="S3027" s="176"/>
      <c r="T3027" s="176"/>
      <c r="U3027" s="176"/>
      <c r="V3027" s="176"/>
      <c r="W3027" s="176"/>
      <c r="X3027" s="176"/>
      <c r="Y3027" s="176"/>
    </row>
    <row r="3028" spans="1:25">
      <c r="A3028" s="91"/>
      <c r="B3028" s="176"/>
      <c r="C3028" s="176"/>
      <c r="D3028" s="176"/>
      <c r="E3028" s="176"/>
      <c r="F3028" s="176"/>
      <c r="G3028" s="176"/>
      <c r="H3028" s="176"/>
      <c r="I3028" s="176"/>
      <c r="J3028" s="176"/>
      <c r="K3028" s="176"/>
      <c r="L3028" s="176"/>
      <c r="M3028" s="176"/>
      <c r="N3028" s="176"/>
      <c r="O3028" s="176"/>
      <c r="P3028" s="176"/>
      <c r="Q3028" s="176"/>
      <c r="R3028" s="176"/>
      <c r="S3028" s="176"/>
      <c r="T3028" s="176"/>
      <c r="U3028" s="176"/>
      <c r="V3028" s="176"/>
      <c r="W3028" s="176"/>
      <c r="X3028" s="176"/>
      <c r="Y3028" s="176"/>
    </row>
    <row r="3029" spans="1:25">
      <c r="A3029" s="91"/>
      <c r="B3029" s="176"/>
      <c r="C3029" s="176"/>
      <c r="D3029" s="176"/>
      <c r="E3029" s="176"/>
      <c r="F3029" s="176"/>
      <c r="G3029" s="176"/>
      <c r="H3029" s="176"/>
      <c r="I3029" s="176"/>
      <c r="J3029" s="176"/>
      <c r="K3029" s="176"/>
      <c r="L3029" s="176"/>
      <c r="M3029" s="176"/>
      <c r="N3029" s="176"/>
      <c r="O3029" s="176"/>
      <c r="P3029" s="176"/>
      <c r="Q3029" s="176"/>
      <c r="R3029" s="176"/>
      <c r="S3029" s="176"/>
      <c r="T3029" s="176"/>
      <c r="U3029" s="176"/>
      <c r="V3029" s="176"/>
      <c r="W3029" s="176"/>
      <c r="X3029" s="176"/>
      <c r="Y3029" s="176"/>
    </row>
    <row r="3030" spans="1:25">
      <c r="A3030" s="91"/>
      <c r="B3030" s="176"/>
      <c r="C3030" s="176"/>
      <c r="D3030" s="176"/>
      <c r="E3030" s="176"/>
      <c r="F3030" s="176"/>
      <c r="G3030" s="176"/>
      <c r="H3030" s="176"/>
      <c r="I3030" s="176"/>
      <c r="J3030" s="176"/>
      <c r="K3030" s="176"/>
      <c r="L3030" s="176"/>
      <c r="M3030" s="176"/>
      <c r="N3030" s="176"/>
      <c r="O3030" s="176"/>
      <c r="P3030" s="176"/>
      <c r="Q3030" s="176"/>
      <c r="R3030" s="176"/>
      <c r="S3030" s="176"/>
      <c r="T3030" s="176"/>
      <c r="U3030" s="176"/>
      <c r="V3030" s="176"/>
      <c r="W3030" s="176"/>
      <c r="X3030" s="176"/>
      <c r="Y3030" s="176"/>
    </row>
    <row r="3031" spans="1:25">
      <c r="A3031" s="91"/>
      <c r="B3031" s="176"/>
      <c r="C3031" s="176"/>
      <c r="D3031" s="176"/>
      <c r="E3031" s="176"/>
      <c r="F3031" s="176"/>
      <c r="G3031" s="176"/>
      <c r="H3031" s="176"/>
      <c r="I3031" s="176"/>
      <c r="J3031" s="176"/>
      <c r="K3031" s="176"/>
      <c r="L3031" s="176"/>
      <c r="M3031" s="176"/>
      <c r="N3031" s="176"/>
      <c r="O3031" s="176"/>
      <c r="P3031" s="176"/>
      <c r="Q3031" s="176"/>
      <c r="R3031" s="176"/>
      <c r="S3031" s="176"/>
      <c r="T3031" s="176"/>
      <c r="U3031" s="176"/>
      <c r="V3031" s="176"/>
      <c r="W3031" s="176"/>
      <c r="X3031" s="176"/>
      <c r="Y3031" s="176"/>
    </row>
    <row r="3032" spans="1:25">
      <c r="A3032" s="91"/>
      <c r="B3032" s="176"/>
      <c r="C3032" s="176"/>
      <c r="D3032" s="176"/>
      <c r="E3032" s="176"/>
      <c r="F3032" s="176"/>
      <c r="G3032" s="176"/>
      <c r="H3032" s="176"/>
      <c r="I3032" s="176"/>
      <c r="J3032" s="176"/>
      <c r="K3032" s="176"/>
      <c r="L3032" s="176"/>
      <c r="M3032" s="176"/>
      <c r="N3032" s="176"/>
      <c r="O3032" s="176"/>
      <c r="P3032" s="176"/>
      <c r="Q3032" s="176"/>
      <c r="R3032" s="176"/>
      <c r="S3032" s="176"/>
      <c r="T3032" s="176"/>
      <c r="U3032" s="176"/>
      <c r="V3032" s="176"/>
      <c r="W3032" s="176"/>
      <c r="X3032" s="176"/>
      <c r="Y3032" s="176"/>
    </row>
    <row r="3033" spans="1:25">
      <c r="A3033" s="91"/>
      <c r="B3033" s="176"/>
      <c r="C3033" s="176"/>
      <c r="D3033" s="176"/>
      <c r="E3033" s="176"/>
      <c r="F3033" s="176"/>
      <c r="G3033" s="176"/>
      <c r="H3033" s="176"/>
      <c r="I3033" s="176"/>
      <c r="J3033" s="176"/>
      <c r="K3033" s="176"/>
      <c r="L3033" s="176"/>
      <c r="M3033" s="176"/>
      <c r="N3033" s="176"/>
      <c r="O3033" s="176"/>
      <c r="P3033" s="176"/>
      <c r="Q3033" s="176"/>
      <c r="R3033" s="176"/>
      <c r="S3033" s="176"/>
      <c r="T3033" s="176"/>
      <c r="U3033" s="176"/>
      <c r="V3033" s="176"/>
      <c r="W3033" s="176"/>
      <c r="X3033" s="176"/>
      <c r="Y3033" s="176"/>
    </row>
    <row r="3034" spans="1:25">
      <c r="A3034" s="91"/>
      <c r="B3034" s="176"/>
      <c r="C3034" s="176"/>
      <c r="D3034" s="176"/>
      <c r="E3034" s="176"/>
      <c r="F3034" s="176"/>
      <c r="G3034" s="176"/>
      <c r="H3034" s="176"/>
      <c r="I3034" s="176"/>
      <c r="J3034" s="176"/>
      <c r="K3034" s="176"/>
      <c r="L3034" s="176"/>
      <c r="M3034" s="176"/>
      <c r="N3034" s="176"/>
      <c r="O3034" s="176"/>
      <c r="P3034" s="176"/>
      <c r="Q3034" s="176"/>
      <c r="R3034" s="176"/>
      <c r="S3034" s="176"/>
      <c r="T3034" s="176"/>
      <c r="U3034" s="176"/>
      <c r="V3034" s="176"/>
      <c r="W3034" s="176"/>
      <c r="X3034" s="176"/>
      <c r="Y3034" s="176"/>
    </row>
    <row r="3035" spans="1:25">
      <c r="A3035" s="91"/>
      <c r="B3035" s="176"/>
      <c r="C3035" s="176"/>
      <c r="D3035" s="176"/>
      <c r="E3035" s="176"/>
      <c r="F3035" s="176"/>
      <c r="G3035" s="176"/>
      <c r="H3035" s="176"/>
      <c r="I3035" s="176"/>
      <c r="J3035" s="176"/>
      <c r="K3035" s="176"/>
      <c r="L3035" s="176"/>
      <c r="M3035" s="176"/>
      <c r="N3035" s="176"/>
      <c r="O3035" s="176"/>
      <c r="P3035" s="176"/>
      <c r="Q3035" s="176"/>
      <c r="R3035" s="176"/>
      <c r="S3035" s="176"/>
      <c r="T3035" s="176"/>
      <c r="U3035" s="176"/>
      <c r="V3035" s="176"/>
      <c r="W3035" s="176"/>
      <c r="X3035" s="176"/>
      <c r="Y3035" s="176"/>
    </row>
    <row r="3036" spans="1:25">
      <c r="A3036" s="91"/>
      <c r="B3036" s="176"/>
      <c r="C3036" s="176"/>
      <c r="D3036" s="176"/>
      <c r="E3036" s="176"/>
      <c r="F3036" s="176"/>
      <c r="G3036" s="176"/>
      <c r="H3036" s="176"/>
      <c r="I3036" s="176"/>
      <c r="J3036" s="176"/>
      <c r="K3036" s="176"/>
      <c r="L3036" s="176"/>
      <c r="M3036" s="176"/>
      <c r="N3036" s="176"/>
      <c r="O3036" s="176"/>
      <c r="P3036" s="176"/>
      <c r="Q3036" s="176"/>
      <c r="R3036" s="176"/>
      <c r="S3036" s="176"/>
      <c r="T3036" s="176"/>
      <c r="U3036" s="176"/>
      <c r="V3036" s="176"/>
      <c r="W3036" s="176"/>
      <c r="X3036" s="176"/>
      <c r="Y3036" s="176"/>
    </row>
    <row r="3037" spans="1:25">
      <c r="A3037" s="91"/>
      <c r="B3037" s="176"/>
      <c r="C3037" s="176"/>
      <c r="D3037" s="176"/>
      <c r="E3037" s="176"/>
      <c r="F3037" s="176"/>
      <c r="G3037" s="176"/>
      <c r="H3037" s="176"/>
      <c r="I3037" s="176"/>
      <c r="J3037" s="176"/>
      <c r="K3037" s="176"/>
      <c r="L3037" s="176"/>
      <c r="M3037" s="176"/>
      <c r="N3037" s="176"/>
      <c r="O3037" s="176"/>
      <c r="P3037" s="176"/>
      <c r="Q3037" s="176"/>
      <c r="R3037" s="176"/>
      <c r="S3037" s="176"/>
      <c r="T3037" s="176"/>
      <c r="U3037" s="176"/>
      <c r="V3037" s="176"/>
      <c r="W3037" s="176"/>
      <c r="X3037" s="176"/>
      <c r="Y3037" s="176"/>
    </row>
    <row r="3038" spans="1:25">
      <c r="A3038" s="91"/>
      <c r="B3038" s="176"/>
      <c r="C3038" s="176"/>
      <c r="D3038" s="176"/>
      <c r="E3038" s="176"/>
      <c r="F3038" s="176"/>
      <c r="G3038" s="176"/>
      <c r="H3038" s="176"/>
      <c r="I3038" s="176"/>
      <c r="J3038" s="176"/>
      <c r="K3038" s="176"/>
      <c r="L3038" s="176"/>
      <c r="M3038" s="176"/>
      <c r="N3038" s="176"/>
      <c r="O3038" s="176"/>
      <c r="P3038" s="176"/>
      <c r="Q3038" s="176"/>
      <c r="R3038" s="176"/>
      <c r="S3038" s="176"/>
      <c r="T3038" s="176"/>
      <c r="U3038" s="176"/>
      <c r="V3038" s="176"/>
      <c r="W3038" s="176"/>
      <c r="X3038" s="176"/>
      <c r="Y3038" s="176"/>
    </row>
    <row r="3039" spans="1:25">
      <c r="A3039" s="91"/>
      <c r="B3039" s="176"/>
      <c r="C3039" s="176"/>
      <c r="D3039" s="176"/>
      <c r="E3039" s="176"/>
      <c r="F3039" s="176"/>
      <c r="G3039" s="176"/>
      <c r="H3039" s="176"/>
      <c r="I3039" s="176"/>
      <c r="J3039" s="176"/>
      <c r="K3039" s="176"/>
      <c r="L3039" s="176"/>
      <c r="M3039" s="176"/>
      <c r="N3039" s="176"/>
      <c r="O3039" s="176"/>
      <c r="P3039" s="176"/>
      <c r="Q3039" s="176"/>
      <c r="R3039" s="176"/>
      <c r="S3039" s="176"/>
      <c r="T3039" s="176"/>
      <c r="U3039" s="176"/>
      <c r="V3039" s="176"/>
      <c r="W3039" s="176"/>
      <c r="X3039" s="176"/>
      <c r="Y3039" s="176"/>
    </row>
    <row r="3040" spans="1:25">
      <c r="A3040" s="91"/>
      <c r="B3040" s="176"/>
      <c r="C3040" s="176"/>
      <c r="D3040" s="176"/>
      <c r="E3040" s="176"/>
      <c r="F3040" s="176"/>
      <c r="G3040" s="176"/>
      <c r="H3040" s="176"/>
      <c r="I3040" s="176"/>
      <c r="J3040" s="176"/>
      <c r="K3040" s="176"/>
      <c r="L3040" s="176"/>
      <c r="M3040" s="176"/>
      <c r="N3040" s="176"/>
      <c r="O3040" s="176"/>
      <c r="P3040" s="176"/>
      <c r="Q3040" s="176"/>
      <c r="R3040" s="176"/>
      <c r="S3040" s="176"/>
      <c r="T3040" s="176"/>
      <c r="U3040" s="176"/>
      <c r="V3040" s="176"/>
      <c r="W3040" s="176"/>
      <c r="X3040" s="176"/>
      <c r="Y3040" s="176"/>
    </row>
    <row r="3041" spans="1:25">
      <c r="A3041" s="91"/>
      <c r="B3041" s="176"/>
      <c r="C3041" s="176"/>
      <c r="D3041" s="176"/>
      <c r="E3041" s="176"/>
      <c r="F3041" s="176"/>
      <c r="G3041" s="176"/>
      <c r="H3041" s="176"/>
      <c r="I3041" s="176"/>
      <c r="J3041" s="176"/>
      <c r="K3041" s="176"/>
      <c r="L3041" s="176"/>
      <c r="M3041" s="176"/>
      <c r="N3041" s="176"/>
      <c r="O3041" s="176"/>
      <c r="P3041" s="176"/>
      <c r="Q3041" s="176"/>
      <c r="R3041" s="176"/>
      <c r="S3041" s="176"/>
      <c r="T3041" s="176"/>
      <c r="U3041" s="176"/>
      <c r="V3041" s="176"/>
      <c r="W3041" s="176"/>
      <c r="X3041" s="176"/>
      <c r="Y3041" s="176"/>
    </row>
    <row r="3042" spans="1:25">
      <c r="A3042" s="91"/>
      <c r="B3042" s="176"/>
      <c r="C3042" s="176"/>
      <c r="D3042" s="176"/>
      <c r="E3042" s="176"/>
      <c r="F3042" s="176"/>
      <c r="G3042" s="176"/>
      <c r="H3042" s="176"/>
      <c r="I3042" s="176"/>
      <c r="J3042" s="176"/>
      <c r="K3042" s="176"/>
      <c r="L3042" s="176"/>
      <c r="M3042" s="176"/>
      <c r="N3042" s="176"/>
      <c r="O3042" s="176"/>
      <c r="P3042" s="176"/>
      <c r="Q3042" s="176"/>
      <c r="R3042" s="176"/>
      <c r="S3042" s="176"/>
      <c r="T3042" s="176"/>
      <c r="U3042" s="176"/>
      <c r="V3042" s="176"/>
      <c r="W3042" s="176"/>
      <c r="X3042" s="176"/>
      <c r="Y3042" s="176"/>
    </row>
    <row r="3043" spans="1:25">
      <c r="A3043" s="91"/>
      <c r="B3043" s="176"/>
      <c r="C3043" s="176"/>
      <c r="D3043" s="176"/>
      <c r="E3043" s="176"/>
      <c r="F3043" s="176"/>
      <c r="G3043" s="176"/>
      <c r="H3043" s="176"/>
      <c r="I3043" s="176"/>
      <c r="J3043" s="176"/>
      <c r="K3043" s="176"/>
      <c r="L3043" s="176"/>
      <c r="M3043" s="176"/>
      <c r="N3043" s="176"/>
      <c r="O3043" s="176"/>
      <c r="P3043" s="176"/>
      <c r="Q3043" s="176"/>
      <c r="R3043" s="176"/>
      <c r="S3043" s="176"/>
      <c r="T3043" s="176"/>
      <c r="U3043" s="176"/>
      <c r="V3043" s="176"/>
      <c r="W3043" s="176"/>
      <c r="X3043" s="176"/>
      <c r="Y3043" s="176"/>
    </row>
    <row r="3044" spans="1:25">
      <c r="A3044" s="91"/>
      <c r="B3044" s="176"/>
      <c r="C3044" s="176"/>
      <c r="D3044" s="176"/>
      <c r="E3044" s="176"/>
      <c r="F3044" s="176"/>
      <c r="G3044" s="176"/>
      <c r="H3044" s="176"/>
      <c r="I3044" s="176"/>
      <c r="J3044" s="176"/>
      <c r="K3044" s="176"/>
      <c r="L3044" s="176"/>
      <c r="M3044" s="176"/>
      <c r="N3044" s="176"/>
      <c r="O3044" s="176"/>
      <c r="P3044" s="176"/>
      <c r="Q3044" s="176"/>
      <c r="R3044" s="176"/>
      <c r="S3044" s="176"/>
      <c r="T3044" s="176"/>
      <c r="U3044" s="176"/>
      <c r="V3044" s="176"/>
      <c r="W3044" s="176"/>
      <c r="X3044" s="176"/>
      <c r="Y3044" s="176"/>
    </row>
    <row r="3045" spans="1:25">
      <c r="A3045" s="91"/>
      <c r="B3045" s="176"/>
      <c r="C3045" s="176"/>
      <c r="D3045" s="176"/>
      <c r="E3045" s="176"/>
      <c r="F3045" s="176"/>
      <c r="G3045" s="176"/>
      <c r="H3045" s="176"/>
      <c r="I3045" s="176"/>
      <c r="J3045" s="176"/>
      <c r="K3045" s="176"/>
      <c r="L3045" s="176"/>
      <c r="M3045" s="176"/>
      <c r="N3045" s="176"/>
      <c r="O3045" s="176"/>
      <c r="P3045" s="176"/>
      <c r="Q3045" s="176"/>
      <c r="R3045" s="176"/>
      <c r="S3045" s="176"/>
      <c r="T3045" s="176"/>
      <c r="U3045" s="176"/>
      <c r="V3045" s="176"/>
      <c r="W3045" s="176"/>
      <c r="X3045" s="176"/>
      <c r="Y3045" s="176"/>
    </row>
    <row r="3046" spans="1:25">
      <c r="A3046" s="91"/>
      <c r="B3046" s="176"/>
      <c r="C3046" s="176"/>
      <c r="D3046" s="176"/>
      <c r="E3046" s="176"/>
      <c r="F3046" s="176"/>
      <c r="G3046" s="176"/>
      <c r="H3046" s="176"/>
      <c r="I3046" s="176"/>
      <c r="J3046" s="176"/>
      <c r="K3046" s="176"/>
      <c r="L3046" s="176"/>
      <c r="M3046" s="176"/>
      <c r="N3046" s="176"/>
      <c r="O3046" s="176"/>
      <c r="P3046" s="176"/>
      <c r="Q3046" s="176"/>
      <c r="R3046" s="176"/>
      <c r="S3046" s="176"/>
      <c r="T3046" s="176"/>
      <c r="U3046" s="176"/>
      <c r="V3046" s="176"/>
      <c r="W3046" s="176"/>
      <c r="X3046" s="176"/>
      <c r="Y3046" s="176"/>
    </row>
    <row r="3047" spans="1:25">
      <c r="A3047" s="91"/>
      <c r="B3047" s="176"/>
      <c r="C3047" s="176"/>
      <c r="D3047" s="176"/>
      <c r="E3047" s="176"/>
      <c r="F3047" s="176"/>
      <c r="G3047" s="176"/>
      <c r="H3047" s="176"/>
      <c r="I3047" s="176"/>
      <c r="J3047" s="176"/>
      <c r="K3047" s="176"/>
      <c r="L3047" s="176"/>
      <c r="M3047" s="176"/>
      <c r="N3047" s="176"/>
      <c r="O3047" s="176"/>
      <c r="P3047" s="176"/>
      <c r="Q3047" s="176"/>
      <c r="R3047" s="176"/>
      <c r="S3047" s="176"/>
      <c r="T3047" s="176"/>
      <c r="U3047" s="176"/>
      <c r="V3047" s="176"/>
      <c r="W3047" s="176"/>
      <c r="X3047" s="176"/>
      <c r="Y3047" s="176"/>
    </row>
    <row r="3048" spans="1:25">
      <c r="A3048" s="91"/>
      <c r="B3048" s="176"/>
      <c r="C3048" s="176"/>
      <c r="D3048" s="176"/>
      <c r="E3048" s="176"/>
      <c r="F3048" s="176"/>
      <c r="G3048" s="176"/>
      <c r="H3048" s="176"/>
      <c r="I3048" s="176"/>
      <c r="J3048" s="176"/>
      <c r="K3048" s="176"/>
      <c r="L3048" s="176"/>
      <c r="M3048" s="176"/>
      <c r="N3048" s="176"/>
      <c r="O3048" s="176"/>
      <c r="P3048" s="176"/>
      <c r="Q3048" s="176"/>
      <c r="R3048" s="176"/>
      <c r="S3048" s="176"/>
      <c r="T3048" s="176"/>
      <c r="U3048" s="176"/>
      <c r="V3048" s="176"/>
      <c r="W3048" s="176"/>
      <c r="X3048" s="176"/>
      <c r="Y3048" s="176"/>
    </row>
    <row r="3049" spans="1:25">
      <c r="A3049" s="91"/>
      <c r="B3049" s="176"/>
      <c r="C3049" s="176"/>
      <c r="D3049" s="176"/>
      <c r="E3049" s="176"/>
      <c r="F3049" s="176"/>
      <c r="G3049" s="176"/>
      <c r="H3049" s="176"/>
      <c r="I3049" s="176"/>
      <c r="J3049" s="176"/>
      <c r="K3049" s="176"/>
      <c r="L3049" s="176"/>
      <c r="M3049" s="176"/>
      <c r="N3049" s="176"/>
      <c r="O3049" s="176"/>
      <c r="P3049" s="176"/>
      <c r="Q3049" s="176"/>
      <c r="R3049" s="176"/>
      <c r="S3049" s="176"/>
      <c r="T3049" s="176"/>
      <c r="U3049" s="176"/>
      <c r="V3049" s="176"/>
      <c r="W3049" s="176"/>
      <c r="X3049" s="176"/>
      <c r="Y3049" s="176"/>
    </row>
    <row r="3050" spans="1:25">
      <c r="A3050" s="91"/>
      <c r="B3050" s="176"/>
      <c r="C3050" s="176"/>
      <c r="D3050" s="176"/>
      <c r="E3050" s="176"/>
      <c r="F3050" s="176"/>
      <c r="G3050" s="176"/>
      <c r="H3050" s="176"/>
      <c r="I3050" s="176"/>
      <c r="J3050" s="176"/>
      <c r="K3050" s="176"/>
      <c r="L3050" s="176"/>
      <c r="M3050" s="176"/>
      <c r="N3050" s="176"/>
      <c r="O3050" s="176"/>
      <c r="P3050" s="176"/>
      <c r="Q3050" s="176"/>
      <c r="R3050" s="176"/>
      <c r="S3050" s="176"/>
      <c r="T3050" s="176"/>
      <c r="U3050" s="176"/>
      <c r="V3050" s="176"/>
      <c r="W3050" s="176"/>
      <c r="X3050" s="176"/>
      <c r="Y3050" s="176"/>
    </row>
    <row r="3051" spans="1:25">
      <c r="A3051" s="91"/>
      <c r="B3051" s="176"/>
      <c r="C3051" s="176"/>
      <c r="D3051" s="176"/>
      <c r="E3051" s="176"/>
      <c r="F3051" s="176"/>
      <c r="G3051" s="176"/>
      <c r="H3051" s="176"/>
      <c r="I3051" s="176"/>
      <c r="J3051" s="176"/>
      <c r="K3051" s="176"/>
      <c r="L3051" s="176"/>
      <c r="M3051" s="176"/>
      <c r="N3051" s="176"/>
      <c r="O3051" s="176"/>
      <c r="P3051" s="176"/>
      <c r="Q3051" s="176"/>
      <c r="R3051" s="176"/>
      <c r="S3051" s="176"/>
      <c r="T3051" s="176"/>
      <c r="U3051" s="176"/>
      <c r="V3051" s="176"/>
      <c r="W3051" s="176"/>
      <c r="X3051" s="176"/>
      <c r="Y3051" s="176"/>
    </row>
    <row r="3052" spans="1:25">
      <c r="A3052" s="91"/>
      <c r="B3052" s="176"/>
      <c r="C3052" s="176"/>
      <c r="D3052" s="176"/>
      <c r="E3052" s="176"/>
      <c r="F3052" s="176"/>
      <c r="G3052" s="176"/>
      <c r="H3052" s="176"/>
      <c r="I3052" s="176"/>
      <c r="J3052" s="176"/>
      <c r="K3052" s="176"/>
      <c r="L3052" s="176"/>
      <c r="M3052" s="176"/>
      <c r="N3052" s="176"/>
      <c r="O3052" s="176"/>
      <c r="P3052" s="176"/>
      <c r="Q3052" s="176"/>
      <c r="R3052" s="176"/>
      <c r="S3052" s="176"/>
      <c r="T3052" s="176"/>
      <c r="U3052" s="176"/>
      <c r="V3052" s="176"/>
      <c r="W3052" s="176"/>
      <c r="X3052" s="176"/>
      <c r="Y3052" s="176"/>
    </row>
    <row r="3053" spans="1:25">
      <c r="A3053" s="91"/>
      <c r="B3053" s="176"/>
      <c r="C3053" s="176"/>
      <c r="D3053" s="176"/>
      <c r="E3053" s="176"/>
      <c r="F3053" s="176"/>
      <c r="G3053" s="176"/>
      <c r="H3053" s="176"/>
      <c r="I3053" s="176"/>
      <c r="J3053" s="176"/>
      <c r="K3053" s="176"/>
      <c r="L3053" s="176"/>
      <c r="M3053" s="176"/>
      <c r="N3053" s="176"/>
      <c r="O3053" s="176"/>
      <c r="P3053" s="176"/>
      <c r="Q3053" s="176"/>
      <c r="R3053" s="176"/>
      <c r="S3053" s="176"/>
      <c r="T3053" s="176"/>
      <c r="U3053" s="176"/>
      <c r="V3053" s="176"/>
      <c r="W3053" s="176"/>
      <c r="X3053" s="176"/>
      <c r="Y3053" s="176"/>
    </row>
    <row r="3054" spans="1:25">
      <c r="A3054" s="91"/>
      <c r="B3054" s="176"/>
      <c r="C3054" s="176"/>
      <c r="D3054" s="176"/>
      <c r="E3054" s="176"/>
      <c r="F3054" s="176"/>
      <c r="G3054" s="176"/>
      <c r="H3054" s="176"/>
      <c r="I3054" s="176"/>
      <c r="J3054" s="176"/>
      <c r="K3054" s="176"/>
      <c r="L3054" s="176"/>
      <c r="M3054" s="176"/>
      <c r="N3054" s="176"/>
      <c r="O3054" s="176"/>
      <c r="P3054" s="176"/>
      <c r="Q3054" s="176"/>
      <c r="R3054" s="176"/>
      <c r="S3054" s="176"/>
      <c r="T3054" s="176"/>
      <c r="U3054" s="176"/>
      <c r="V3054" s="176"/>
      <c r="W3054" s="176"/>
      <c r="X3054" s="176"/>
      <c r="Y3054" s="176"/>
    </row>
    <row r="3055" spans="1:25">
      <c r="A3055" s="91"/>
      <c r="B3055" s="176"/>
      <c r="C3055" s="176"/>
      <c r="D3055" s="176"/>
      <c r="E3055" s="176"/>
      <c r="F3055" s="176"/>
      <c r="G3055" s="176"/>
      <c r="H3055" s="176"/>
      <c r="I3055" s="176"/>
      <c r="J3055" s="176"/>
      <c r="K3055" s="176"/>
      <c r="L3055" s="176"/>
      <c r="M3055" s="176"/>
      <c r="N3055" s="176"/>
      <c r="O3055" s="176"/>
      <c r="P3055" s="176"/>
      <c r="Q3055" s="176"/>
      <c r="R3055" s="176"/>
      <c r="S3055" s="176"/>
      <c r="T3055" s="176"/>
      <c r="U3055" s="176"/>
      <c r="V3055" s="176"/>
      <c r="W3055" s="176"/>
      <c r="X3055" s="176"/>
      <c r="Y3055" s="176"/>
    </row>
    <row r="3056" spans="1:25">
      <c r="A3056" s="91"/>
      <c r="B3056" s="176"/>
      <c r="C3056" s="176"/>
      <c r="D3056" s="176"/>
      <c r="E3056" s="176"/>
      <c r="F3056" s="176"/>
      <c r="G3056" s="176"/>
      <c r="H3056" s="176"/>
      <c r="I3056" s="176"/>
      <c r="J3056" s="176"/>
      <c r="K3056" s="176"/>
      <c r="L3056" s="176"/>
      <c r="M3056" s="176"/>
      <c r="N3056" s="176"/>
      <c r="O3056" s="176"/>
      <c r="P3056" s="176"/>
      <c r="Q3056" s="176"/>
      <c r="R3056" s="176"/>
      <c r="S3056" s="176"/>
      <c r="T3056" s="176"/>
      <c r="U3056" s="176"/>
      <c r="V3056" s="176"/>
      <c r="W3056" s="176"/>
      <c r="X3056" s="176"/>
      <c r="Y3056" s="176"/>
    </row>
    <row r="3057" spans="1:25">
      <c r="A3057" s="91"/>
      <c r="B3057" s="176"/>
      <c r="C3057" s="176"/>
      <c r="D3057" s="176"/>
      <c r="E3057" s="176"/>
      <c r="F3057" s="176"/>
      <c r="G3057" s="176"/>
      <c r="H3057" s="176"/>
      <c r="I3057" s="176"/>
      <c r="J3057" s="176"/>
      <c r="K3057" s="176"/>
      <c r="L3057" s="176"/>
      <c r="M3057" s="176"/>
      <c r="N3057" s="176"/>
      <c r="O3057" s="176"/>
      <c r="P3057" s="176"/>
      <c r="Q3057" s="176"/>
      <c r="R3057" s="176"/>
      <c r="S3057" s="176"/>
      <c r="T3057" s="176"/>
      <c r="U3057" s="176"/>
      <c r="V3057" s="176"/>
      <c r="W3057" s="176"/>
      <c r="X3057" s="176"/>
      <c r="Y3057" s="176"/>
    </row>
    <row r="3058" spans="1:25">
      <c r="A3058" s="91"/>
      <c r="B3058" s="176"/>
      <c r="C3058" s="176"/>
      <c r="D3058" s="176"/>
      <c r="E3058" s="176"/>
      <c r="F3058" s="176"/>
      <c r="G3058" s="176"/>
      <c r="H3058" s="176"/>
      <c r="I3058" s="176"/>
      <c r="J3058" s="176"/>
      <c r="K3058" s="176"/>
      <c r="L3058" s="176"/>
      <c r="M3058" s="176"/>
      <c r="N3058" s="176"/>
      <c r="O3058" s="176"/>
      <c r="P3058" s="176"/>
      <c r="Q3058" s="176"/>
      <c r="R3058" s="176"/>
      <c r="S3058" s="176"/>
      <c r="T3058" s="176"/>
      <c r="U3058" s="176"/>
      <c r="V3058" s="176"/>
      <c r="W3058" s="176"/>
      <c r="X3058" s="176"/>
      <c r="Y3058" s="176"/>
    </row>
    <row r="3059" spans="1:25">
      <c r="A3059" s="91"/>
      <c r="B3059" s="176"/>
      <c r="C3059" s="176"/>
      <c r="D3059" s="176"/>
      <c r="E3059" s="176"/>
      <c r="F3059" s="176"/>
      <c r="G3059" s="176"/>
      <c r="H3059" s="176"/>
      <c r="I3059" s="176"/>
      <c r="J3059" s="176"/>
      <c r="K3059" s="176"/>
      <c r="L3059" s="176"/>
      <c r="M3059" s="176"/>
      <c r="N3059" s="176"/>
      <c r="O3059" s="176"/>
      <c r="P3059" s="176"/>
      <c r="Q3059" s="176"/>
      <c r="R3059" s="176"/>
      <c r="S3059" s="176"/>
      <c r="T3059" s="176"/>
      <c r="U3059" s="176"/>
      <c r="V3059" s="176"/>
      <c r="W3059" s="176"/>
      <c r="X3059" s="176"/>
      <c r="Y3059" s="176"/>
    </row>
    <row r="3060" spans="1:25">
      <c r="A3060" s="91"/>
      <c r="B3060" s="176"/>
      <c r="C3060" s="176"/>
      <c r="D3060" s="176"/>
      <c r="E3060" s="176"/>
      <c r="F3060" s="176"/>
      <c r="G3060" s="176"/>
      <c r="H3060" s="176"/>
      <c r="I3060" s="176"/>
      <c r="J3060" s="176"/>
      <c r="K3060" s="176"/>
      <c r="L3060" s="176"/>
      <c r="M3060" s="176"/>
      <c r="N3060" s="176"/>
      <c r="O3060" s="176"/>
      <c r="P3060" s="176"/>
      <c r="Q3060" s="176"/>
      <c r="R3060" s="176"/>
      <c r="S3060" s="176"/>
      <c r="T3060" s="176"/>
      <c r="U3060" s="176"/>
      <c r="V3060" s="176"/>
      <c r="W3060" s="176"/>
      <c r="X3060" s="176"/>
      <c r="Y3060" s="176"/>
    </row>
    <row r="3061" spans="1:25">
      <c r="A3061" s="91"/>
      <c r="B3061" s="176"/>
      <c r="C3061" s="176"/>
      <c r="D3061" s="176"/>
      <c r="E3061" s="176"/>
      <c r="F3061" s="176"/>
      <c r="G3061" s="176"/>
      <c r="H3061" s="176"/>
      <c r="I3061" s="176"/>
      <c r="J3061" s="176"/>
      <c r="K3061" s="176"/>
      <c r="L3061" s="176"/>
      <c r="M3061" s="176"/>
      <c r="N3061" s="176"/>
      <c r="O3061" s="176"/>
      <c r="P3061" s="176"/>
      <c r="Q3061" s="176"/>
      <c r="R3061" s="176"/>
      <c r="S3061" s="176"/>
      <c r="T3061" s="176"/>
      <c r="U3061" s="176"/>
      <c r="V3061" s="176"/>
      <c r="W3061" s="176"/>
      <c r="X3061" s="176"/>
      <c r="Y3061" s="176"/>
    </row>
    <row r="3062" spans="1:25">
      <c r="A3062" s="91"/>
      <c r="B3062" s="176"/>
      <c r="C3062" s="176"/>
      <c r="D3062" s="176"/>
      <c r="E3062" s="176"/>
      <c r="F3062" s="176"/>
      <c r="G3062" s="176"/>
      <c r="H3062" s="176"/>
      <c r="I3062" s="176"/>
      <c r="J3062" s="176"/>
      <c r="K3062" s="176"/>
      <c r="L3062" s="176"/>
      <c r="M3062" s="176"/>
      <c r="N3062" s="176"/>
      <c r="O3062" s="176"/>
      <c r="P3062" s="176"/>
      <c r="Q3062" s="176"/>
      <c r="R3062" s="176"/>
      <c r="S3062" s="176"/>
      <c r="T3062" s="176"/>
      <c r="U3062" s="176"/>
      <c r="V3062" s="176"/>
      <c r="W3062" s="176"/>
      <c r="X3062" s="176"/>
      <c r="Y3062" s="176"/>
    </row>
    <row r="3063" spans="1:25">
      <c r="A3063" s="91"/>
      <c r="B3063" s="176"/>
      <c r="C3063" s="176"/>
      <c r="D3063" s="176"/>
      <c r="E3063" s="176"/>
      <c r="F3063" s="176"/>
      <c r="G3063" s="176"/>
      <c r="H3063" s="176"/>
      <c r="I3063" s="176"/>
      <c r="J3063" s="176"/>
      <c r="K3063" s="176"/>
      <c r="L3063" s="176"/>
      <c r="M3063" s="176"/>
      <c r="N3063" s="176"/>
      <c r="O3063" s="176"/>
      <c r="P3063" s="176"/>
      <c r="Q3063" s="176"/>
      <c r="R3063" s="176"/>
      <c r="S3063" s="176"/>
      <c r="T3063" s="176"/>
      <c r="U3063" s="176"/>
      <c r="V3063" s="176"/>
      <c r="W3063" s="176"/>
      <c r="X3063" s="176"/>
      <c r="Y3063" s="176"/>
    </row>
    <row r="3064" spans="1:25">
      <c r="A3064" s="91"/>
      <c r="B3064" s="176"/>
      <c r="C3064" s="176"/>
      <c r="D3064" s="176"/>
      <c r="E3064" s="176"/>
      <c r="F3064" s="176"/>
      <c r="G3064" s="176"/>
      <c r="H3064" s="176"/>
      <c r="I3064" s="176"/>
      <c r="J3064" s="176"/>
      <c r="K3064" s="176"/>
      <c r="L3064" s="176"/>
      <c r="M3064" s="176"/>
      <c r="N3064" s="176"/>
      <c r="O3064" s="176"/>
      <c r="P3064" s="176"/>
      <c r="Q3064" s="176"/>
      <c r="R3064" s="176"/>
      <c r="S3064" s="176"/>
      <c r="T3064" s="176"/>
      <c r="U3064" s="176"/>
      <c r="V3064" s="176"/>
      <c r="W3064" s="176"/>
      <c r="X3064" s="176"/>
      <c r="Y3064" s="176"/>
    </row>
    <row r="3065" spans="1:25">
      <c r="A3065" s="91"/>
      <c r="B3065" s="176"/>
      <c r="C3065" s="176"/>
      <c r="D3065" s="176"/>
      <c r="E3065" s="176"/>
      <c r="F3065" s="176"/>
      <c r="G3065" s="176"/>
      <c r="H3065" s="176"/>
      <c r="I3065" s="176"/>
      <c r="J3065" s="176"/>
      <c r="K3065" s="176"/>
      <c r="L3065" s="176"/>
      <c r="M3065" s="176"/>
      <c r="N3065" s="176"/>
      <c r="O3065" s="176"/>
      <c r="P3065" s="176"/>
      <c r="Q3065" s="176"/>
      <c r="R3065" s="176"/>
      <c r="S3065" s="176"/>
      <c r="T3065" s="176"/>
      <c r="U3065" s="176"/>
      <c r="V3065" s="176"/>
      <c r="W3065" s="176"/>
      <c r="X3065" s="176"/>
      <c r="Y3065" s="176"/>
    </row>
    <row r="3066" spans="1:25">
      <c r="A3066" s="91"/>
      <c r="B3066" s="176"/>
      <c r="C3066" s="176"/>
      <c r="D3066" s="176"/>
      <c r="E3066" s="176"/>
      <c r="F3066" s="176"/>
      <c r="G3066" s="176"/>
      <c r="H3066" s="176"/>
      <c r="I3066" s="176"/>
      <c r="J3066" s="176"/>
      <c r="K3066" s="176"/>
      <c r="L3066" s="176"/>
      <c r="M3066" s="176"/>
      <c r="N3066" s="176"/>
      <c r="O3066" s="176"/>
      <c r="P3066" s="176"/>
      <c r="Q3066" s="176"/>
      <c r="R3066" s="176"/>
      <c r="S3066" s="176"/>
      <c r="T3066" s="176"/>
      <c r="U3066" s="176"/>
      <c r="V3066" s="176"/>
      <c r="W3066" s="176"/>
      <c r="X3066" s="176"/>
      <c r="Y3066" s="176"/>
    </row>
    <row r="3067" spans="1:25">
      <c r="A3067" s="91"/>
      <c r="B3067" s="176"/>
      <c r="C3067" s="176"/>
      <c r="D3067" s="176"/>
      <c r="E3067" s="176"/>
      <c r="F3067" s="176"/>
      <c r="G3067" s="176"/>
      <c r="H3067" s="176"/>
      <c r="I3067" s="176"/>
      <c r="J3067" s="176"/>
      <c r="K3067" s="176"/>
      <c r="L3067" s="176"/>
      <c r="M3067" s="176"/>
      <c r="N3067" s="176"/>
      <c r="O3067" s="176"/>
      <c r="P3067" s="176"/>
      <c r="Q3067" s="176"/>
      <c r="R3067" s="176"/>
      <c r="S3067" s="176"/>
      <c r="T3067" s="176"/>
      <c r="U3067" s="176"/>
      <c r="V3067" s="176"/>
      <c r="W3067" s="176"/>
      <c r="X3067" s="176"/>
      <c r="Y3067" s="176"/>
    </row>
    <row r="3068" spans="1:25">
      <c r="A3068" s="91"/>
      <c r="B3068" s="176"/>
      <c r="C3068" s="176"/>
      <c r="D3068" s="176"/>
      <c r="E3068" s="176"/>
      <c r="F3068" s="176"/>
      <c r="G3068" s="176"/>
      <c r="H3068" s="176"/>
      <c r="I3068" s="176"/>
      <c r="J3068" s="176"/>
      <c r="K3068" s="176"/>
      <c r="L3068" s="176"/>
      <c r="M3068" s="176"/>
      <c r="N3068" s="176"/>
      <c r="O3068" s="176"/>
      <c r="P3068" s="176"/>
      <c r="Q3068" s="176"/>
      <c r="R3068" s="176"/>
      <c r="S3068" s="176"/>
      <c r="T3068" s="176"/>
      <c r="U3068" s="176"/>
      <c r="V3068" s="176"/>
      <c r="W3068" s="176"/>
      <c r="X3068" s="176"/>
      <c r="Y3068" s="176"/>
    </row>
    <row r="3069" spans="1:25">
      <c r="A3069" s="91"/>
      <c r="B3069" s="176"/>
      <c r="C3069" s="176"/>
      <c r="D3069" s="176"/>
      <c r="E3069" s="176"/>
      <c r="F3069" s="176"/>
      <c r="G3069" s="176"/>
      <c r="H3069" s="176"/>
      <c r="I3069" s="176"/>
      <c r="J3069" s="176"/>
      <c r="K3069" s="176"/>
      <c r="L3069" s="176"/>
      <c r="M3069" s="176"/>
      <c r="N3069" s="176"/>
      <c r="O3069" s="176"/>
      <c r="P3069" s="176"/>
      <c r="Q3069" s="176"/>
      <c r="R3069" s="176"/>
      <c r="S3069" s="176"/>
      <c r="T3069" s="176"/>
      <c r="U3069" s="176"/>
      <c r="V3069" s="176"/>
      <c r="W3069" s="176"/>
      <c r="X3069" s="176"/>
      <c r="Y3069" s="176"/>
    </row>
    <row r="3070" spans="1:25">
      <c r="A3070" s="91"/>
      <c r="B3070" s="176"/>
      <c r="C3070" s="176"/>
      <c r="D3070" s="176"/>
      <c r="E3070" s="176"/>
      <c r="F3070" s="176"/>
      <c r="G3070" s="176"/>
      <c r="H3070" s="176"/>
      <c r="I3070" s="176"/>
      <c r="J3070" s="176"/>
      <c r="K3070" s="176"/>
      <c r="L3070" s="176"/>
      <c r="M3070" s="176"/>
      <c r="N3070" s="176"/>
      <c r="O3070" s="176"/>
      <c r="P3070" s="176"/>
      <c r="Q3070" s="176"/>
      <c r="R3070" s="176"/>
      <c r="S3070" s="176"/>
      <c r="T3070" s="176"/>
      <c r="U3070" s="176"/>
      <c r="V3070" s="176"/>
      <c r="W3070" s="176"/>
      <c r="X3070" s="176"/>
      <c r="Y3070" s="176"/>
    </row>
    <row r="3071" spans="1:25">
      <c r="A3071" s="91"/>
      <c r="B3071" s="176"/>
      <c r="C3071" s="176"/>
      <c r="D3071" s="176"/>
      <c r="E3071" s="176"/>
      <c r="F3071" s="176"/>
      <c r="G3071" s="176"/>
      <c r="H3071" s="176"/>
      <c r="I3071" s="176"/>
      <c r="J3071" s="176"/>
      <c r="K3071" s="176"/>
      <c r="L3071" s="176"/>
      <c r="M3071" s="176"/>
      <c r="N3071" s="176"/>
      <c r="O3071" s="176"/>
      <c r="P3071" s="176"/>
      <c r="Q3071" s="176"/>
      <c r="R3071" s="176"/>
      <c r="S3071" s="176"/>
      <c r="T3071" s="176"/>
      <c r="U3071" s="176"/>
      <c r="V3071" s="176"/>
      <c r="W3071" s="176"/>
      <c r="X3071" s="176"/>
      <c r="Y3071" s="176"/>
    </row>
    <row r="3072" spans="1:25">
      <c r="A3072" s="91"/>
      <c r="B3072" s="176"/>
      <c r="C3072" s="176"/>
      <c r="D3072" s="176"/>
      <c r="E3072" s="176"/>
      <c r="F3072" s="176"/>
      <c r="G3072" s="176"/>
      <c r="H3072" s="176"/>
      <c r="I3072" s="176"/>
      <c r="J3072" s="176"/>
      <c r="K3072" s="176"/>
      <c r="L3072" s="176"/>
      <c r="M3072" s="176"/>
      <c r="N3072" s="176"/>
      <c r="O3072" s="176"/>
      <c r="P3072" s="176"/>
      <c r="Q3072" s="176"/>
      <c r="R3072" s="176"/>
      <c r="S3072" s="176"/>
      <c r="T3072" s="176"/>
      <c r="U3072" s="176"/>
      <c r="V3072" s="176"/>
      <c r="W3072" s="176"/>
      <c r="X3072" s="176"/>
      <c r="Y3072" s="176"/>
    </row>
    <row r="3073" spans="1:25">
      <c r="A3073" s="91"/>
      <c r="B3073" s="176"/>
      <c r="C3073" s="176"/>
      <c r="D3073" s="176"/>
      <c r="E3073" s="176"/>
      <c r="F3073" s="176"/>
      <c r="G3073" s="176"/>
      <c r="H3073" s="176"/>
      <c r="I3073" s="176"/>
      <c r="J3073" s="176"/>
      <c r="K3073" s="176"/>
      <c r="L3073" s="176"/>
      <c r="M3073" s="176"/>
      <c r="N3073" s="176"/>
      <c r="O3073" s="176"/>
      <c r="P3073" s="176"/>
      <c r="Q3073" s="176"/>
      <c r="R3073" s="176"/>
      <c r="S3073" s="176"/>
      <c r="T3073" s="176"/>
      <c r="U3073" s="176"/>
      <c r="V3073" s="176"/>
      <c r="W3073" s="176"/>
      <c r="X3073" s="176"/>
      <c r="Y3073" s="176"/>
    </row>
    <row r="3074" spans="1:25">
      <c r="A3074" s="91"/>
      <c r="B3074" s="176"/>
      <c r="C3074" s="176"/>
      <c r="D3074" s="176"/>
      <c r="E3074" s="176"/>
      <c r="F3074" s="176"/>
      <c r="G3074" s="176"/>
      <c r="H3074" s="176"/>
      <c r="I3074" s="176"/>
      <c r="J3074" s="176"/>
      <c r="K3074" s="176"/>
      <c r="L3074" s="176"/>
      <c r="M3074" s="176"/>
      <c r="N3074" s="176"/>
      <c r="O3074" s="176"/>
      <c r="P3074" s="176"/>
      <c r="Q3074" s="176"/>
      <c r="R3074" s="176"/>
      <c r="S3074" s="176"/>
      <c r="T3074" s="176"/>
      <c r="U3074" s="176"/>
      <c r="V3074" s="176"/>
      <c r="W3074" s="176"/>
      <c r="X3074" s="176"/>
      <c r="Y3074" s="176"/>
    </row>
    <row r="3075" spans="1:25">
      <c r="A3075" s="91"/>
      <c r="B3075" s="176"/>
      <c r="C3075" s="176"/>
      <c r="D3075" s="176"/>
      <c r="E3075" s="176"/>
      <c r="F3075" s="176"/>
      <c r="G3075" s="176"/>
      <c r="H3075" s="176"/>
      <c r="I3075" s="176"/>
      <c r="J3075" s="176"/>
      <c r="K3075" s="176"/>
      <c r="L3075" s="176"/>
      <c r="M3075" s="176"/>
      <c r="N3075" s="176"/>
      <c r="O3075" s="176"/>
      <c r="P3075" s="176"/>
      <c r="Q3075" s="176"/>
      <c r="R3075" s="176"/>
      <c r="S3075" s="176"/>
      <c r="T3075" s="176"/>
      <c r="U3075" s="176"/>
      <c r="V3075" s="176"/>
      <c r="W3075" s="176"/>
      <c r="X3075" s="176"/>
      <c r="Y3075" s="176"/>
    </row>
    <row r="3076" spans="1:25">
      <c r="A3076" s="91"/>
      <c r="B3076" s="176"/>
      <c r="C3076" s="176"/>
      <c r="D3076" s="176"/>
      <c r="E3076" s="176"/>
      <c r="F3076" s="176"/>
      <c r="G3076" s="176"/>
      <c r="H3076" s="176"/>
      <c r="I3076" s="176"/>
      <c r="J3076" s="176"/>
      <c r="K3076" s="176"/>
      <c r="L3076" s="176"/>
      <c r="M3076" s="176"/>
      <c r="N3076" s="176"/>
      <c r="O3076" s="176"/>
      <c r="P3076" s="176"/>
      <c r="Q3076" s="176"/>
      <c r="R3076" s="176"/>
      <c r="S3076" s="176"/>
      <c r="T3076" s="176"/>
      <c r="U3076" s="176"/>
      <c r="V3076" s="176"/>
      <c r="W3076" s="176"/>
      <c r="X3076" s="176"/>
      <c r="Y3076" s="176"/>
    </row>
    <row r="3077" spans="1:25">
      <c r="A3077" s="91"/>
      <c r="B3077" s="176"/>
      <c r="C3077" s="176"/>
      <c r="D3077" s="176"/>
      <c r="E3077" s="176"/>
      <c r="F3077" s="176"/>
      <c r="G3077" s="176"/>
      <c r="H3077" s="176"/>
      <c r="I3077" s="176"/>
      <c r="J3077" s="176"/>
      <c r="K3077" s="176"/>
      <c r="L3077" s="176"/>
      <c r="M3077" s="176"/>
      <c r="N3077" s="176"/>
      <c r="O3077" s="176"/>
      <c r="P3077" s="176"/>
      <c r="Q3077" s="176"/>
      <c r="R3077" s="176"/>
      <c r="S3077" s="176"/>
      <c r="T3077" s="176"/>
      <c r="U3077" s="176"/>
      <c r="V3077" s="176"/>
      <c r="W3077" s="176"/>
      <c r="X3077" s="176"/>
      <c r="Y3077" s="176"/>
    </row>
    <row r="3078" spans="1:25">
      <c r="A3078" s="91"/>
      <c r="B3078" s="176"/>
      <c r="C3078" s="176"/>
      <c r="D3078" s="176"/>
      <c r="E3078" s="176"/>
      <c r="F3078" s="176"/>
      <c r="G3078" s="176"/>
      <c r="H3078" s="176"/>
      <c r="I3078" s="176"/>
      <c r="J3078" s="176"/>
      <c r="K3078" s="176"/>
      <c r="L3078" s="176"/>
      <c r="M3078" s="176"/>
      <c r="N3078" s="176"/>
      <c r="O3078" s="176"/>
      <c r="P3078" s="176"/>
      <c r="Q3078" s="176"/>
      <c r="R3078" s="176"/>
      <c r="S3078" s="176"/>
      <c r="T3078" s="176"/>
      <c r="U3078" s="176"/>
      <c r="V3078" s="176"/>
      <c r="W3078" s="176"/>
      <c r="X3078" s="176"/>
      <c r="Y3078" s="176"/>
    </row>
    <row r="3079" spans="1:25">
      <c r="A3079" s="91"/>
      <c r="B3079" s="176"/>
      <c r="C3079" s="176"/>
      <c r="D3079" s="176"/>
      <c r="E3079" s="176"/>
      <c r="F3079" s="176"/>
      <c r="G3079" s="176"/>
      <c r="H3079" s="176"/>
      <c r="I3079" s="176"/>
      <c r="J3079" s="176"/>
      <c r="K3079" s="176"/>
      <c r="L3079" s="176"/>
      <c r="M3079" s="176"/>
      <c r="N3079" s="176"/>
      <c r="O3079" s="176"/>
      <c r="P3079" s="176"/>
      <c r="Q3079" s="176"/>
      <c r="R3079" s="176"/>
      <c r="S3079" s="176"/>
      <c r="T3079" s="176"/>
      <c r="U3079" s="176"/>
      <c r="V3079" s="176"/>
      <c r="W3079" s="176"/>
      <c r="X3079" s="176"/>
      <c r="Y3079" s="176"/>
    </row>
    <row r="3080" spans="1:25">
      <c r="A3080" s="91"/>
      <c r="B3080" s="176"/>
      <c r="C3080" s="176"/>
      <c r="D3080" s="176"/>
      <c r="E3080" s="176"/>
      <c r="F3080" s="176"/>
      <c r="G3080" s="176"/>
      <c r="H3080" s="176"/>
      <c r="I3080" s="176"/>
      <c r="J3080" s="176"/>
      <c r="K3080" s="176"/>
      <c r="L3080" s="176"/>
      <c r="M3080" s="176"/>
      <c r="N3080" s="176"/>
      <c r="O3080" s="176"/>
      <c r="P3080" s="176"/>
      <c r="Q3080" s="176"/>
      <c r="R3080" s="176"/>
      <c r="S3080" s="176"/>
      <c r="T3080" s="176"/>
      <c r="U3080" s="176"/>
      <c r="V3080" s="176"/>
      <c r="W3080" s="176"/>
      <c r="X3080" s="176"/>
      <c r="Y3080" s="176"/>
    </row>
    <row r="3081" spans="1:25">
      <c r="A3081" s="91"/>
      <c r="B3081" s="176"/>
      <c r="C3081" s="176"/>
      <c r="D3081" s="176"/>
      <c r="E3081" s="176"/>
      <c r="F3081" s="176"/>
      <c r="G3081" s="176"/>
      <c r="H3081" s="176"/>
      <c r="I3081" s="176"/>
      <c r="J3081" s="176"/>
      <c r="K3081" s="176"/>
      <c r="L3081" s="176"/>
      <c r="M3081" s="176"/>
      <c r="N3081" s="176"/>
      <c r="O3081" s="176"/>
      <c r="P3081" s="176"/>
      <c r="Q3081" s="176"/>
      <c r="R3081" s="176"/>
      <c r="S3081" s="176"/>
      <c r="T3081" s="176"/>
      <c r="U3081" s="176"/>
      <c r="V3081" s="176"/>
      <c r="W3081" s="176"/>
      <c r="X3081" s="176"/>
      <c r="Y3081" s="176"/>
    </row>
    <row r="3082" spans="1:25">
      <c r="A3082" s="91"/>
      <c r="B3082" s="176"/>
      <c r="C3082" s="176"/>
      <c r="D3082" s="176"/>
      <c r="E3082" s="176"/>
      <c r="F3082" s="176"/>
      <c r="G3082" s="176"/>
      <c r="H3082" s="176"/>
      <c r="I3082" s="176"/>
      <c r="J3082" s="176"/>
      <c r="K3082" s="176"/>
      <c r="L3082" s="176"/>
      <c r="M3082" s="176"/>
      <c r="N3082" s="176"/>
      <c r="O3082" s="176"/>
      <c r="P3082" s="176"/>
      <c r="Q3082" s="176"/>
      <c r="R3082" s="176"/>
      <c r="S3082" s="176"/>
      <c r="T3082" s="176"/>
      <c r="U3082" s="176"/>
      <c r="V3082" s="176"/>
      <c r="W3082" s="176"/>
      <c r="X3082" s="176"/>
      <c r="Y3082" s="176"/>
    </row>
    <row r="3083" spans="1:25">
      <c r="A3083" s="91"/>
      <c r="B3083" s="176"/>
      <c r="C3083" s="176"/>
      <c r="D3083" s="176"/>
      <c r="E3083" s="176"/>
      <c r="F3083" s="176"/>
      <c r="G3083" s="176"/>
      <c r="H3083" s="176"/>
      <c r="I3083" s="176"/>
      <c r="J3083" s="176"/>
      <c r="K3083" s="176"/>
      <c r="L3083" s="176"/>
      <c r="M3083" s="176"/>
      <c r="N3083" s="176"/>
      <c r="O3083" s="176"/>
      <c r="P3083" s="176"/>
      <c r="Q3083" s="176"/>
      <c r="R3083" s="176"/>
      <c r="S3083" s="176"/>
      <c r="T3083" s="176"/>
      <c r="U3083" s="176"/>
      <c r="V3083" s="176"/>
      <c r="W3083" s="176"/>
      <c r="X3083" s="176"/>
      <c r="Y3083" s="176"/>
    </row>
    <row r="3084" spans="1:25">
      <c r="A3084" s="91"/>
      <c r="B3084" s="176"/>
      <c r="C3084" s="176"/>
      <c r="D3084" s="176"/>
      <c r="E3084" s="176"/>
      <c r="F3084" s="176"/>
      <c r="G3084" s="176"/>
      <c r="H3084" s="176"/>
      <c r="I3084" s="176"/>
      <c r="J3084" s="176"/>
      <c r="K3084" s="176"/>
      <c r="L3084" s="176"/>
      <c r="M3084" s="176"/>
      <c r="N3084" s="176"/>
      <c r="O3084" s="176"/>
      <c r="P3084" s="176"/>
      <c r="Q3084" s="176"/>
      <c r="R3084" s="176"/>
      <c r="S3084" s="176"/>
      <c r="T3084" s="176"/>
      <c r="U3084" s="176"/>
      <c r="V3084" s="176"/>
      <c r="W3084" s="176"/>
      <c r="X3084" s="176"/>
      <c r="Y3084" s="176"/>
    </row>
    <row r="3085" spans="1:25">
      <c r="A3085" s="91"/>
      <c r="B3085" s="176"/>
      <c r="C3085" s="176"/>
      <c r="D3085" s="176"/>
      <c r="E3085" s="176"/>
      <c r="F3085" s="176"/>
      <c r="G3085" s="176"/>
      <c r="H3085" s="176"/>
      <c r="I3085" s="176"/>
      <c r="J3085" s="176"/>
      <c r="K3085" s="176"/>
      <c r="L3085" s="176"/>
      <c r="M3085" s="176"/>
      <c r="N3085" s="176"/>
      <c r="O3085" s="176"/>
      <c r="P3085" s="176"/>
      <c r="Q3085" s="176"/>
      <c r="R3085" s="176"/>
      <c r="S3085" s="176"/>
      <c r="T3085" s="176"/>
      <c r="U3085" s="176"/>
      <c r="V3085" s="176"/>
      <c r="W3085" s="176"/>
      <c r="X3085" s="176"/>
      <c r="Y3085" s="176"/>
    </row>
    <row r="3086" spans="1:25">
      <c r="A3086" s="91"/>
      <c r="B3086" s="176"/>
      <c r="C3086" s="176"/>
      <c r="D3086" s="176"/>
      <c r="E3086" s="176"/>
      <c r="F3086" s="176"/>
      <c r="G3086" s="176"/>
      <c r="H3086" s="176"/>
      <c r="I3086" s="176"/>
      <c r="J3086" s="176"/>
      <c r="K3086" s="176"/>
      <c r="L3086" s="176"/>
      <c r="M3086" s="176"/>
      <c r="N3086" s="176"/>
      <c r="O3086" s="176"/>
      <c r="P3086" s="176"/>
      <c r="Q3086" s="176"/>
      <c r="R3086" s="176"/>
      <c r="S3086" s="176"/>
      <c r="T3086" s="176"/>
      <c r="U3086" s="176"/>
      <c r="V3086" s="176"/>
      <c r="W3086" s="176"/>
      <c r="X3086" s="176"/>
      <c r="Y3086" s="176"/>
    </row>
    <row r="3087" spans="1:25">
      <c r="A3087" s="91"/>
      <c r="B3087" s="176"/>
      <c r="C3087" s="176"/>
      <c r="D3087" s="176"/>
      <c r="E3087" s="176"/>
      <c r="F3087" s="176"/>
      <c r="G3087" s="176"/>
      <c r="H3087" s="176"/>
      <c r="I3087" s="176"/>
      <c r="J3087" s="176"/>
      <c r="K3087" s="176"/>
      <c r="L3087" s="176"/>
      <c r="M3087" s="176"/>
      <c r="N3087" s="176"/>
      <c r="O3087" s="176"/>
      <c r="P3087" s="176"/>
      <c r="Q3087" s="176"/>
      <c r="R3087" s="176"/>
      <c r="S3087" s="176"/>
      <c r="T3087" s="176"/>
      <c r="U3087" s="176"/>
      <c r="V3087" s="176"/>
      <c r="W3087" s="176"/>
      <c r="X3087" s="176"/>
      <c r="Y3087" s="176"/>
    </row>
    <row r="3088" spans="1:25">
      <c r="A3088" s="91"/>
      <c r="B3088" s="176"/>
      <c r="C3088" s="176"/>
      <c r="D3088" s="176"/>
      <c r="E3088" s="176"/>
      <c r="F3088" s="176"/>
      <c r="G3088" s="176"/>
      <c r="H3088" s="176"/>
      <c r="I3088" s="176"/>
      <c r="J3088" s="176"/>
      <c r="K3088" s="176"/>
      <c r="L3088" s="176"/>
      <c r="M3088" s="176"/>
      <c r="N3088" s="176"/>
      <c r="O3088" s="176"/>
      <c r="P3088" s="176"/>
      <c r="Q3088" s="176"/>
      <c r="R3088" s="176"/>
      <c r="S3088" s="176"/>
      <c r="T3088" s="176"/>
      <c r="U3088" s="176"/>
      <c r="V3088" s="176"/>
      <c r="W3088" s="176"/>
      <c r="X3088" s="176"/>
      <c r="Y3088" s="176"/>
    </row>
    <row r="3089" spans="1:25">
      <c r="A3089" s="91"/>
      <c r="B3089" s="176"/>
      <c r="C3089" s="176"/>
      <c r="D3089" s="176"/>
      <c r="E3089" s="176"/>
      <c r="F3089" s="176"/>
      <c r="G3089" s="176"/>
      <c r="H3089" s="176"/>
      <c r="I3089" s="176"/>
      <c r="J3089" s="176"/>
      <c r="K3089" s="176"/>
      <c r="L3089" s="176"/>
      <c r="M3089" s="176"/>
      <c r="N3089" s="176"/>
      <c r="O3089" s="176"/>
      <c r="P3089" s="176"/>
      <c r="Q3089" s="176"/>
      <c r="R3089" s="176"/>
      <c r="S3089" s="176"/>
      <c r="T3089" s="176"/>
      <c r="U3089" s="176"/>
      <c r="V3089" s="176"/>
      <c r="W3089" s="176"/>
      <c r="X3089" s="176"/>
      <c r="Y3089" s="176"/>
    </row>
    <row r="3090" spans="1:25">
      <c r="A3090" s="91"/>
      <c r="B3090" s="176"/>
      <c r="C3090" s="176"/>
      <c r="D3090" s="176"/>
      <c r="E3090" s="176"/>
      <c r="F3090" s="176"/>
      <c r="G3090" s="176"/>
      <c r="H3090" s="176"/>
      <c r="I3090" s="176"/>
      <c r="J3090" s="176"/>
      <c r="K3090" s="176"/>
      <c r="L3090" s="176"/>
      <c r="M3090" s="176"/>
      <c r="N3090" s="176"/>
      <c r="O3090" s="176"/>
      <c r="P3090" s="176"/>
      <c r="Q3090" s="176"/>
      <c r="R3090" s="176"/>
      <c r="S3090" s="176"/>
      <c r="T3090" s="176"/>
      <c r="U3090" s="176"/>
      <c r="V3090" s="176"/>
      <c r="W3090" s="176"/>
      <c r="X3090" s="176"/>
      <c r="Y3090" s="176"/>
    </row>
    <row r="3091" spans="1:25">
      <c r="A3091" s="91"/>
      <c r="B3091" s="176"/>
      <c r="C3091" s="176"/>
      <c r="D3091" s="176"/>
      <c r="E3091" s="176"/>
      <c r="F3091" s="176"/>
      <c r="G3091" s="176"/>
      <c r="H3091" s="176"/>
      <c r="I3091" s="176"/>
      <c r="J3091" s="176"/>
      <c r="K3091" s="176"/>
      <c r="L3091" s="176"/>
      <c r="M3091" s="176"/>
      <c r="N3091" s="176"/>
      <c r="O3091" s="176"/>
      <c r="P3091" s="176"/>
      <c r="Q3091" s="176"/>
      <c r="R3091" s="176"/>
      <c r="S3091" s="176"/>
      <c r="T3091" s="176"/>
      <c r="U3091" s="176"/>
      <c r="V3091" s="176"/>
      <c r="W3091" s="176"/>
      <c r="X3091" s="176"/>
      <c r="Y3091" s="176"/>
    </row>
    <row r="3092" spans="1:25">
      <c r="A3092" s="91"/>
      <c r="B3092" s="176"/>
      <c r="C3092" s="176"/>
      <c r="D3092" s="176"/>
      <c r="E3092" s="176"/>
      <c r="F3092" s="176"/>
      <c r="G3092" s="176"/>
      <c r="H3092" s="176"/>
      <c r="I3092" s="176"/>
      <c r="J3092" s="176"/>
      <c r="K3092" s="176"/>
      <c r="L3092" s="176"/>
      <c r="M3092" s="176"/>
      <c r="N3092" s="176"/>
      <c r="O3092" s="176"/>
      <c r="P3092" s="176"/>
      <c r="Q3092" s="176"/>
      <c r="R3092" s="176"/>
      <c r="S3092" s="176"/>
      <c r="T3092" s="176"/>
      <c r="U3092" s="176"/>
      <c r="V3092" s="176"/>
      <c r="W3092" s="176"/>
      <c r="X3092" s="176"/>
      <c r="Y3092" s="176"/>
    </row>
    <row r="3093" spans="1:25">
      <c r="A3093" s="91"/>
      <c r="B3093" s="176"/>
      <c r="C3093" s="176"/>
      <c r="D3093" s="176"/>
      <c r="E3093" s="176"/>
      <c r="F3093" s="176"/>
      <c r="G3093" s="176"/>
      <c r="H3093" s="176"/>
      <c r="I3093" s="176"/>
      <c r="J3093" s="176"/>
      <c r="K3093" s="176"/>
      <c r="L3093" s="176"/>
      <c r="M3093" s="176"/>
      <c r="N3093" s="176"/>
      <c r="O3093" s="176"/>
      <c r="P3093" s="176"/>
      <c r="Q3093" s="176"/>
      <c r="R3093" s="176"/>
      <c r="S3093" s="176"/>
      <c r="T3093" s="176"/>
      <c r="U3093" s="176"/>
      <c r="V3093" s="176"/>
      <c r="W3093" s="176"/>
      <c r="X3093" s="176"/>
      <c r="Y3093" s="176"/>
    </row>
    <row r="3094" spans="1:25">
      <c r="A3094" s="91"/>
      <c r="B3094" s="176"/>
      <c r="C3094" s="176"/>
      <c r="D3094" s="176"/>
      <c r="E3094" s="176"/>
      <c r="F3094" s="176"/>
      <c r="G3094" s="176"/>
      <c r="H3094" s="176"/>
      <c r="I3094" s="176"/>
      <c r="J3094" s="176"/>
      <c r="K3094" s="176"/>
      <c r="L3094" s="176"/>
      <c r="M3094" s="176"/>
      <c r="N3094" s="176"/>
      <c r="O3094" s="176"/>
      <c r="P3094" s="176"/>
      <c r="Q3094" s="176"/>
      <c r="R3094" s="176"/>
      <c r="S3094" s="176"/>
      <c r="T3094" s="176"/>
      <c r="U3094" s="176"/>
      <c r="V3094" s="176"/>
      <c r="W3094" s="176"/>
      <c r="X3094" s="176"/>
      <c r="Y3094" s="176"/>
    </row>
    <row r="3095" spans="1:25">
      <c r="A3095" s="91"/>
      <c r="B3095" s="176"/>
      <c r="C3095" s="176"/>
      <c r="D3095" s="176"/>
      <c r="E3095" s="176"/>
      <c r="F3095" s="176"/>
      <c r="G3095" s="176"/>
      <c r="H3095" s="176"/>
      <c r="I3095" s="176"/>
      <c r="J3095" s="176"/>
      <c r="K3095" s="176"/>
      <c r="L3095" s="176"/>
      <c r="M3095" s="176"/>
      <c r="N3095" s="176"/>
      <c r="O3095" s="176"/>
      <c r="P3095" s="176"/>
      <c r="Q3095" s="176"/>
      <c r="R3095" s="176"/>
      <c r="S3095" s="176"/>
      <c r="T3095" s="176"/>
      <c r="U3095" s="176"/>
      <c r="V3095" s="176"/>
      <c r="W3095" s="176"/>
      <c r="X3095" s="176"/>
      <c r="Y3095" s="176"/>
    </row>
    <row r="3096" spans="1:25">
      <c r="A3096" s="91"/>
      <c r="B3096" s="176"/>
      <c r="C3096" s="176"/>
      <c r="D3096" s="176"/>
      <c r="E3096" s="176"/>
      <c r="F3096" s="176"/>
      <c r="G3096" s="176"/>
      <c r="H3096" s="176"/>
      <c r="I3096" s="176"/>
      <c r="J3096" s="176"/>
      <c r="K3096" s="176"/>
      <c r="L3096" s="176"/>
      <c r="M3096" s="176"/>
      <c r="N3096" s="176"/>
      <c r="O3096" s="176"/>
      <c r="P3096" s="176"/>
      <c r="Q3096" s="176"/>
      <c r="R3096" s="176"/>
      <c r="S3096" s="176"/>
      <c r="T3096" s="176"/>
      <c r="U3096" s="176"/>
      <c r="V3096" s="176"/>
      <c r="W3096" s="176"/>
      <c r="X3096" s="176"/>
      <c r="Y3096" s="176"/>
    </row>
    <row r="3097" spans="1:25">
      <c r="A3097" s="91"/>
      <c r="B3097" s="176"/>
      <c r="C3097" s="176"/>
      <c r="D3097" s="176"/>
      <c r="E3097" s="176"/>
      <c r="F3097" s="176"/>
      <c r="G3097" s="176"/>
      <c r="H3097" s="176"/>
      <c r="I3097" s="176"/>
      <c r="J3097" s="176"/>
      <c r="K3097" s="176"/>
      <c r="L3097" s="176"/>
      <c r="M3097" s="176"/>
      <c r="N3097" s="176"/>
      <c r="O3097" s="176"/>
      <c r="P3097" s="176"/>
      <c r="Q3097" s="176"/>
      <c r="R3097" s="176"/>
      <c r="S3097" s="176"/>
      <c r="T3097" s="176"/>
      <c r="U3097" s="176"/>
      <c r="V3097" s="176"/>
      <c r="W3097" s="176"/>
      <c r="X3097" s="176"/>
      <c r="Y3097" s="176"/>
    </row>
    <row r="3098" spans="1:25">
      <c r="A3098" s="91"/>
      <c r="B3098" s="176"/>
      <c r="C3098" s="176"/>
      <c r="D3098" s="176"/>
      <c r="E3098" s="176"/>
      <c r="F3098" s="176"/>
      <c r="G3098" s="176"/>
      <c r="H3098" s="176"/>
      <c r="I3098" s="176"/>
      <c r="J3098" s="176"/>
      <c r="K3098" s="176"/>
      <c r="L3098" s="176"/>
      <c r="M3098" s="176"/>
      <c r="N3098" s="176"/>
      <c r="O3098" s="176"/>
      <c r="P3098" s="176"/>
      <c r="Q3098" s="176"/>
      <c r="R3098" s="176"/>
      <c r="S3098" s="176"/>
      <c r="T3098" s="176"/>
      <c r="U3098" s="176"/>
      <c r="V3098" s="176"/>
      <c r="W3098" s="176"/>
      <c r="X3098" s="176"/>
      <c r="Y3098" s="176"/>
    </row>
    <row r="3099" spans="1:25">
      <c r="A3099" s="91"/>
      <c r="B3099" s="176"/>
      <c r="C3099" s="176"/>
      <c r="D3099" s="176"/>
      <c r="E3099" s="176"/>
      <c r="F3099" s="176"/>
      <c r="G3099" s="176"/>
      <c r="H3099" s="176"/>
      <c r="I3099" s="176"/>
      <c r="J3099" s="176"/>
      <c r="K3099" s="176"/>
      <c r="L3099" s="176"/>
      <c r="M3099" s="176"/>
      <c r="N3099" s="176"/>
      <c r="O3099" s="176"/>
      <c r="P3099" s="176"/>
      <c r="Q3099" s="176"/>
      <c r="R3099" s="176"/>
      <c r="S3099" s="176"/>
      <c r="T3099" s="176"/>
      <c r="U3099" s="176"/>
      <c r="V3099" s="176"/>
      <c r="W3099" s="176"/>
      <c r="X3099" s="176"/>
      <c r="Y3099" s="176"/>
    </row>
    <row r="3100" spans="1:25">
      <c r="A3100" s="91"/>
      <c r="B3100" s="176"/>
      <c r="C3100" s="176"/>
      <c r="D3100" s="176"/>
      <c r="E3100" s="176"/>
      <c r="F3100" s="176"/>
      <c r="G3100" s="176"/>
      <c r="H3100" s="176"/>
      <c r="I3100" s="176"/>
      <c r="J3100" s="176"/>
      <c r="K3100" s="176"/>
      <c r="L3100" s="176"/>
      <c r="M3100" s="176"/>
      <c r="N3100" s="176"/>
      <c r="O3100" s="176"/>
      <c r="P3100" s="176"/>
      <c r="Q3100" s="176"/>
      <c r="R3100" s="176"/>
      <c r="S3100" s="176"/>
      <c r="T3100" s="176"/>
      <c r="U3100" s="176"/>
      <c r="V3100" s="176"/>
      <c r="W3100" s="176"/>
      <c r="X3100" s="176"/>
      <c r="Y3100" s="176"/>
    </row>
    <row r="3101" spans="1:25">
      <c r="A3101" s="91"/>
      <c r="B3101" s="176"/>
      <c r="C3101" s="176"/>
      <c r="D3101" s="176"/>
      <c r="E3101" s="176"/>
      <c r="F3101" s="176"/>
      <c r="G3101" s="176"/>
      <c r="H3101" s="176"/>
      <c r="I3101" s="176"/>
      <c r="J3101" s="176"/>
      <c r="K3101" s="176"/>
      <c r="L3101" s="176"/>
      <c r="M3101" s="176"/>
      <c r="N3101" s="176"/>
      <c r="O3101" s="176"/>
      <c r="P3101" s="176"/>
      <c r="Q3101" s="176"/>
      <c r="R3101" s="176"/>
      <c r="S3101" s="176"/>
      <c r="T3101" s="176"/>
      <c r="U3101" s="176"/>
      <c r="V3101" s="176"/>
      <c r="W3101" s="176"/>
      <c r="X3101" s="176"/>
      <c r="Y3101" s="176"/>
    </row>
    <row r="3102" spans="1:25">
      <c r="A3102" s="91"/>
      <c r="B3102" s="176"/>
      <c r="C3102" s="176"/>
      <c r="D3102" s="176"/>
      <c r="E3102" s="176"/>
      <c r="F3102" s="176"/>
      <c r="G3102" s="176"/>
      <c r="H3102" s="176"/>
      <c r="I3102" s="176"/>
      <c r="J3102" s="176"/>
      <c r="K3102" s="176"/>
      <c r="L3102" s="176"/>
      <c r="M3102" s="176"/>
      <c r="N3102" s="176"/>
      <c r="O3102" s="176"/>
      <c r="P3102" s="176"/>
      <c r="Q3102" s="176"/>
      <c r="R3102" s="176"/>
      <c r="S3102" s="176"/>
      <c r="T3102" s="176"/>
      <c r="U3102" s="176"/>
      <c r="V3102" s="176"/>
      <c r="W3102" s="176"/>
      <c r="X3102" s="176"/>
      <c r="Y3102" s="176"/>
    </row>
    <row r="3103" spans="1:25">
      <c r="A3103" s="91"/>
      <c r="B3103" s="176"/>
      <c r="C3103" s="176"/>
      <c r="D3103" s="176"/>
      <c r="E3103" s="176"/>
      <c r="F3103" s="176"/>
      <c r="G3103" s="176"/>
      <c r="H3103" s="176"/>
      <c r="I3103" s="176"/>
      <c r="J3103" s="176"/>
      <c r="K3103" s="176"/>
      <c r="L3103" s="176"/>
      <c r="M3103" s="176"/>
      <c r="N3103" s="176"/>
      <c r="O3103" s="176"/>
      <c r="P3103" s="176"/>
      <c r="Q3103" s="176"/>
      <c r="R3103" s="176"/>
      <c r="S3103" s="176"/>
      <c r="T3103" s="176"/>
      <c r="U3103" s="176"/>
      <c r="V3103" s="176"/>
      <c r="W3103" s="176"/>
      <c r="X3103" s="176"/>
      <c r="Y3103" s="176"/>
    </row>
    <row r="3104" spans="1:25">
      <c r="A3104" s="91"/>
      <c r="B3104" s="176"/>
      <c r="C3104" s="176"/>
      <c r="D3104" s="176"/>
      <c r="E3104" s="176"/>
      <c r="F3104" s="176"/>
      <c r="G3104" s="176"/>
      <c r="H3104" s="176"/>
      <c r="I3104" s="176"/>
      <c r="J3104" s="176"/>
      <c r="K3104" s="176"/>
      <c r="L3104" s="176"/>
      <c r="M3104" s="176"/>
      <c r="N3104" s="176"/>
      <c r="O3104" s="176"/>
      <c r="P3104" s="176"/>
      <c r="Q3104" s="176"/>
      <c r="R3104" s="176"/>
      <c r="S3104" s="176"/>
      <c r="T3104" s="176"/>
      <c r="U3104" s="176"/>
      <c r="V3104" s="176"/>
      <c r="W3104" s="176"/>
      <c r="X3104" s="176"/>
      <c r="Y3104" s="176"/>
    </row>
    <row r="3105" spans="1:25">
      <c r="A3105" s="91"/>
      <c r="B3105" s="176"/>
      <c r="C3105" s="176"/>
      <c r="D3105" s="176"/>
      <c r="E3105" s="176"/>
      <c r="F3105" s="176"/>
      <c r="G3105" s="176"/>
      <c r="H3105" s="176"/>
      <c r="I3105" s="176"/>
      <c r="J3105" s="176"/>
      <c r="K3105" s="176"/>
      <c r="L3105" s="176"/>
      <c r="M3105" s="176"/>
      <c r="N3105" s="176"/>
      <c r="O3105" s="176"/>
      <c r="P3105" s="176"/>
      <c r="Q3105" s="176"/>
      <c r="R3105" s="176"/>
      <c r="S3105" s="176"/>
      <c r="T3105" s="176"/>
      <c r="U3105" s="176"/>
      <c r="V3105" s="176"/>
      <c r="W3105" s="176"/>
      <c r="X3105" s="176"/>
      <c r="Y3105" s="176"/>
    </row>
    <row r="3106" spans="1:25">
      <c r="A3106" s="91"/>
      <c r="B3106" s="176"/>
      <c r="C3106" s="176"/>
      <c r="D3106" s="176"/>
      <c r="E3106" s="176"/>
      <c r="F3106" s="176"/>
      <c r="G3106" s="176"/>
      <c r="H3106" s="176"/>
      <c r="I3106" s="176"/>
      <c r="J3106" s="176"/>
      <c r="K3106" s="176"/>
      <c r="L3106" s="176"/>
      <c r="M3106" s="176"/>
      <c r="N3106" s="176"/>
      <c r="O3106" s="176"/>
      <c r="P3106" s="176"/>
      <c r="Q3106" s="176"/>
      <c r="R3106" s="176"/>
      <c r="S3106" s="176"/>
      <c r="T3106" s="176"/>
      <c r="U3106" s="176"/>
      <c r="V3106" s="176"/>
      <c r="W3106" s="176"/>
      <c r="X3106" s="176"/>
      <c r="Y3106" s="176"/>
    </row>
    <row r="3107" spans="1:25">
      <c r="A3107" s="91"/>
      <c r="B3107" s="176"/>
      <c r="C3107" s="176"/>
      <c r="D3107" s="176"/>
      <c r="E3107" s="176"/>
      <c r="F3107" s="176"/>
      <c r="G3107" s="176"/>
      <c r="H3107" s="176"/>
      <c r="I3107" s="176"/>
      <c r="J3107" s="176"/>
      <c r="K3107" s="176"/>
      <c r="L3107" s="176"/>
      <c r="M3107" s="176"/>
      <c r="N3107" s="176"/>
      <c r="O3107" s="176"/>
      <c r="P3107" s="176"/>
      <c r="Q3107" s="176"/>
      <c r="R3107" s="176"/>
      <c r="S3107" s="176"/>
      <c r="T3107" s="176"/>
      <c r="U3107" s="176"/>
      <c r="V3107" s="176"/>
      <c r="W3107" s="176"/>
      <c r="X3107" s="176"/>
      <c r="Y3107" s="176"/>
    </row>
    <row r="3108" spans="1:25">
      <c r="A3108" s="91"/>
      <c r="B3108" s="176"/>
      <c r="C3108" s="176"/>
      <c r="D3108" s="176"/>
      <c r="E3108" s="176"/>
      <c r="F3108" s="176"/>
      <c r="G3108" s="176"/>
      <c r="H3108" s="176"/>
      <c r="I3108" s="176"/>
      <c r="J3108" s="176"/>
      <c r="K3108" s="176"/>
      <c r="L3108" s="176"/>
      <c r="M3108" s="176"/>
      <c r="N3108" s="176"/>
      <c r="O3108" s="176"/>
      <c r="P3108" s="176"/>
      <c r="Q3108" s="176"/>
      <c r="R3108" s="176"/>
      <c r="S3108" s="176"/>
      <c r="T3108" s="176"/>
      <c r="U3108" s="176"/>
      <c r="V3108" s="176"/>
      <c r="W3108" s="176"/>
      <c r="X3108" s="176"/>
      <c r="Y3108" s="176"/>
    </row>
    <row r="3109" spans="1:25">
      <c r="A3109" s="91"/>
      <c r="B3109" s="176"/>
      <c r="C3109" s="176"/>
      <c r="D3109" s="176"/>
      <c r="E3109" s="176"/>
      <c r="F3109" s="176"/>
      <c r="G3109" s="176"/>
      <c r="H3109" s="176"/>
      <c r="I3109" s="176"/>
      <c r="J3109" s="176"/>
      <c r="K3109" s="176"/>
      <c r="L3109" s="176"/>
      <c r="M3109" s="176"/>
      <c r="N3109" s="176"/>
      <c r="O3109" s="176"/>
      <c r="P3109" s="176"/>
      <c r="Q3109" s="176"/>
      <c r="R3109" s="176"/>
      <c r="S3109" s="176"/>
      <c r="T3109" s="176"/>
      <c r="U3109" s="176"/>
      <c r="V3109" s="176"/>
      <c r="W3109" s="176"/>
      <c r="X3109" s="176"/>
      <c r="Y3109" s="176"/>
    </row>
    <row r="3110" spans="1:25">
      <c r="A3110" s="91"/>
      <c r="B3110" s="176"/>
      <c r="C3110" s="176"/>
      <c r="D3110" s="176"/>
      <c r="E3110" s="176"/>
      <c r="F3110" s="176"/>
      <c r="G3110" s="176"/>
      <c r="H3110" s="176"/>
      <c r="I3110" s="176"/>
      <c r="J3110" s="176"/>
      <c r="K3110" s="176"/>
      <c r="L3110" s="176"/>
      <c r="M3110" s="176"/>
      <c r="N3110" s="176"/>
      <c r="O3110" s="176"/>
      <c r="P3110" s="176"/>
      <c r="Q3110" s="176"/>
      <c r="R3110" s="176"/>
      <c r="S3110" s="176"/>
      <c r="T3110" s="176"/>
      <c r="U3110" s="176"/>
      <c r="V3110" s="176"/>
      <c r="W3110" s="176"/>
      <c r="X3110" s="176"/>
      <c r="Y3110" s="176"/>
    </row>
    <row r="3111" spans="1:25">
      <c r="A3111" s="91"/>
      <c r="B3111" s="176"/>
      <c r="C3111" s="176"/>
      <c r="D3111" s="176"/>
      <c r="E3111" s="176"/>
      <c r="F3111" s="176"/>
      <c r="G3111" s="176"/>
      <c r="H3111" s="176"/>
      <c r="I3111" s="176"/>
      <c r="J3111" s="176"/>
      <c r="K3111" s="176"/>
      <c r="L3111" s="176"/>
      <c r="M3111" s="176"/>
      <c r="N3111" s="176"/>
      <c r="O3111" s="176"/>
      <c r="P3111" s="176"/>
      <c r="Q3111" s="176"/>
      <c r="R3111" s="176"/>
      <c r="S3111" s="176"/>
      <c r="T3111" s="176"/>
      <c r="U3111" s="176"/>
      <c r="V3111" s="176"/>
      <c r="W3111" s="176"/>
      <c r="X3111" s="176"/>
      <c r="Y3111" s="176"/>
    </row>
    <row r="3112" spans="1:25">
      <c r="A3112" s="91"/>
      <c r="B3112" s="176"/>
      <c r="C3112" s="176"/>
      <c r="D3112" s="176"/>
      <c r="E3112" s="176"/>
      <c r="F3112" s="176"/>
      <c r="G3112" s="176"/>
      <c r="H3112" s="176"/>
      <c r="I3112" s="176"/>
      <c r="J3112" s="176"/>
      <c r="K3112" s="176"/>
      <c r="L3112" s="176"/>
      <c r="M3112" s="176"/>
      <c r="N3112" s="176"/>
      <c r="O3112" s="176"/>
      <c r="P3112" s="176"/>
      <c r="Q3112" s="176"/>
      <c r="R3112" s="176"/>
      <c r="S3112" s="176"/>
      <c r="T3112" s="176"/>
      <c r="U3112" s="176"/>
      <c r="V3112" s="176"/>
      <c r="W3112" s="176"/>
      <c r="X3112" s="176"/>
      <c r="Y3112" s="176"/>
    </row>
    <row r="3113" spans="1:25">
      <c r="A3113" s="91"/>
      <c r="B3113" s="176"/>
      <c r="C3113" s="176"/>
      <c r="D3113" s="176"/>
      <c r="E3113" s="176"/>
      <c r="F3113" s="176"/>
      <c r="G3113" s="176"/>
      <c r="H3113" s="176"/>
      <c r="I3113" s="176"/>
      <c r="J3113" s="176"/>
      <c r="K3113" s="176"/>
      <c r="L3113" s="176"/>
      <c r="M3113" s="176"/>
      <c r="N3113" s="176"/>
      <c r="O3113" s="176"/>
      <c r="P3113" s="176"/>
      <c r="Q3113" s="176"/>
      <c r="R3113" s="176"/>
      <c r="S3113" s="176"/>
      <c r="T3113" s="176"/>
      <c r="U3113" s="176"/>
      <c r="V3113" s="176"/>
      <c r="W3113" s="176"/>
      <c r="X3113" s="176"/>
      <c r="Y3113" s="176"/>
    </row>
    <row r="3114" spans="1:25">
      <c r="A3114" s="91"/>
      <c r="B3114" s="176"/>
      <c r="C3114" s="176"/>
      <c r="D3114" s="176"/>
      <c r="E3114" s="176"/>
      <c r="F3114" s="176"/>
      <c r="G3114" s="176"/>
      <c r="H3114" s="176"/>
      <c r="I3114" s="176"/>
      <c r="J3114" s="176"/>
      <c r="K3114" s="176"/>
      <c r="L3114" s="176"/>
      <c r="M3114" s="176"/>
      <c r="N3114" s="176"/>
      <c r="O3114" s="176"/>
      <c r="P3114" s="176"/>
      <c r="Q3114" s="176"/>
      <c r="R3114" s="176"/>
      <c r="S3114" s="176"/>
      <c r="T3114" s="176"/>
      <c r="U3114" s="176"/>
      <c r="V3114" s="176"/>
      <c r="W3114" s="176"/>
      <c r="X3114" s="176"/>
      <c r="Y3114" s="176"/>
    </row>
    <row r="3115" spans="1:25">
      <c r="A3115" s="91"/>
      <c r="B3115" s="176"/>
      <c r="C3115" s="176"/>
      <c r="D3115" s="176"/>
      <c r="E3115" s="176"/>
      <c r="F3115" s="176"/>
      <c r="G3115" s="176"/>
      <c r="H3115" s="176"/>
      <c r="I3115" s="176"/>
      <c r="J3115" s="176"/>
      <c r="K3115" s="176"/>
      <c r="L3115" s="176"/>
      <c r="M3115" s="176"/>
      <c r="N3115" s="176"/>
      <c r="O3115" s="176"/>
      <c r="P3115" s="176"/>
      <c r="Q3115" s="176"/>
      <c r="R3115" s="176"/>
      <c r="S3115" s="176"/>
      <c r="T3115" s="176"/>
      <c r="U3115" s="176"/>
      <c r="V3115" s="176"/>
      <c r="W3115" s="176"/>
      <c r="X3115" s="176"/>
      <c r="Y3115" s="176"/>
    </row>
    <row r="3116" spans="1:25">
      <c r="A3116" s="91"/>
      <c r="B3116" s="176"/>
      <c r="C3116" s="176"/>
      <c r="D3116" s="176"/>
      <c r="E3116" s="176"/>
      <c r="F3116" s="176"/>
      <c r="G3116" s="176"/>
      <c r="H3116" s="176"/>
      <c r="I3116" s="176"/>
      <c r="J3116" s="176"/>
      <c r="K3116" s="176"/>
      <c r="L3116" s="176"/>
      <c r="M3116" s="176"/>
      <c r="N3116" s="176"/>
      <c r="O3116" s="176"/>
      <c r="P3116" s="176"/>
      <c r="Q3116" s="176"/>
      <c r="R3116" s="176"/>
      <c r="S3116" s="176"/>
      <c r="T3116" s="176"/>
      <c r="U3116" s="176"/>
      <c r="V3116" s="176"/>
      <c r="W3116" s="176"/>
      <c r="X3116" s="176"/>
      <c r="Y3116" s="176"/>
    </row>
    <row r="3117" spans="1:25">
      <c r="A3117" s="91"/>
      <c r="B3117" s="176"/>
      <c r="C3117" s="176"/>
      <c r="D3117" s="176"/>
      <c r="E3117" s="176"/>
      <c r="F3117" s="176"/>
      <c r="G3117" s="176"/>
      <c r="H3117" s="176"/>
      <c r="I3117" s="176"/>
      <c r="J3117" s="176"/>
      <c r="K3117" s="176"/>
      <c r="L3117" s="176"/>
      <c r="M3117" s="176"/>
      <c r="N3117" s="176"/>
      <c r="O3117" s="176"/>
      <c r="P3117" s="176"/>
      <c r="Q3117" s="176"/>
      <c r="R3117" s="176"/>
      <c r="S3117" s="176"/>
      <c r="T3117" s="176"/>
      <c r="U3117" s="176"/>
      <c r="V3117" s="176"/>
      <c r="W3117" s="176"/>
      <c r="X3117" s="176"/>
      <c r="Y3117" s="176"/>
    </row>
    <row r="3118" spans="1:25">
      <c r="A3118" s="91"/>
      <c r="B3118" s="176"/>
      <c r="C3118" s="176"/>
      <c r="D3118" s="176"/>
      <c r="E3118" s="176"/>
      <c r="F3118" s="176"/>
      <c r="G3118" s="176"/>
      <c r="H3118" s="176"/>
      <c r="I3118" s="176"/>
      <c r="J3118" s="176"/>
      <c r="K3118" s="176"/>
      <c r="L3118" s="176"/>
      <c r="M3118" s="176"/>
      <c r="N3118" s="176"/>
      <c r="O3118" s="176"/>
      <c r="P3118" s="176"/>
      <c r="Q3118" s="176"/>
      <c r="R3118" s="176"/>
      <c r="S3118" s="176"/>
      <c r="T3118" s="176"/>
      <c r="U3118" s="176"/>
      <c r="V3118" s="176"/>
      <c r="W3118" s="176"/>
      <c r="X3118" s="176"/>
      <c r="Y3118" s="176"/>
    </row>
    <row r="3119" spans="1:25">
      <c r="A3119" s="91"/>
      <c r="B3119" s="176"/>
      <c r="C3119" s="176"/>
      <c r="D3119" s="176"/>
      <c r="E3119" s="176"/>
      <c r="F3119" s="176"/>
      <c r="G3119" s="176"/>
      <c r="H3119" s="176"/>
      <c r="I3119" s="176"/>
      <c r="J3119" s="176"/>
      <c r="K3119" s="176"/>
      <c r="L3119" s="176"/>
      <c r="M3119" s="176"/>
      <c r="N3119" s="176"/>
      <c r="O3119" s="176"/>
      <c r="P3119" s="176"/>
      <c r="Q3119" s="176"/>
      <c r="R3119" s="176"/>
      <c r="S3119" s="176"/>
      <c r="T3119" s="176"/>
      <c r="U3119" s="176"/>
      <c r="V3119" s="176"/>
      <c r="W3119" s="176"/>
      <c r="X3119" s="176"/>
      <c r="Y3119" s="176"/>
    </row>
    <row r="3120" spans="1:25">
      <c r="A3120" s="91"/>
      <c r="B3120" s="176"/>
      <c r="C3120" s="176"/>
      <c r="D3120" s="176"/>
      <c r="E3120" s="176"/>
      <c r="F3120" s="176"/>
      <c r="G3120" s="176"/>
      <c r="H3120" s="176"/>
      <c r="I3120" s="176"/>
      <c r="J3120" s="176"/>
      <c r="K3120" s="176"/>
      <c r="L3120" s="176"/>
      <c r="M3120" s="176"/>
      <c r="N3120" s="176"/>
      <c r="O3120" s="176"/>
      <c r="P3120" s="176"/>
      <c r="Q3120" s="176"/>
      <c r="R3120" s="176"/>
      <c r="S3120" s="176"/>
      <c r="T3120" s="176"/>
      <c r="U3120" s="176"/>
      <c r="V3120" s="176"/>
      <c r="W3120" s="176"/>
      <c r="X3120" s="176"/>
      <c r="Y3120" s="176"/>
    </row>
    <row r="3121" spans="1:25">
      <c r="A3121" s="91"/>
      <c r="B3121" s="176"/>
      <c r="C3121" s="176"/>
      <c r="D3121" s="176"/>
      <c r="E3121" s="176"/>
      <c r="F3121" s="176"/>
      <c r="G3121" s="176"/>
      <c r="H3121" s="176"/>
      <c r="I3121" s="176"/>
      <c r="J3121" s="176"/>
      <c r="K3121" s="176"/>
      <c r="L3121" s="176"/>
      <c r="M3121" s="176"/>
      <c r="N3121" s="176"/>
      <c r="O3121" s="176"/>
      <c r="P3121" s="176"/>
      <c r="Q3121" s="176"/>
      <c r="R3121" s="176"/>
      <c r="S3121" s="176"/>
      <c r="T3121" s="176"/>
      <c r="U3121" s="176"/>
      <c r="V3121" s="176"/>
      <c r="W3121" s="176"/>
      <c r="X3121" s="176"/>
      <c r="Y3121" s="176"/>
    </row>
    <row r="3122" spans="1:25">
      <c r="A3122" s="91"/>
      <c r="B3122" s="176"/>
      <c r="C3122" s="176"/>
      <c r="D3122" s="176"/>
      <c r="E3122" s="176"/>
      <c r="F3122" s="176"/>
      <c r="G3122" s="176"/>
      <c r="H3122" s="176"/>
      <c r="I3122" s="176"/>
      <c r="J3122" s="176"/>
      <c r="K3122" s="176"/>
      <c r="L3122" s="176"/>
      <c r="M3122" s="176"/>
      <c r="N3122" s="176"/>
      <c r="O3122" s="176"/>
      <c r="P3122" s="176"/>
      <c r="Q3122" s="176"/>
      <c r="R3122" s="176"/>
      <c r="S3122" s="176"/>
      <c r="T3122" s="176"/>
      <c r="U3122" s="176"/>
      <c r="V3122" s="176"/>
      <c r="W3122" s="176"/>
      <c r="X3122" s="176"/>
      <c r="Y3122" s="176"/>
    </row>
    <row r="3123" spans="1:25">
      <c r="A3123" s="91"/>
      <c r="B3123" s="176"/>
      <c r="C3123" s="176"/>
      <c r="D3123" s="176"/>
      <c r="E3123" s="176"/>
      <c r="F3123" s="176"/>
      <c r="G3123" s="176"/>
      <c r="H3123" s="176"/>
      <c r="I3123" s="176"/>
      <c r="J3123" s="176"/>
      <c r="K3123" s="176"/>
      <c r="L3123" s="176"/>
      <c r="M3123" s="176"/>
      <c r="N3123" s="176"/>
      <c r="O3123" s="176"/>
      <c r="P3123" s="176"/>
      <c r="Q3123" s="176"/>
      <c r="R3123" s="176"/>
      <c r="S3123" s="176"/>
      <c r="T3123" s="176"/>
      <c r="U3123" s="176"/>
      <c r="V3123" s="176"/>
      <c r="W3123" s="176"/>
      <c r="X3123" s="176"/>
      <c r="Y3123" s="176"/>
    </row>
    <row r="3124" spans="1:25">
      <c r="A3124" s="91"/>
      <c r="B3124" s="176"/>
      <c r="C3124" s="176"/>
      <c r="D3124" s="176"/>
      <c r="E3124" s="176"/>
      <c r="F3124" s="176"/>
      <c r="G3124" s="176"/>
      <c r="H3124" s="176"/>
      <c r="I3124" s="176"/>
      <c r="J3124" s="176"/>
      <c r="K3124" s="176"/>
      <c r="L3124" s="176"/>
      <c r="M3124" s="176"/>
      <c r="N3124" s="176"/>
      <c r="O3124" s="176"/>
      <c r="P3124" s="176"/>
      <c r="Q3124" s="176"/>
      <c r="R3124" s="176"/>
      <c r="S3124" s="176"/>
      <c r="T3124" s="176"/>
      <c r="U3124" s="176"/>
      <c r="V3124" s="176"/>
      <c r="W3124" s="176"/>
      <c r="X3124" s="176"/>
      <c r="Y3124" s="176"/>
    </row>
    <row r="3125" spans="1:25">
      <c r="A3125" s="91"/>
      <c r="B3125" s="176"/>
      <c r="C3125" s="176"/>
      <c r="D3125" s="176"/>
      <c r="E3125" s="176"/>
      <c r="F3125" s="176"/>
      <c r="G3125" s="176"/>
      <c r="H3125" s="176"/>
      <c r="I3125" s="176"/>
      <c r="J3125" s="176"/>
      <c r="K3125" s="176"/>
      <c r="L3125" s="176"/>
      <c r="M3125" s="176"/>
      <c r="N3125" s="176"/>
      <c r="O3125" s="176"/>
      <c r="P3125" s="176"/>
      <c r="Q3125" s="176"/>
      <c r="R3125" s="176"/>
      <c r="S3125" s="176"/>
      <c r="T3125" s="176"/>
      <c r="U3125" s="176"/>
      <c r="V3125" s="176"/>
      <c r="W3125" s="176"/>
      <c r="X3125" s="176"/>
      <c r="Y3125" s="176"/>
    </row>
    <row r="3126" spans="1:25">
      <c r="A3126" s="91"/>
      <c r="B3126" s="176"/>
      <c r="C3126" s="176"/>
      <c r="D3126" s="176"/>
      <c r="E3126" s="176"/>
      <c r="F3126" s="176"/>
      <c r="G3126" s="176"/>
      <c r="H3126" s="176"/>
      <c r="I3126" s="176"/>
      <c r="J3126" s="176"/>
      <c r="K3126" s="176"/>
      <c r="L3126" s="176"/>
      <c r="M3126" s="176"/>
      <c r="N3126" s="176"/>
      <c r="O3126" s="176"/>
      <c r="P3126" s="176"/>
      <c r="Q3126" s="176"/>
      <c r="R3126" s="176"/>
      <c r="S3126" s="176"/>
      <c r="T3126" s="176"/>
      <c r="U3126" s="176"/>
      <c r="V3126" s="176"/>
      <c r="W3126" s="176"/>
      <c r="X3126" s="176"/>
      <c r="Y3126" s="176"/>
    </row>
    <row r="3127" spans="1:25">
      <c r="A3127" s="91"/>
      <c r="B3127" s="176"/>
      <c r="C3127" s="176"/>
      <c r="D3127" s="176"/>
      <c r="E3127" s="176"/>
      <c r="F3127" s="176"/>
      <c r="G3127" s="176"/>
      <c r="H3127" s="176"/>
      <c r="I3127" s="176"/>
      <c r="J3127" s="176"/>
      <c r="K3127" s="176"/>
      <c r="L3127" s="176"/>
      <c r="M3127" s="176"/>
      <c r="N3127" s="176"/>
      <c r="O3127" s="176"/>
      <c r="P3127" s="176"/>
      <c r="Q3127" s="176"/>
      <c r="R3127" s="176"/>
      <c r="S3127" s="176"/>
      <c r="T3127" s="176"/>
      <c r="U3127" s="176"/>
      <c r="V3127" s="176"/>
      <c r="W3127" s="176"/>
      <c r="X3127" s="176"/>
      <c r="Y3127" s="176"/>
    </row>
    <row r="3128" spans="1:25">
      <c r="A3128" s="91"/>
      <c r="B3128" s="176"/>
      <c r="C3128" s="176"/>
      <c r="D3128" s="176"/>
      <c r="E3128" s="176"/>
      <c r="F3128" s="176"/>
      <c r="G3128" s="176"/>
      <c r="H3128" s="176"/>
      <c r="I3128" s="176"/>
      <c r="J3128" s="176"/>
      <c r="K3128" s="176"/>
      <c r="L3128" s="176"/>
      <c r="M3128" s="176"/>
      <c r="N3128" s="176"/>
      <c r="O3128" s="176"/>
      <c r="P3128" s="176"/>
      <c r="Q3128" s="176"/>
      <c r="R3128" s="176"/>
      <c r="S3128" s="176"/>
      <c r="T3128" s="176"/>
      <c r="U3128" s="176"/>
      <c r="V3128" s="176"/>
      <c r="W3128" s="176"/>
      <c r="X3128" s="176"/>
      <c r="Y3128" s="176"/>
    </row>
    <row r="3129" spans="1:25">
      <c r="A3129" s="91"/>
      <c r="B3129" s="176"/>
      <c r="C3129" s="176"/>
      <c r="D3129" s="176"/>
      <c r="E3129" s="176"/>
      <c r="F3129" s="176"/>
      <c r="G3129" s="176"/>
      <c r="H3129" s="176"/>
      <c r="I3129" s="176"/>
      <c r="J3129" s="176"/>
      <c r="K3129" s="176"/>
      <c r="L3129" s="176"/>
      <c r="M3129" s="176"/>
      <c r="N3129" s="176"/>
      <c r="O3129" s="176"/>
      <c r="P3129" s="176"/>
      <c r="Q3129" s="176"/>
      <c r="R3129" s="176"/>
      <c r="S3129" s="176"/>
      <c r="T3129" s="176"/>
      <c r="U3129" s="176"/>
      <c r="V3129" s="176"/>
      <c r="W3129" s="176"/>
      <c r="X3129" s="176"/>
      <c r="Y3129" s="176"/>
    </row>
    <row r="3130" spans="1:25">
      <c r="A3130" s="91"/>
      <c r="B3130" s="176"/>
      <c r="C3130" s="176"/>
      <c r="D3130" s="176"/>
      <c r="E3130" s="176"/>
      <c r="F3130" s="176"/>
      <c r="G3130" s="176"/>
      <c r="H3130" s="176"/>
      <c r="I3130" s="176"/>
      <c r="J3130" s="176"/>
      <c r="K3130" s="176"/>
      <c r="L3130" s="176"/>
      <c r="M3130" s="176"/>
      <c r="N3130" s="176"/>
      <c r="O3130" s="176"/>
      <c r="P3130" s="176"/>
      <c r="Q3130" s="176"/>
      <c r="R3130" s="176"/>
      <c r="S3130" s="176"/>
      <c r="T3130" s="176"/>
      <c r="U3130" s="176"/>
      <c r="V3130" s="176"/>
      <c r="W3130" s="176"/>
      <c r="X3130" s="176"/>
      <c r="Y3130" s="176"/>
    </row>
    <row r="3131" spans="1:25">
      <c r="A3131" s="91"/>
      <c r="B3131" s="176"/>
      <c r="C3131" s="176"/>
      <c r="D3131" s="176"/>
      <c r="E3131" s="176"/>
      <c r="F3131" s="176"/>
      <c r="G3131" s="176"/>
      <c r="H3131" s="176"/>
      <c r="I3131" s="176"/>
      <c r="J3131" s="176"/>
      <c r="K3131" s="176"/>
      <c r="L3131" s="176"/>
      <c r="M3131" s="176"/>
      <c r="N3131" s="176"/>
      <c r="O3131" s="176"/>
      <c r="P3131" s="176"/>
      <c r="Q3131" s="176"/>
      <c r="R3131" s="176"/>
      <c r="S3131" s="176"/>
      <c r="T3131" s="176"/>
      <c r="U3131" s="176"/>
      <c r="V3131" s="176"/>
      <c r="W3131" s="176"/>
      <c r="X3131" s="176"/>
      <c r="Y3131" s="176"/>
    </row>
    <row r="3132" spans="1:25">
      <c r="A3132" s="91"/>
      <c r="B3132" s="176"/>
      <c r="C3132" s="176"/>
      <c r="D3132" s="176"/>
      <c r="E3132" s="176"/>
      <c r="F3132" s="176"/>
      <c r="G3132" s="176"/>
      <c r="H3132" s="176"/>
      <c r="I3132" s="176"/>
      <c r="J3132" s="176"/>
      <c r="K3132" s="176"/>
      <c r="L3132" s="176"/>
      <c r="M3132" s="176"/>
      <c r="N3132" s="176"/>
      <c r="O3132" s="176"/>
      <c r="P3132" s="176"/>
      <c r="Q3132" s="176"/>
      <c r="R3132" s="176"/>
      <c r="S3132" s="176"/>
      <c r="T3132" s="176"/>
      <c r="U3132" s="176"/>
      <c r="V3132" s="176"/>
      <c r="W3132" s="176"/>
      <c r="X3132" s="176"/>
      <c r="Y3132" s="176"/>
    </row>
    <row r="3133" spans="1:25">
      <c r="A3133" s="91"/>
      <c r="B3133" s="176"/>
      <c r="C3133" s="176"/>
      <c r="D3133" s="176"/>
      <c r="E3133" s="176"/>
      <c r="F3133" s="176"/>
      <c r="G3133" s="176"/>
      <c r="H3133" s="176"/>
      <c r="I3133" s="176"/>
      <c r="J3133" s="176"/>
      <c r="K3133" s="176"/>
      <c r="L3133" s="176"/>
      <c r="M3133" s="176"/>
      <c r="N3133" s="176"/>
      <c r="O3133" s="176"/>
      <c r="P3133" s="176"/>
      <c r="Q3133" s="176"/>
      <c r="R3133" s="176"/>
      <c r="S3133" s="176"/>
      <c r="T3133" s="176"/>
      <c r="U3133" s="176"/>
      <c r="V3133" s="176"/>
      <c r="W3133" s="176"/>
      <c r="X3133" s="176"/>
      <c r="Y3133" s="176"/>
    </row>
    <row r="3134" spans="1:25">
      <c r="A3134" s="91"/>
      <c r="B3134" s="176"/>
      <c r="C3134" s="176"/>
      <c r="D3134" s="176"/>
      <c r="E3134" s="176"/>
      <c r="F3134" s="176"/>
      <c r="G3134" s="176"/>
      <c r="H3134" s="176"/>
      <c r="I3134" s="176"/>
      <c r="J3134" s="176"/>
      <c r="K3134" s="176"/>
      <c r="L3134" s="176"/>
      <c r="M3134" s="176"/>
      <c r="N3134" s="176"/>
      <c r="O3134" s="176"/>
      <c r="P3134" s="176"/>
      <c r="Q3134" s="176"/>
      <c r="R3134" s="176"/>
      <c r="S3134" s="176"/>
      <c r="T3134" s="176"/>
      <c r="U3134" s="176"/>
      <c r="V3134" s="176"/>
      <c r="W3134" s="176"/>
      <c r="X3134" s="176"/>
      <c r="Y3134" s="176"/>
    </row>
    <row r="3135" spans="1:25">
      <c r="A3135" s="91"/>
      <c r="B3135" s="176"/>
      <c r="C3135" s="176"/>
      <c r="D3135" s="176"/>
      <c r="E3135" s="176"/>
      <c r="F3135" s="176"/>
      <c r="G3135" s="176"/>
      <c r="H3135" s="176"/>
      <c r="I3135" s="176"/>
      <c r="J3135" s="176"/>
      <c r="K3135" s="176"/>
      <c r="L3135" s="176"/>
      <c r="M3135" s="176"/>
      <c r="N3135" s="176"/>
      <c r="O3135" s="176"/>
      <c r="P3135" s="176"/>
      <c r="Q3135" s="176"/>
      <c r="R3135" s="176"/>
      <c r="S3135" s="176"/>
      <c r="T3135" s="176"/>
      <c r="U3135" s="176"/>
      <c r="V3135" s="176"/>
      <c r="W3135" s="176"/>
      <c r="X3135" s="176"/>
      <c r="Y3135" s="176"/>
    </row>
    <row r="3136" spans="1:25">
      <c r="A3136" s="91"/>
      <c r="B3136" s="176"/>
      <c r="C3136" s="176"/>
      <c r="D3136" s="176"/>
      <c r="E3136" s="176"/>
      <c r="F3136" s="176"/>
      <c r="G3136" s="176"/>
      <c r="H3136" s="176"/>
      <c r="I3136" s="176"/>
      <c r="J3136" s="176"/>
      <c r="K3136" s="176"/>
      <c r="L3136" s="176"/>
      <c r="M3136" s="176"/>
      <c r="N3136" s="176"/>
      <c r="O3136" s="176"/>
      <c r="P3136" s="176"/>
      <c r="Q3136" s="176"/>
      <c r="R3136" s="176"/>
      <c r="S3136" s="176"/>
      <c r="T3136" s="176"/>
      <c r="U3136" s="176"/>
      <c r="V3136" s="176"/>
      <c r="W3136" s="176"/>
      <c r="X3136" s="176"/>
      <c r="Y3136" s="176"/>
    </row>
    <row r="3137" spans="1:25">
      <c r="A3137" s="91"/>
      <c r="B3137" s="176"/>
      <c r="C3137" s="176"/>
      <c r="D3137" s="176"/>
      <c r="E3137" s="176"/>
      <c r="F3137" s="176"/>
      <c r="G3137" s="176"/>
      <c r="H3137" s="176"/>
      <c r="I3137" s="176"/>
      <c r="J3137" s="176"/>
      <c r="K3137" s="176"/>
      <c r="L3137" s="176"/>
      <c r="M3137" s="176"/>
      <c r="N3137" s="176"/>
      <c r="O3137" s="176"/>
      <c r="P3137" s="176"/>
      <c r="Q3137" s="176"/>
      <c r="R3137" s="176"/>
      <c r="S3137" s="176"/>
      <c r="T3137" s="176"/>
      <c r="U3137" s="176"/>
      <c r="V3137" s="176"/>
      <c r="W3137" s="176"/>
      <c r="X3137" s="176"/>
      <c r="Y3137" s="176"/>
    </row>
    <row r="3138" spans="1:25">
      <c r="A3138" s="91"/>
      <c r="B3138" s="176"/>
      <c r="C3138" s="176"/>
      <c r="D3138" s="176"/>
      <c r="E3138" s="176"/>
      <c r="F3138" s="176"/>
      <c r="G3138" s="176"/>
      <c r="H3138" s="176"/>
      <c r="I3138" s="176"/>
      <c r="J3138" s="176"/>
      <c r="K3138" s="176"/>
      <c r="L3138" s="176"/>
      <c r="M3138" s="176"/>
      <c r="N3138" s="176"/>
      <c r="O3138" s="176"/>
      <c r="P3138" s="176"/>
      <c r="Q3138" s="176"/>
      <c r="R3138" s="176"/>
      <c r="S3138" s="176"/>
      <c r="T3138" s="176"/>
      <c r="U3138" s="176"/>
      <c r="V3138" s="176"/>
      <c r="W3138" s="176"/>
      <c r="X3138" s="176"/>
      <c r="Y3138" s="176"/>
    </row>
    <row r="3139" spans="1:25">
      <c r="A3139" s="91"/>
      <c r="B3139" s="176"/>
      <c r="C3139" s="176"/>
      <c r="D3139" s="176"/>
      <c r="E3139" s="176"/>
      <c r="F3139" s="176"/>
      <c r="G3139" s="176"/>
      <c r="H3139" s="176"/>
      <c r="I3139" s="176"/>
      <c r="J3139" s="176"/>
      <c r="K3139" s="176"/>
      <c r="L3139" s="176"/>
      <c r="M3139" s="176"/>
      <c r="N3139" s="176"/>
      <c r="O3139" s="176"/>
      <c r="P3139" s="176"/>
      <c r="Q3139" s="176"/>
      <c r="R3139" s="176"/>
      <c r="S3139" s="176"/>
      <c r="T3139" s="176"/>
      <c r="U3139" s="176"/>
      <c r="V3139" s="176"/>
      <c r="W3139" s="176"/>
      <c r="X3139" s="176"/>
      <c r="Y3139" s="176"/>
    </row>
    <row r="3140" spans="1:25">
      <c r="A3140" s="91"/>
      <c r="B3140" s="176"/>
      <c r="C3140" s="176"/>
      <c r="D3140" s="176"/>
      <c r="E3140" s="176"/>
      <c r="F3140" s="176"/>
      <c r="G3140" s="176"/>
      <c r="H3140" s="176"/>
      <c r="I3140" s="176"/>
      <c r="J3140" s="176"/>
      <c r="K3140" s="176"/>
      <c r="L3140" s="176"/>
      <c r="M3140" s="176"/>
      <c r="N3140" s="176"/>
      <c r="O3140" s="176"/>
      <c r="P3140" s="176"/>
      <c r="Q3140" s="176"/>
      <c r="R3140" s="176"/>
      <c r="S3140" s="176"/>
      <c r="T3140" s="176"/>
      <c r="U3140" s="176"/>
      <c r="V3140" s="176"/>
      <c r="W3140" s="176"/>
      <c r="X3140" s="176"/>
      <c r="Y3140" s="176"/>
    </row>
    <row r="3141" spans="1:25">
      <c r="A3141" s="91"/>
      <c r="B3141" s="176"/>
      <c r="C3141" s="176"/>
      <c r="D3141" s="176"/>
      <c r="E3141" s="176"/>
      <c r="F3141" s="176"/>
      <c r="G3141" s="176"/>
      <c r="H3141" s="176"/>
      <c r="I3141" s="176"/>
      <c r="J3141" s="176"/>
      <c r="K3141" s="176"/>
      <c r="L3141" s="176"/>
      <c r="M3141" s="176"/>
      <c r="N3141" s="176"/>
      <c r="O3141" s="176"/>
      <c r="P3141" s="176"/>
      <c r="Q3141" s="176"/>
      <c r="R3141" s="176"/>
      <c r="S3141" s="176"/>
      <c r="T3141" s="176"/>
      <c r="U3141" s="176"/>
      <c r="V3141" s="176"/>
      <c r="W3141" s="176"/>
      <c r="X3141" s="176"/>
      <c r="Y3141" s="176"/>
    </row>
    <row r="3142" spans="1:25">
      <c r="A3142" s="91"/>
      <c r="B3142" s="176"/>
      <c r="C3142" s="176"/>
      <c r="D3142" s="176"/>
      <c r="E3142" s="176"/>
      <c r="F3142" s="176"/>
      <c r="G3142" s="176"/>
      <c r="H3142" s="176"/>
      <c r="I3142" s="176"/>
      <c r="J3142" s="176"/>
      <c r="K3142" s="176"/>
      <c r="L3142" s="176"/>
      <c r="M3142" s="176"/>
      <c r="N3142" s="176"/>
      <c r="O3142" s="176"/>
      <c r="P3142" s="176"/>
      <c r="Q3142" s="176"/>
      <c r="R3142" s="176"/>
      <c r="S3142" s="176"/>
      <c r="T3142" s="176"/>
      <c r="U3142" s="176"/>
      <c r="V3142" s="176"/>
      <c r="W3142" s="176"/>
      <c r="X3142" s="176"/>
      <c r="Y3142" s="176"/>
    </row>
    <row r="3143" spans="1:25">
      <c r="A3143" s="91"/>
      <c r="B3143" s="176"/>
      <c r="C3143" s="176"/>
      <c r="D3143" s="176"/>
      <c r="E3143" s="176"/>
      <c r="F3143" s="176"/>
      <c r="G3143" s="176"/>
      <c r="H3143" s="176"/>
      <c r="I3143" s="176"/>
      <c r="J3143" s="176"/>
      <c r="K3143" s="176"/>
      <c r="L3143" s="176"/>
      <c r="M3143" s="176"/>
      <c r="N3143" s="176"/>
      <c r="O3143" s="176"/>
      <c r="P3143" s="176"/>
      <c r="Q3143" s="176"/>
      <c r="R3143" s="176"/>
      <c r="S3143" s="176"/>
      <c r="T3143" s="176"/>
      <c r="U3143" s="176"/>
      <c r="V3143" s="176"/>
      <c r="W3143" s="176"/>
      <c r="X3143" s="176"/>
      <c r="Y3143" s="176"/>
    </row>
    <row r="3144" spans="1:25">
      <c r="A3144" s="91"/>
      <c r="B3144" s="176"/>
      <c r="C3144" s="176"/>
      <c r="D3144" s="176"/>
      <c r="E3144" s="176"/>
      <c r="F3144" s="176"/>
      <c r="G3144" s="176"/>
      <c r="H3144" s="176"/>
      <c r="I3144" s="176"/>
      <c r="J3144" s="176"/>
      <c r="K3144" s="176"/>
      <c r="L3144" s="176"/>
      <c r="M3144" s="176"/>
      <c r="N3144" s="176"/>
      <c r="O3144" s="176"/>
      <c r="P3144" s="176"/>
      <c r="Q3144" s="176"/>
      <c r="R3144" s="176"/>
      <c r="S3144" s="176"/>
      <c r="T3144" s="176"/>
      <c r="U3144" s="176"/>
      <c r="V3144" s="176"/>
      <c r="W3144" s="176"/>
      <c r="X3144" s="176"/>
      <c r="Y3144" s="176"/>
    </row>
    <row r="3145" spans="1:25">
      <c r="A3145" s="91"/>
      <c r="B3145" s="176"/>
      <c r="C3145" s="176"/>
      <c r="D3145" s="176"/>
      <c r="E3145" s="176"/>
      <c r="F3145" s="176"/>
      <c r="G3145" s="176"/>
      <c r="H3145" s="176"/>
      <c r="I3145" s="176"/>
      <c r="J3145" s="176"/>
      <c r="K3145" s="176"/>
      <c r="L3145" s="176"/>
      <c r="M3145" s="176"/>
      <c r="N3145" s="176"/>
      <c r="O3145" s="176"/>
      <c r="P3145" s="176"/>
      <c r="Q3145" s="176"/>
      <c r="R3145" s="176"/>
      <c r="S3145" s="176"/>
      <c r="T3145" s="176"/>
      <c r="U3145" s="176"/>
      <c r="V3145" s="176"/>
      <c r="W3145" s="176"/>
      <c r="X3145" s="176"/>
      <c r="Y3145" s="176"/>
    </row>
    <row r="3146" spans="1:25">
      <c r="A3146" s="91"/>
      <c r="B3146" s="176"/>
      <c r="C3146" s="176"/>
      <c r="D3146" s="176"/>
      <c r="E3146" s="176"/>
      <c r="F3146" s="176"/>
      <c r="G3146" s="176"/>
      <c r="H3146" s="176"/>
      <c r="I3146" s="176"/>
      <c r="J3146" s="176"/>
      <c r="K3146" s="176"/>
      <c r="L3146" s="176"/>
      <c r="M3146" s="176"/>
      <c r="N3146" s="176"/>
      <c r="O3146" s="176"/>
      <c r="P3146" s="176"/>
      <c r="Q3146" s="176"/>
      <c r="R3146" s="176"/>
      <c r="S3146" s="176"/>
      <c r="T3146" s="176"/>
      <c r="U3146" s="176"/>
      <c r="V3146" s="176"/>
      <c r="W3146" s="176"/>
      <c r="X3146" s="176"/>
      <c r="Y3146" s="176"/>
    </row>
    <row r="3147" spans="1:25">
      <c r="A3147" s="91"/>
      <c r="B3147" s="176"/>
      <c r="C3147" s="176"/>
      <c r="D3147" s="176"/>
      <c r="E3147" s="176"/>
      <c r="F3147" s="176"/>
      <c r="G3147" s="176"/>
      <c r="H3147" s="176"/>
      <c r="I3147" s="176"/>
      <c r="J3147" s="176"/>
      <c r="K3147" s="176"/>
      <c r="L3147" s="176"/>
      <c r="M3147" s="176"/>
      <c r="N3147" s="176"/>
      <c r="O3147" s="176"/>
      <c r="P3147" s="176"/>
      <c r="Q3147" s="176"/>
      <c r="R3147" s="176"/>
      <c r="S3147" s="176"/>
      <c r="T3147" s="176"/>
      <c r="U3147" s="176"/>
      <c r="V3147" s="176"/>
      <c r="W3147" s="176"/>
      <c r="X3147" s="176"/>
      <c r="Y3147" s="176"/>
    </row>
    <row r="3148" spans="1:25">
      <c r="A3148" s="91"/>
      <c r="B3148" s="176"/>
      <c r="C3148" s="176"/>
      <c r="D3148" s="176"/>
      <c r="E3148" s="176"/>
      <c r="F3148" s="176"/>
      <c r="G3148" s="176"/>
      <c r="H3148" s="176"/>
      <c r="I3148" s="176"/>
      <c r="J3148" s="176"/>
      <c r="K3148" s="176"/>
      <c r="L3148" s="176"/>
      <c r="M3148" s="176"/>
      <c r="N3148" s="176"/>
      <c r="O3148" s="176"/>
      <c r="P3148" s="176"/>
      <c r="Q3148" s="176"/>
      <c r="R3148" s="176"/>
      <c r="S3148" s="176"/>
      <c r="T3148" s="176"/>
      <c r="U3148" s="176"/>
      <c r="V3148" s="176"/>
      <c r="W3148" s="176"/>
      <c r="X3148" s="176"/>
      <c r="Y3148" s="176"/>
    </row>
    <row r="3149" spans="1:25">
      <c r="A3149" s="91"/>
      <c r="B3149" s="176"/>
      <c r="C3149" s="176"/>
      <c r="D3149" s="176"/>
      <c r="E3149" s="176"/>
      <c r="F3149" s="176"/>
      <c r="G3149" s="176"/>
      <c r="H3149" s="176"/>
      <c r="I3149" s="176"/>
      <c r="J3149" s="176"/>
      <c r="K3149" s="176"/>
      <c r="L3149" s="176"/>
      <c r="M3149" s="176"/>
      <c r="N3149" s="176"/>
      <c r="O3149" s="176"/>
      <c r="P3149" s="176"/>
      <c r="Q3149" s="176"/>
      <c r="R3149" s="176"/>
      <c r="S3149" s="176"/>
      <c r="T3149" s="176"/>
      <c r="U3149" s="176"/>
      <c r="V3149" s="176"/>
      <c r="W3149" s="176"/>
      <c r="X3149" s="176"/>
      <c r="Y3149" s="176"/>
    </row>
    <row r="3150" spans="1:25">
      <c r="A3150" s="91"/>
      <c r="B3150" s="176"/>
      <c r="C3150" s="176"/>
      <c r="D3150" s="176"/>
      <c r="E3150" s="176"/>
      <c r="F3150" s="176"/>
      <c r="G3150" s="176"/>
      <c r="H3150" s="176"/>
      <c r="I3150" s="176"/>
      <c r="J3150" s="176"/>
      <c r="K3150" s="176"/>
      <c r="L3150" s="176"/>
      <c r="M3150" s="176"/>
      <c r="N3150" s="176"/>
      <c r="O3150" s="176"/>
      <c r="P3150" s="176"/>
      <c r="Q3150" s="176"/>
      <c r="R3150" s="176"/>
      <c r="S3150" s="176"/>
      <c r="T3150" s="176"/>
      <c r="U3150" s="176"/>
      <c r="V3150" s="176"/>
      <c r="W3150" s="176"/>
      <c r="X3150" s="176"/>
      <c r="Y3150" s="176"/>
    </row>
    <row r="3151" spans="1:25">
      <c r="A3151" s="91"/>
      <c r="B3151" s="176"/>
      <c r="C3151" s="176"/>
      <c r="D3151" s="176"/>
      <c r="E3151" s="176"/>
      <c r="F3151" s="176"/>
      <c r="G3151" s="176"/>
      <c r="H3151" s="176"/>
      <c r="I3151" s="176"/>
      <c r="J3151" s="176"/>
      <c r="K3151" s="176"/>
      <c r="L3151" s="176"/>
      <c r="M3151" s="176"/>
      <c r="N3151" s="176"/>
      <c r="O3151" s="176"/>
      <c r="P3151" s="176"/>
      <c r="Q3151" s="176"/>
      <c r="R3151" s="176"/>
      <c r="S3151" s="176"/>
      <c r="T3151" s="176"/>
      <c r="U3151" s="176"/>
      <c r="V3151" s="176"/>
      <c r="W3151" s="176"/>
      <c r="X3151" s="176"/>
      <c r="Y3151" s="176"/>
    </row>
    <row r="3152" spans="1:25">
      <c r="A3152" s="91"/>
      <c r="B3152" s="176"/>
      <c r="C3152" s="176"/>
      <c r="D3152" s="176"/>
      <c r="E3152" s="176"/>
      <c r="F3152" s="176"/>
      <c r="G3152" s="176"/>
      <c r="H3152" s="176"/>
      <c r="I3152" s="176"/>
      <c r="J3152" s="176"/>
      <c r="K3152" s="176"/>
      <c r="L3152" s="176"/>
      <c r="M3152" s="176"/>
      <c r="N3152" s="176"/>
      <c r="O3152" s="176"/>
      <c r="P3152" s="176"/>
      <c r="Q3152" s="176"/>
      <c r="R3152" s="176"/>
      <c r="S3152" s="176"/>
      <c r="T3152" s="176"/>
      <c r="U3152" s="176"/>
      <c r="V3152" s="176"/>
      <c r="W3152" s="176"/>
      <c r="X3152" s="176"/>
      <c r="Y3152" s="176"/>
    </row>
    <row r="3153" spans="1:25">
      <c r="A3153" s="91"/>
      <c r="B3153" s="176"/>
      <c r="C3153" s="176"/>
      <c r="D3153" s="176"/>
      <c r="E3153" s="176"/>
      <c r="F3153" s="176"/>
      <c r="G3153" s="176"/>
      <c r="H3153" s="176"/>
      <c r="I3153" s="176"/>
      <c r="J3153" s="176"/>
      <c r="K3153" s="176"/>
      <c r="L3153" s="176"/>
      <c r="M3153" s="176"/>
      <c r="N3153" s="176"/>
      <c r="O3153" s="176"/>
      <c r="P3153" s="176"/>
      <c r="Q3153" s="176"/>
      <c r="R3153" s="176"/>
      <c r="S3153" s="176"/>
      <c r="T3153" s="176"/>
      <c r="U3153" s="176"/>
      <c r="V3153" s="176"/>
      <c r="W3153" s="176"/>
      <c r="X3153" s="176"/>
      <c r="Y3153" s="176"/>
    </row>
    <row r="3154" spans="1:25">
      <c r="A3154" s="91"/>
      <c r="B3154" s="176"/>
      <c r="C3154" s="176"/>
      <c r="D3154" s="176"/>
      <c r="E3154" s="176"/>
      <c r="F3154" s="176"/>
      <c r="G3154" s="176"/>
      <c r="H3154" s="176"/>
      <c r="I3154" s="176"/>
      <c r="J3154" s="176"/>
      <c r="K3154" s="176"/>
      <c r="L3154" s="176"/>
      <c r="M3154" s="176"/>
      <c r="N3154" s="176"/>
      <c r="O3154" s="176"/>
      <c r="P3154" s="176"/>
      <c r="Q3154" s="176"/>
      <c r="R3154" s="176"/>
      <c r="S3154" s="176"/>
      <c r="T3154" s="176"/>
      <c r="U3154" s="176"/>
      <c r="V3154" s="176"/>
      <c r="W3154" s="176"/>
      <c r="X3154" s="176"/>
      <c r="Y3154" s="176"/>
    </row>
    <row r="3155" spans="1:25">
      <c r="A3155" s="91"/>
      <c r="B3155" s="176"/>
      <c r="C3155" s="176"/>
      <c r="D3155" s="176"/>
      <c r="E3155" s="176"/>
      <c r="F3155" s="176"/>
      <c r="G3155" s="176"/>
      <c r="H3155" s="176"/>
      <c r="I3155" s="176"/>
      <c r="J3155" s="176"/>
      <c r="K3155" s="176"/>
      <c r="L3155" s="176"/>
      <c r="M3155" s="176"/>
      <c r="N3155" s="176"/>
      <c r="O3155" s="176"/>
      <c r="P3155" s="176"/>
      <c r="Q3155" s="176"/>
      <c r="R3155" s="176"/>
      <c r="S3155" s="176"/>
      <c r="T3155" s="176"/>
      <c r="U3155" s="176"/>
      <c r="V3155" s="176"/>
      <c r="W3155" s="176"/>
      <c r="X3155" s="176"/>
      <c r="Y3155" s="176"/>
    </row>
    <row r="3156" spans="1:25">
      <c r="A3156" s="91"/>
      <c r="B3156" s="176"/>
      <c r="C3156" s="176"/>
      <c r="D3156" s="176"/>
      <c r="E3156" s="176"/>
      <c r="F3156" s="176"/>
      <c r="G3156" s="176"/>
      <c r="H3156" s="176"/>
      <c r="I3156" s="176"/>
      <c r="J3156" s="176"/>
      <c r="K3156" s="176"/>
      <c r="L3156" s="176"/>
      <c r="M3156" s="176"/>
      <c r="N3156" s="176"/>
      <c r="O3156" s="176"/>
      <c r="P3156" s="176"/>
      <c r="Q3156" s="176"/>
      <c r="R3156" s="176"/>
      <c r="S3156" s="176"/>
      <c r="T3156" s="176"/>
      <c r="U3156" s="176"/>
      <c r="V3156" s="176"/>
      <c r="W3156" s="176"/>
      <c r="X3156" s="176"/>
      <c r="Y3156" s="176"/>
    </row>
    <row r="3157" spans="1:25">
      <c r="A3157" s="91"/>
      <c r="B3157" s="176"/>
      <c r="C3157" s="176"/>
      <c r="D3157" s="176"/>
      <c r="E3157" s="176"/>
      <c r="F3157" s="176"/>
      <c r="G3157" s="176"/>
      <c r="H3157" s="176"/>
      <c r="I3157" s="176"/>
      <c r="J3157" s="176"/>
      <c r="K3157" s="176"/>
      <c r="L3157" s="176"/>
      <c r="M3157" s="176"/>
      <c r="N3157" s="176"/>
      <c r="O3157" s="176"/>
      <c r="P3157" s="176"/>
      <c r="Q3157" s="176"/>
      <c r="R3157" s="176"/>
      <c r="S3157" s="176"/>
      <c r="T3157" s="176"/>
      <c r="U3157" s="176"/>
      <c r="V3157" s="176"/>
      <c r="W3157" s="176"/>
      <c r="X3157" s="176"/>
      <c r="Y3157" s="176"/>
    </row>
    <row r="3158" spans="1:25">
      <c r="A3158" s="91"/>
      <c r="B3158" s="176"/>
      <c r="C3158" s="176"/>
      <c r="D3158" s="176"/>
      <c r="E3158" s="176"/>
      <c r="F3158" s="176"/>
      <c r="G3158" s="176"/>
      <c r="H3158" s="176"/>
      <c r="I3158" s="176"/>
      <c r="J3158" s="176"/>
      <c r="K3158" s="176"/>
      <c r="L3158" s="176"/>
      <c r="M3158" s="176"/>
      <c r="N3158" s="176"/>
      <c r="O3158" s="176"/>
      <c r="P3158" s="176"/>
      <c r="Q3158" s="176"/>
      <c r="R3158" s="176"/>
      <c r="S3158" s="176"/>
      <c r="T3158" s="176"/>
      <c r="U3158" s="176"/>
      <c r="V3158" s="176"/>
      <c r="W3158" s="176"/>
      <c r="X3158" s="176"/>
      <c r="Y3158" s="176"/>
    </row>
    <row r="3159" spans="1:25">
      <c r="A3159" s="91"/>
      <c r="B3159" s="176"/>
      <c r="C3159" s="176"/>
      <c r="D3159" s="176"/>
      <c r="E3159" s="176"/>
      <c r="F3159" s="176"/>
      <c r="G3159" s="176"/>
      <c r="H3159" s="176"/>
      <c r="I3159" s="176"/>
      <c r="J3159" s="176"/>
      <c r="K3159" s="176"/>
      <c r="L3159" s="176"/>
      <c r="M3159" s="176"/>
      <c r="N3159" s="176"/>
      <c r="O3159" s="176"/>
      <c r="P3159" s="176"/>
      <c r="Q3159" s="176"/>
      <c r="R3159" s="176"/>
      <c r="S3159" s="176"/>
      <c r="T3159" s="176"/>
      <c r="U3159" s="176"/>
      <c r="V3159" s="176"/>
      <c r="W3159" s="176"/>
      <c r="X3159" s="176"/>
      <c r="Y3159" s="176"/>
    </row>
    <row r="3160" spans="1:25">
      <c r="A3160" s="91"/>
      <c r="B3160" s="176"/>
      <c r="C3160" s="176"/>
      <c r="D3160" s="176"/>
      <c r="E3160" s="176"/>
      <c r="F3160" s="176"/>
      <c r="G3160" s="176"/>
      <c r="H3160" s="176"/>
      <c r="I3160" s="176"/>
      <c r="J3160" s="176"/>
      <c r="K3160" s="176"/>
      <c r="L3160" s="176"/>
      <c r="M3160" s="176"/>
      <c r="N3160" s="176"/>
      <c r="O3160" s="176"/>
      <c r="P3160" s="176"/>
      <c r="Q3160" s="176"/>
      <c r="R3160" s="176"/>
      <c r="S3160" s="176"/>
      <c r="T3160" s="176"/>
      <c r="U3160" s="176"/>
      <c r="V3160" s="176"/>
      <c r="W3160" s="176"/>
      <c r="X3160" s="176"/>
      <c r="Y3160" s="176"/>
    </row>
    <row r="3161" spans="1:25">
      <c r="A3161" s="91"/>
      <c r="B3161" s="176"/>
      <c r="C3161" s="176"/>
      <c r="D3161" s="176"/>
      <c r="E3161" s="176"/>
      <c r="F3161" s="176"/>
      <c r="G3161" s="176"/>
      <c r="H3161" s="176"/>
      <c r="I3161" s="176"/>
      <c r="J3161" s="176"/>
      <c r="K3161" s="176"/>
      <c r="L3161" s="176"/>
      <c r="M3161" s="176"/>
      <c r="N3161" s="176"/>
      <c r="O3161" s="176"/>
      <c r="P3161" s="176"/>
      <c r="Q3161" s="176"/>
      <c r="R3161" s="176"/>
      <c r="S3161" s="176"/>
      <c r="T3161" s="176"/>
      <c r="U3161" s="176"/>
      <c r="V3161" s="176"/>
      <c r="W3161" s="176"/>
      <c r="X3161" s="176"/>
      <c r="Y3161" s="176"/>
    </row>
    <row r="3162" spans="1:25">
      <c r="A3162" s="91"/>
      <c r="B3162" s="176"/>
      <c r="C3162" s="176"/>
      <c r="D3162" s="176"/>
      <c r="E3162" s="176"/>
      <c r="F3162" s="176"/>
      <c r="G3162" s="176"/>
      <c r="H3162" s="176"/>
      <c r="I3162" s="176"/>
      <c r="J3162" s="176"/>
      <c r="K3162" s="176"/>
      <c r="L3162" s="176"/>
      <c r="M3162" s="176"/>
      <c r="N3162" s="176"/>
      <c r="O3162" s="176"/>
      <c r="P3162" s="176"/>
      <c r="Q3162" s="176"/>
      <c r="R3162" s="176"/>
      <c r="S3162" s="176"/>
      <c r="T3162" s="176"/>
      <c r="U3162" s="176"/>
      <c r="V3162" s="176"/>
      <c r="W3162" s="176"/>
      <c r="X3162" s="176"/>
      <c r="Y3162" s="176"/>
    </row>
    <row r="3163" spans="1:25">
      <c r="A3163" s="91"/>
      <c r="B3163" s="176"/>
      <c r="C3163" s="176"/>
      <c r="D3163" s="176"/>
      <c r="E3163" s="176"/>
      <c r="F3163" s="176"/>
      <c r="G3163" s="176"/>
      <c r="H3163" s="176"/>
      <c r="I3163" s="176"/>
      <c r="J3163" s="176"/>
      <c r="K3163" s="176"/>
      <c r="L3163" s="176"/>
      <c r="M3163" s="176"/>
      <c r="N3163" s="176"/>
      <c r="O3163" s="176"/>
      <c r="P3163" s="176"/>
      <c r="Q3163" s="176"/>
      <c r="R3163" s="176"/>
      <c r="S3163" s="176"/>
      <c r="T3163" s="176"/>
      <c r="U3163" s="176"/>
      <c r="V3163" s="176"/>
      <c r="W3163" s="176"/>
      <c r="X3163" s="176"/>
      <c r="Y3163" s="176"/>
    </row>
    <row r="3164" spans="1:25">
      <c r="A3164" s="91"/>
      <c r="B3164" s="176"/>
      <c r="C3164" s="176"/>
      <c r="D3164" s="176"/>
      <c r="E3164" s="176"/>
      <c r="F3164" s="176"/>
      <c r="G3164" s="176"/>
      <c r="H3164" s="176"/>
      <c r="I3164" s="176"/>
      <c r="J3164" s="176"/>
      <c r="K3164" s="176"/>
      <c r="L3164" s="176"/>
      <c r="M3164" s="176"/>
      <c r="N3164" s="176"/>
      <c r="O3164" s="176"/>
      <c r="P3164" s="176"/>
      <c r="Q3164" s="176"/>
      <c r="R3164" s="176"/>
      <c r="S3164" s="176"/>
      <c r="T3164" s="176"/>
      <c r="U3164" s="176"/>
      <c r="V3164" s="176"/>
      <c r="W3164" s="176"/>
      <c r="X3164" s="176"/>
      <c r="Y3164" s="176"/>
    </row>
    <row r="3165" spans="1:25">
      <c r="A3165" s="91"/>
      <c r="B3165" s="176"/>
      <c r="C3165" s="176"/>
      <c r="D3165" s="176"/>
      <c r="E3165" s="176"/>
      <c r="F3165" s="176"/>
      <c r="G3165" s="176"/>
      <c r="H3165" s="176"/>
      <c r="I3165" s="176"/>
      <c r="J3165" s="176"/>
      <c r="K3165" s="176"/>
      <c r="L3165" s="176"/>
      <c r="M3165" s="176"/>
      <c r="N3165" s="176"/>
      <c r="O3165" s="176"/>
      <c r="P3165" s="176"/>
      <c r="Q3165" s="176"/>
      <c r="R3165" s="176"/>
      <c r="S3165" s="176"/>
      <c r="T3165" s="176"/>
      <c r="U3165" s="176"/>
      <c r="V3165" s="176"/>
      <c r="W3165" s="176"/>
      <c r="X3165" s="176"/>
      <c r="Y3165" s="176"/>
    </row>
    <row r="3166" spans="1:25">
      <c r="A3166" s="91"/>
      <c r="B3166" s="176"/>
      <c r="C3166" s="176"/>
      <c r="D3166" s="176"/>
      <c r="E3166" s="176"/>
      <c r="F3166" s="176"/>
      <c r="G3166" s="176"/>
      <c r="H3166" s="176"/>
      <c r="I3166" s="176"/>
      <c r="J3166" s="176"/>
      <c r="K3166" s="176"/>
      <c r="L3166" s="176"/>
      <c r="M3166" s="176"/>
      <c r="N3166" s="176"/>
      <c r="O3166" s="176"/>
      <c r="P3166" s="176"/>
      <c r="Q3166" s="176"/>
      <c r="R3166" s="176"/>
      <c r="S3166" s="176"/>
      <c r="T3166" s="176"/>
      <c r="U3166" s="176"/>
      <c r="V3166" s="176"/>
      <c r="W3166" s="176"/>
      <c r="X3166" s="176"/>
      <c r="Y3166" s="176"/>
    </row>
    <row r="3167" spans="1:25">
      <c r="A3167" s="91"/>
      <c r="B3167" s="176"/>
      <c r="C3167" s="176"/>
      <c r="D3167" s="176"/>
      <c r="E3167" s="176"/>
      <c r="F3167" s="176"/>
      <c r="G3167" s="176"/>
      <c r="H3167" s="176"/>
      <c r="I3167" s="176"/>
      <c r="J3167" s="176"/>
      <c r="K3167" s="176"/>
      <c r="L3167" s="176"/>
      <c r="M3167" s="176"/>
      <c r="N3167" s="176"/>
      <c r="O3167" s="176"/>
      <c r="P3167" s="176"/>
      <c r="Q3167" s="176"/>
      <c r="R3167" s="176"/>
      <c r="S3167" s="176"/>
      <c r="T3167" s="176"/>
      <c r="U3167" s="176"/>
      <c r="V3167" s="176"/>
      <c r="W3167" s="176"/>
      <c r="X3167" s="176"/>
      <c r="Y3167" s="176"/>
    </row>
    <row r="3168" spans="1:25">
      <c r="A3168" s="91"/>
      <c r="B3168" s="176"/>
      <c r="C3168" s="176"/>
      <c r="D3168" s="176"/>
      <c r="E3168" s="176"/>
      <c r="F3168" s="176"/>
      <c r="G3168" s="176"/>
      <c r="H3168" s="176"/>
      <c r="I3168" s="176"/>
      <c r="J3168" s="176"/>
      <c r="K3168" s="176"/>
      <c r="L3168" s="176"/>
      <c r="M3168" s="176"/>
      <c r="N3168" s="176"/>
      <c r="O3168" s="176"/>
      <c r="P3168" s="176"/>
      <c r="Q3168" s="176"/>
      <c r="R3168" s="176"/>
      <c r="S3168" s="176"/>
      <c r="T3168" s="176"/>
      <c r="U3168" s="176"/>
      <c r="V3168" s="176"/>
      <c r="W3168" s="176"/>
      <c r="X3168" s="176"/>
      <c r="Y3168" s="176"/>
    </row>
    <row r="3169" spans="1:25">
      <c r="A3169" s="91"/>
      <c r="B3169" s="176"/>
      <c r="C3169" s="176"/>
      <c r="D3169" s="176"/>
      <c r="E3169" s="176"/>
      <c r="F3169" s="176"/>
      <c r="G3169" s="176"/>
      <c r="H3169" s="176"/>
      <c r="I3169" s="176"/>
      <c r="J3169" s="176"/>
      <c r="K3169" s="176"/>
      <c r="L3169" s="176"/>
      <c r="M3169" s="176"/>
      <c r="N3169" s="176"/>
      <c r="O3169" s="176"/>
      <c r="P3169" s="176"/>
      <c r="Q3169" s="176"/>
      <c r="R3169" s="176"/>
      <c r="S3169" s="176"/>
      <c r="T3169" s="176"/>
      <c r="U3169" s="176"/>
      <c r="V3169" s="176"/>
      <c r="W3169" s="176"/>
      <c r="X3169" s="176"/>
      <c r="Y3169" s="176"/>
    </row>
    <row r="3170" spans="1:25">
      <c r="A3170" s="91"/>
      <c r="B3170" s="176"/>
      <c r="C3170" s="176"/>
      <c r="D3170" s="176"/>
      <c r="E3170" s="176"/>
      <c r="F3170" s="176"/>
      <c r="G3170" s="176"/>
      <c r="H3170" s="176"/>
      <c r="I3170" s="176"/>
      <c r="J3170" s="176"/>
      <c r="K3170" s="176"/>
      <c r="L3170" s="176"/>
      <c r="M3170" s="176"/>
      <c r="N3170" s="176"/>
      <c r="O3170" s="176"/>
      <c r="P3170" s="176"/>
      <c r="Q3170" s="176"/>
      <c r="R3170" s="176"/>
      <c r="S3170" s="176"/>
      <c r="T3170" s="176"/>
      <c r="U3170" s="176"/>
      <c r="V3170" s="176"/>
      <c r="W3170" s="176"/>
      <c r="X3170" s="176"/>
      <c r="Y3170" s="176"/>
    </row>
    <row r="3171" spans="1:25">
      <c r="A3171" s="91"/>
      <c r="B3171" s="176"/>
      <c r="C3171" s="176"/>
      <c r="D3171" s="176"/>
      <c r="E3171" s="176"/>
      <c r="F3171" s="176"/>
      <c r="G3171" s="176"/>
      <c r="H3171" s="176"/>
      <c r="I3171" s="176"/>
      <c r="J3171" s="176"/>
      <c r="K3171" s="176"/>
      <c r="L3171" s="176"/>
      <c r="M3171" s="176"/>
      <c r="N3171" s="176"/>
      <c r="O3171" s="176"/>
      <c r="P3171" s="176"/>
      <c r="Q3171" s="176"/>
      <c r="R3171" s="176"/>
      <c r="S3171" s="176"/>
      <c r="T3171" s="176"/>
      <c r="U3171" s="176"/>
      <c r="V3171" s="176"/>
      <c r="W3171" s="176"/>
      <c r="X3171" s="176"/>
      <c r="Y3171" s="176"/>
    </row>
    <row r="3172" spans="1:25">
      <c r="A3172" s="91"/>
      <c r="B3172" s="176"/>
      <c r="C3172" s="176"/>
      <c r="D3172" s="176"/>
      <c r="E3172" s="176"/>
      <c r="F3172" s="176"/>
      <c r="G3172" s="176"/>
      <c r="H3172" s="176"/>
      <c r="I3172" s="176"/>
      <c r="J3172" s="176"/>
      <c r="K3172" s="176"/>
      <c r="L3172" s="176"/>
      <c r="M3172" s="176"/>
      <c r="N3172" s="176"/>
      <c r="O3172" s="176"/>
      <c r="P3172" s="176"/>
      <c r="Q3172" s="176"/>
      <c r="R3172" s="176"/>
      <c r="S3172" s="176"/>
      <c r="T3172" s="176"/>
      <c r="U3172" s="176"/>
      <c r="V3172" s="176"/>
      <c r="W3172" s="176"/>
      <c r="X3172" s="176"/>
      <c r="Y3172" s="176"/>
    </row>
    <row r="3173" spans="1:25">
      <c r="A3173" s="91"/>
      <c r="B3173" s="176"/>
      <c r="C3173" s="176"/>
      <c r="D3173" s="176"/>
      <c r="E3173" s="176"/>
      <c r="F3173" s="176"/>
      <c r="G3173" s="176"/>
      <c r="H3173" s="176"/>
      <c r="I3173" s="176"/>
      <c r="J3173" s="176"/>
      <c r="K3173" s="176"/>
      <c r="L3173" s="176"/>
      <c r="M3173" s="176"/>
      <c r="N3173" s="176"/>
      <c r="O3173" s="176"/>
      <c r="P3173" s="176"/>
      <c r="Q3173" s="176"/>
      <c r="R3173" s="176"/>
      <c r="S3173" s="176"/>
      <c r="T3173" s="176"/>
      <c r="U3173" s="176"/>
      <c r="V3173" s="176"/>
      <c r="W3173" s="176"/>
      <c r="X3173" s="176"/>
      <c r="Y3173" s="176"/>
    </row>
    <row r="3174" spans="1:25">
      <c r="A3174" s="91"/>
      <c r="B3174" s="176"/>
      <c r="C3174" s="176"/>
      <c r="D3174" s="176"/>
      <c r="E3174" s="176"/>
      <c r="F3174" s="176"/>
      <c r="G3174" s="176"/>
      <c r="H3174" s="176"/>
      <c r="I3174" s="176"/>
      <c r="J3174" s="176"/>
      <c r="K3174" s="176"/>
      <c r="L3174" s="176"/>
      <c r="M3174" s="176"/>
      <c r="N3174" s="176"/>
      <c r="O3174" s="176"/>
      <c r="P3174" s="176"/>
      <c r="Q3174" s="176"/>
      <c r="R3174" s="176"/>
      <c r="S3174" s="176"/>
      <c r="T3174" s="176"/>
      <c r="U3174" s="176"/>
      <c r="V3174" s="176"/>
      <c r="W3174" s="176"/>
      <c r="X3174" s="176"/>
      <c r="Y3174" s="176"/>
    </row>
    <row r="3175" spans="1:25">
      <c r="A3175" s="91"/>
      <c r="B3175" s="176"/>
      <c r="C3175" s="176"/>
      <c r="D3175" s="176"/>
      <c r="E3175" s="176"/>
      <c r="F3175" s="176"/>
      <c r="G3175" s="176"/>
      <c r="H3175" s="176"/>
      <c r="I3175" s="176"/>
      <c r="J3175" s="176"/>
      <c r="K3175" s="176"/>
      <c r="L3175" s="176"/>
      <c r="M3175" s="176"/>
      <c r="N3175" s="176"/>
      <c r="O3175" s="176"/>
      <c r="P3175" s="176"/>
      <c r="Q3175" s="176"/>
      <c r="R3175" s="176"/>
      <c r="S3175" s="176"/>
      <c r="T3175" s="176"/>
      <c r="U3175" s="176"/>
      <c r="V3175" s="176"/>
      <c r="W3175" s="176"/>
      <c r="X3175" s="176"/>
      <c r="Y3175" s="176"/>
    </row>
    <row r="3176" spans="1:25">
      <c r="A3176" s="91"/>
      <c r="B3176" s="176"/>
      <c r="C3176" s="176"/>
      <c r="D3176" s="176"/>
      <c r="E3176" s="176"/>
      <c r="F3176" s="176"/>
      <c r="G3176" s="176"/>
      <c r="H3176" s="176"/>
      <c r="I3176" s="176"/>
      <c r="J3176" s="176"/>
      <c r="K3176" s="176"/>
      <c r="L3176" s="176"/>
      <c r="M3176" s="176"/>
      <c r="N3176" s="176"/>
      <c r="O3176" s="176"/>
      <c r="P3176" s="176"/>
      <c r="Q3176" s="176"/>
      <c r="R3176" s="176"/>
      <c r="S3176" s="176"/>
      <c r="T3176" s="176"/>
      <c r="U3176" s="176"/>
      <c r="V3176" s="176"/>
      <c r="W3176" s="176"/>
      <c r="X3176" s="176"/>
      <c r="Y3176" s="176"/>
    </row>
    <row r="3177" spans="1:25">
      <c r="A3177" s="91"/>
      <c r="B3177" s="176"/>
      <c r="C3177" s="176"/>
      <c r="D3177" s="176"/>
      <c r="E3177" s="176"/>
      <c r="F3177" s="176"/>
      <c r="G3177" s="176"/>
      <c r="H3177" s="176"/>
      <c r="I3177" s="176"/>
      <c r="J3177" s="176"/>
      <c r="K3177" s="176"/>
      <c r="L3177" s="176"/>
      <c r="M3177" s="176"/>
      <c r="N3177" s="176"/>
      <c r="O3177" s="176"/>
      <c r="P3177" s="176"/>
      <c r="Q3177" s="176"/>
      <c r="R3177" s="176"/>
      <c r="S3177" s="176"/>
      <c r="T3177" s="176"/>
      <c r="U3177" s="176"/>
      <c r="V3177" s="176"/>
      <c r="W3177" s="176"/>
      <c r="X3177" s="176"/>
      <c r="Y3177" s="176"/>
    </row>
    <row r="3178" spans="1:25">
      <c r="A3178" s="91"/>
      <c r="B3178" s="176"/>
      <c r="C3178" s="176"/>
      <c r="D3178" s="176"/>
      <c r="E3178" s="176"/>
      <c r="F3178" s="176"/>
      <c r="G3178" s="176"/>
      <c r="H3178" s="176"/>
      <c r="I3178" s="176"/>
      <c r="J3178" s="176"/>
      <c r="K3178" s="176"/>
      <c r="L3178" s="176"/>
      <c r="M3178" s="176"/>
      <c r="N3178" s="176"/>
      <c r="O3178" s="176"/>
      <c r="P3178" s="176"/>
      <c r="Q3178" s="176"/>
      <c r="R3178" s="176"/>
      <c r="S3178" s="176"/>
      <c r="T3178" s="176"/>
      <c r="U3178" s="176"/>
      <c r="V3178" s="176"/>
      <c r="W3178" s="176"/>
      <c r="X3178" s="176"/>
      <c r="Y3178" s="176"/>
    </row>
    <row r="3179" spans="1:25">
      <c r="A3179" s="91"/>
      <c r="B3179" s="176"/>
      <c r="C3179" s="176"/>
      <c r="D3179" s="176"/>
      <c r="E3179" s="176"/>
      <c r="F3179" s="176"/>
      <c r="G3179" s="176"/>
      <c r="H3179" s="176"/>
      <c r="I3179" s="176"/>
      <c r="J3179" s="176"/>
      <c r="K3179" s="176"/>
      <c r="L3179" s="176"/>
      <c r="M3179" s="176"/>
      <c r="N3179" s="176"/>
      <c r="O3179" s="176"/>
      <c r="P3179" s="176"/>
      <c r="Q3179" s="176"/>
      <c r="R3179" s="176"/>
      <c r="S3179" s="176"/>
      <c r="T3179" s="176"/>
      <c r="U3179" s="176"/>
      <c r="V3179" s="176"/>
      <c r="W3179" s="176"/>
      <c r="X3179" s="176"/>
      <c r="Y3179" s="176"/>
    </row>
    <row r="3180" spans="1:25">
      <c r="A3180" s="91"/>
      <c r="B3180" s="176"/>
      <c r="C3180" s="176"/>
      <c r="D3180" s="176"/>
      <c r="E3180" s="176"/>
      <c r="F3180" s="176"/>
      <c r="G3180" s="176"/>
      <c r="H3180" s="176"/>
      <c r="I3180" s="176"/>
      <c r="J3180" s="176"/>
      <c r="K3180" s="176"/>
      <c r="L3180" s="176"/>
      <c r="M3180" s="176"/>
      <c r="N3180" s="176"/>
      <c r="O3180" s="176"/>
      <c r="P3180" s="176"/>
      <c r="Q3180" s="176"/>
      <c r="R3180" s="176"/>
      <c r="S3180" s="176"/>
      <c r="T3180" s="176"/>
      <c r="U3180" s="176"/>
      <c r="V3180" s="176"/>
      <c r="W3180" s="176"/>
      <c r="X3180" s="176"/>
      <c r="Y3180" s="176"/>
    </row>
    <row r="3181" spans="1:25">
      <c r="A3181" s="91"/>
      <c r="B3181" s="176"/>
      <c r="C3181" s="176"/>
      <c r="D3181" s="176"/>
      <c r="E3181" s="176"/>
      <c r="F3181" s="176"/>
      <c r="G3181" s="176"/>
      <c r="H3181" s="176"/>
      <c r="I3181" s="176"/>
      <c r="J3181" s="176"/>
      <c r="K3181" s="176"/>
      <c r="L3181" s="176"/>
      <c r="M3181" s="176"/>
      <c r="N3181" s="176"/>
      <c r="O3181" s="176"/>
      <c r="P3181" s="176"/>
      <c r="Q3181" s="176"/>
      <c r="R3181" s="176"/>
      <c r="S3181" s="176"/>
      <c r="T3181" s="176"/>
      <c r="U3181" s="176"/>
      <c r="V3181" s="176"/>
      <c r="W3181" s="176"/>
      <c r="X3181" s="176"/>
      <c r="Y3181" s="176"/>
    </row>
    <row r="3182" spans="1:25">
      <c r="A3182" s="91"/>
      <c r="B3182" s="176"/>
      <c r="C3182" s="176"/>
      <c r="D3182" s="176"/>
      <c r="E3182" s="176"/>
      <c r="F3182" s="176"/>
      <c r="G3182" s="176"/>
      <c r="H3182" s="176"/>
      <c r="I3182" s="176"/>
      <c r="J3182" s="176"/>
      <c r="K3182" s="176"/>
      <c r="L3182" s="176"/>
      <c r="M3182" s="176"/>
      <c r="N3182" s="176"/>
      <c r="O3182" s="176"/>
      <c r="P3182" s="176"/>
      <c r="Q3182" s="176"/>
      <c r="R3182" s="176"/>
      <c r="S3182" s="176"/>
      <c r="T3182" s="176"/>
      <c r="U3182" s="176"/>
      <c r="V3182" s="176"/>
      <c r="W3182" s="176"/>
      <c r="X3182" s="176"/>
      <c r="Y3182" s="176"/>
    </row>
    <row r="3183" spans="1:25">
      <c r="A3183" s="91"/>
      <c r="B3183" s="176"/>
      <c r="C3183" s="176"/>
      <c r="D3183" s="176"/>
      <c r="E3183" s="176"/>
      <c r="F3183" s="176"/>
      <c r="G3183" s="176"/>
      <c r="H3183" s="176"/>
      <c r="I3183" s="176"/>
      <c r="J3183" s="176"/>
      <c r="K3183" s="176"/>
      <c r="L3183" s="176"/>
      <c r="M3183" s="176"/>
      <c r="N3183" s="176"/>
      <c r="O3183" s="176"/>
      <c r="P3183" s="176"/>
      <c r="Q3183" s="176"/>
      <c r="R3183" s="176"/>
      <c r="S3183" s="176"/>
      <c r="T3183" s="176"/>
      <c r="U3183" s="176"/>
      <c r="V3183" s="176"/>
      <c r="W3183" s="176"/>
      <c r="X3183" s="176"/>
      <c r="Y3183" s="176"/>
    </row>
    <row r="3184" spans="1:25">
      <c r="A3184" s="91"/>
      <c r="B3184" s="176"/>
      <c r="C3184" s="176"/>
      <c r="D3184" s="176"/>
      <c r="E3184" s="176"/>
      <c r="F3184" s="176"/>
      <c r="G3184" s="176"/>
      <c r="H3184" s="176"/>
      <c r="I3184" s="176"/>
      <c r="J3184" s="176"/>
      <c r="K3184" s="176"/>
      <c r="L3184" s="176"/>
      <c r="M3184" s="176"/>
      <c r="N3184" s="176"/>
      <c r="O3184" s="176"/>
      <c r="P3184" s="176"/>
      <c r="Q3184" s="176"/>
      <c r="R3184" s="176"/>
      <c r="S3184" s="176"/>
      <c r="T3184" s="176"/>
      <c r="U3184" s="176"/>
      <c r="V3184" s="176"/>
      <c r="W3184" s="176"/>
      <c r="X3184" s="176"/>
      <c r="Y3184" s="176"/>
    </row>
    <row r="3185" spans="1:25">
      <c r="A3185" s="91"/>
      <c r="B3185" s="176"/>
      <c r="C3185" s="176"/>
      <c r="D3185" s="176"/>
      <c r="E3185" s="176"/>
      <c r="F3185" s="176"/>
      <c r="G3185" s="176"/>
      <c r="H3185" s="176"/>
      <c r="I3185" s="176"/>
      <c r="J3185" s="176"/>
      <c r="K3185" s="176"/>
      <c r="L3185" s="176"/>
      <c r="M3185" s="176"/>
      <c r="N3185" s="176"/>
      <c r="O3185" s="176"/>
      <c r="P3185" s="176"/>
      <c r="Q3185" s="176"/>
      <c r="R3185" s="176"/>
      <c r="S3185" s="176"/>
      <c r="T3185" s="176"/>
      <c r="U3185" s="176"/>
      <c r="V3185" s="176"/>
      <c r="W3185" s="176"/>
      <c r="X3185" s="176"/>
      <c r="Y3185" s="176"/>
    </row>
    <row r="3186" spans="1:25">
      <c r="A3186" s="91"/>
      <c r="B3186" s="176"/>
      <c r="C3186" s="176"/>
      <c r="D3186" s="176"/>
      <c r="E3186" s="176"/>
      <c r="F3186" s="176"/>
      <c r="G3186" s="176"/>
      <c r="H3186" s="176"/>
      <c r="I3186" s="176"/>
      <c r="J3186" s="176"/>
      <c r="K3186" s="176"/>
      <c r="L3186" s="176"/>
      <c r="M3186" s="176"/>
      <c r="N3186" s="176"/>
      <c r="O3186" s="176"/>
      <c r="P3186" s="176"/>
      <c r="Q3186" s="176"/>
      <c r="R3186" s="176"/>
      <c r="S3186" s="176"/>
      <c r="T3186" s="176"/>
      <c r="U3186" s="176"/>
      <c r="V3186" s="176"/>
      <c r="W3186" s="176"/>
      <c r="X3186" s="176"/>
      <c r="Y3186" s="176"/>
    </row>
    <row r="3187" spans="1:25">
      <c r="A3187" s="91"/>
      <c r="B3187" s="176"/>
      <c r="C3187" s="176"/>
      <c r="D3187" s="176"/>
      <c r="E3187" s="176"/>
      <c r="F3187" s="176"/>
      <c r="G3187" s="176"/>
      <c r="H3187" s="176"/>
      <c r="I3187" s="176"/>
      <c r="J3187" s="176"/>
      <c r="K3187" s="176"/>
      <c r="L3187" s="176"/>
      <c r="M3187" s="176"/>
      <c r="N3187" s="176"/>
      <c r="O3187" s="176"/>
      <c r="P3187" s="176"/>
      <c r="Q3187" s="176"/>
      <c r="R3187" s="176"/>
      <c r="S3187" s="176"/>
      <c r="T3187" s="176"/>
      <c r="U3187" s="176"/>
      <c r="V3187" s="176"/>
      <c r="W3187" s="176"/>
      <c r="X3187" s="176"/>
      <c r="Y3187" s="176"/>
    </row>
    <row r="3188" spans="1:25">
      <c r="A3188" s="91"/>
      <c r="B3188" s="176"/>
      <c r="C3188" s="176"/>
      <c r="D3188" s="176"/>
      <c r="E3188" s="176"/>
      <c r="F3188" s="176"/>
      <c r="G3188" s="176"/>
      <c r="H3188" s="176"/>
      <c r="I3188" s="176"/>
      <c r="J3188" s="176"/>
      <c r="K3188" s="176"/>
      <c r="L3188" s="176"/>
      <c r="M3188" s="176"/>
      <c r="N3188" s="176"/>
      <c r="O3188" s="176"/>
      <c r="P3188" s="176"/>
      <c r="Q3188" s="176"/>
      <c r="R3188" s="176"/>
      <c r="S3188" s="176"/>
      <c r="T3188" s="176"/>
      <c r="U3188" s="176"/>
      <c r="V3188" s="176"/>
      <c r="W3188" s="176"/>
      <c r="X3188" s="176"/>
      <c r="Y3188" s="176"/>
    </row>
    <row r="3189" spans="1:25">
      <c r="A3189" s="91"/>
      <c r="B3189" s="176"/>
      <c r="C3189" s="176"/>
      <c r="D3189" s="176"/>
      <c r="E3189" s="176"/>
      <c r="F3189" s="176"/>
      <c r="G3189" s="176"/>
      <c r="H3189" s="176"/>
      <c r="I3189" s="176"/>
      <c r="J3189" s="176"/>
      <c r="K3189" s="176"/>
      <c r="L3189" s="176"/>
      <c r="M3189" s="176"/>
      <c r="N3189" s="176"/>
      <c r="O3189" s="176"/>
      <c r="P3189" s="176"/>
      <c r="Q3189" s="176"/>
      <c r="R3189" s="176"/>
      <c r="S3189" s="176"/>
      <c r="T3189" s="176"/>
      <c r="U3189" s="176"/>
      <c r="V3189" s="176"/>
      <c r="W3189" s="176"/>
      <c r="X3189" s="176"/>
      <c r="Y3189" s="176"/>
    </row>
    <row r="3190" spans="1:25">
      <c r="A3190" s="91"/>
      <c r="B3190" s="176"/>
      <c r="C3190" s="176"/>
      <c r="D3190" s="176"/>
      <c r="E3190" s="176"/>
      <c r="F3190" s="176"/>
      <c r="G3190" s="176"/>
      <c r="H3190" s="176"/>
      <c r="I3190" s="176"/>
      <c r="J3190" s="176"/>
      <c r="K3190" s="176"/>
      <c r="L3190" s="176"/>
      <c r="M3190" s="176"/>
      <c r="N3190" s="176"/>
      <c r="O3190" s="176"/>
      <c r="P3190" s="176"/>
      <c r="Q3190" s="176"/>
      <c r="R3190" s="176"/>
      <c r="S3190" s="176"/>
      <c r="T3190" s="176"/>
      <c r="U3190" s="176"/>
      <c r="V3190" s="176"/>
      <c r="W3190" s="176"/>
      <c r="X3190" s="176"/>
      <c r="Y3190" s="176"/>
    </row>
    <row r="3191" spans="1:25">
      <c r="A3191" s="91"/>
      <c r="B3191" s="176"/>
      <c r="C3191" s="176"/>
      <c r="D3191" s="176"/>
      <c r="E3191" s="176"/>
      <c r="F3191" s="176"/>
      <c r="G3191" s="176"/>
      <c r="H3191" s="176"/>
      <c r="I3191" s="176"/>
      <c r="J3191" s="176"/>
      <c r="K3191" s="176"/>
      <c r="L3191" s="176"/>
      <c r="M3191" s="176"/>
      <c r="N3191" s="176"/>
      <c r="O3191" s="176"/>
      <c r="P3191" s="176"/>
      <c r="Q3191" s="176"/>
      <c r="R3191" s="176"/>
      <c r="S3191" s="176"/>
      <c r="T3191" s="176"/>
      <c r="U3191" s="176"/>
      <c r="V3191" s="176"/>
      <c r="W3191" s="176"/>
      <c r="X3191" s="176"/>
      <c r="Y3191" s="176"/>
    </row>
    <row r="3192" spans="1:25">
      <c r="A3192" s="91"/>
      <c r="B3192" s="176"/>
      <c r="C3192" s="176"/>
      <c r="D3192" s="176"/>
      <c r="E3192" s="176"/>
      <c r="F3192" s="176"/>
      <c r="G3192" s="176"/>
      <c r="H3192" s="176"/>
      <c r="I3192" s="176"/>
      <c r="J3192" s="176"/>
      <c r="K3192" s="176"/>
      <c r="L3192" s="176"/>
      <c r="M3192" s="176"/>
      <c r="N3192" s="176"/>
      <c r="O3192" s="176"/>
      <c r="P3192" s="176"/>
      <c r="Q3192" s="176"/>
      <c r="R3192" s="176"/>
      <c r="S3192" s="176"/>
      <c r="T3192" s="176"/>
      <c r="U3192" s="176"/>
      <c r="V3192" s="176"/>
      <c r="W3192" s="176"/>
      <c r="X3192" s="176"/>
      <c r="Y3192" s="176"/>
    </row>
    <row r="3193" spans="1:25">
      <c r="A3193" s="91"/>
      <c r="B3193" s="176"/>
      <c r="C3193" s="176"/>
      <c r="D3193" s="176"/>
      <c r="E3193" s="176"/>
      <c r="F3193" s="176"/>
      <c r="G3193" s="176"/>
      <c r="H3193" s="176"/>
      <c r="I3193" s="176"/>
      <c r="J3193" s="176"/>
      <c r="K3193" s="176"/>
      <c r="L3193" s="176"/>
      <c r="M3193" s="176"/>
      <c r="N3193" s="176"/>
      <c r="O3193" s="176"/>
      <c r="P3193" s="176"/>
      <c r="Q3193" s="176"/>
      <c r="R3193" s="176"/>
      <c r="S3193" s="176"/>
      <c r="T3193" s="176"/>
      <c r="U3193" s="176"/>
      <c r="V3193" s="176"/>
      <c r="W3193" s="176"/>
      <c r="X3193" s="176"/>
      <c r="Y3193" s="176"/>
    </row>
    <row r="3194" spans="1:25">
      <c r="A3194" s="91"/>
      <c r="B3194" s="176"/>
      <c r="C3194" s="176"/>
      <c r="D3194" s="176"/>
      <c r="E3194" s="176"/>
      <c r="F3194" s="176"/>
      <c r="G3194" s="176"/>
      <c r="H3194" s="176"/>
      <c r="I3194" s="176"/>
      <c r="J3194" s="176"/>
      <c r="K3194" s="176"/>
      <c r="L3194" s="176"/>
      <c r="M3194" s="176"/>
      <c r="N3194" s="176"/>
      <c r="O3194" s="176"/>
      <c r="P3194" s="176"/>
      <c r="Q3194" s="176"/>
      <c r="R3194" s="176"/>
      <c r="S3194" s="176"/>
      <c r="T3194" s="176"/>
      <c r="U3194" s="176"/>
      <c r="V3194" s="176"/>
      <c r="W3194" s="176"/>
      <c r="X3194" s="176"/>
      <c r="Y3194" s="176"/>
    </row>
    <row r="3195" spans="1:25">
      <c r="A3195" s="91"/>
      <c r="B3195" s="176"/>
      <c r="C3195" s="176"/>
      <c r="D3195" s="176"/>
      <c r="E3195" s="176"/>
      <c r="F3195" s="176"/>
      <c r="G3195" s="176"/>
      <c r="H3195" s="176"/>
      <c r="I3195" s="176"/>
      <c r="J3195" s="176"/>
      <c r="K3195" s="176"/>
      <c r="L3195" s="176"/>
      <c r="M3195" s="176"/>
      <c r="N3195" s="176"/>
      <c r="O3195" s="176"/>
      <c r="P3195" s="176"/>
      <c r="Q3195" s="176"/>
      <c r="R3195" s="176"/>
      <c r="S3195" s="176"/>
      <c r="T3195" s="176"/>
      <c r="U3195" s="176"/>
      <c r="V3195" s="176"/>
      <c r="W3195" s="176"/>
      <c r="X3195" s="176"/>
      <c r="Y3195" s="176"/>
    </row>
    <row r="3196" spans="1:25">
      <c r="A3196" s="91"/>
      <c r="B3196" s="176"/>
      <c r="C3196" s="176"/>
      <c r="D3196" s="176"/>
      <c r="E3196" s="176"/>
      <c r="F3196" s="176"/>
      <c r="G3196" s="176"/>
      <c r="H3196" s="176"/>
      <c r="I3196" s="176"/>
      <c r="J3196" s="176"/>
      <c r="K3196" s="176"/>
      <c r="L3196" s="176"/>
      <c r="M3196" s="176"/>
      <c r="N3196" s="176"/>
      <c r="O3196" s="176"/>
      <c r="P3196" s="176"/>
      <c r="Q3196" s="176"/>
      <c r="R3196" s="176"/>
      <c r="S3196" s="176"/>
      <c r="T3196" s="176"/>
      <c r="U3196" s="176"/>
      <c r="V3196" s="176"/>
      <c r="W3196" s="176"/>
      <c r="X3196" s="176"/>
      <c r="Y3196" s="176"/>
    </row>
    <row r="3197" spans="1:25">
      <c r="A3197" s="91"/>
      <c r="B3197" s="176"/>
      <c r="C3197" s="176"/>
      <c r="D3197" s="176"/>
      <c r="E3197" s="176"/>
      <c r="F3197" s="176"/>
      <c r="G3197" s="176"/>
      <c r="H3197" s="176"/>
      <c r="I3197" s="176"/>
      <c r="J3197" s="176"/>
      <c r="K3197" s="176"/>
      <c r="L3197" s="176"/>
      <c r="M3197" s="176"/>
      <c r="N3197" s="176"/>
      <c r="O3197" s="176"/>
      <c r="P3197" s="176"/>
      <c r="Q3197" s="176"/>
      <c r="R3197" s="176"/>
      <c r="S3197" s="176"/>
      <c r="T3197" s="176"/>
      <c r="U3197" s="176"/>
      <c r="V3197" s="176"/>
      <c r="W3197" s="176"/>
      <c r="X3197" s="176"/>
      <c r="Y3197" s="176"/>
    </row>
    <row r="3198" spans="1:25">
      <c r="A3198" s="91"/>
      <c r="B3198" s="176"/>
      <c r="C3198" s="176"/>
      <c r="D3198" s="176"/>
      <c r="E3198" s="176"/>
      <c r="F3198" s="176"/>
      <c r="G3198" s="176"/>
      <c r="H3198" s="176"/>
      <c r="I3198" s="176"/>
      <c r="J3198" s="176"/>
      <c r="K3198" s="176"/>
      <c r="L3198" s="176"/>
      <c r="M3198" s="176"/>
      <c r="N3198" s="176"/>
      <c r="O3198" s="176"/>
      <c r="P3198" s="176"/>
      <c r="Q3198" s="176"/>
      <c r="R3198" s="176"/>
      <c r="S3198" s="176"/>
      <c r="T3198" s="176"/>
      <c r="U3198" s="176"/>
      <c r="V3198" s="176"/>
      <c r="W3198" s="176"/>
      <c r="X3198" s="176"/>
      <c r="Y3198" s="176"/>
    </row>
    <row r="3199" spans="1:25">
      <c r="A3199" s="91"/>
      <c r="B3199" s="176"/>
      <c r="C3199" s="176"/>
      <c r="D3199" s="176"/>
      <c r="E3199" s="176"/>
      <c r="F3199" s="176"/>
      <c r="G3199" s="176"/>
      <c r="H3199" s="176"/>
      <c r="I3199" s="176"/>
      <c r="J3199" s="176"/>
      <c r="K3199" s="176"/>
      <c r="L3199" s="176"/>
      <c r="M3199" s="176"/>
      <c r="N3199" s="176"/>
      <c r="O3199" s="176"/>
      <c r="P3199" s="176"/>
      <c r="Q3199" s="176"/>
      <c r="R3199" s="176"/>
      <c r="S3199" s="176"/>
      <c r="T3199" s="176"/>
      <c r="U3199" s="176"/>
      <c r="V3199" s="176"/>
      <c r="W3199" s="176"/>
      <c r="X3199" s="176"/>
      <c r="Y3199" s="176"/>
    </row>
    <row r="3200" spans="1:25">
      <c r="A3200" s="91"/>
      <c r="B3200" s="176"/>
      <c r="C3200" s="176"/>
      <c r="D3200" s="176"/>
      <c r="E3200" s="176"/>
      <c r="F3200" s="176"/>
      <c r="G3200" s="176"/>
      <c r="H3200" s="176"/>
      <c r="I3200" s="176"/>
      <c r="J3200" s="176"/>
      <c r="K3200" s="176"/>
      <c r="L3200" s="176"/>
      <c r="M3200" s="176"/>
      <c r="N3200" s="176"/>
      <c r="O3200" s="176"/>
      <c r="P3200" s="176"/>
      <c r="Q3200" s="176"/>
      <c r="R3200" s="176"/>
      <c r="S3200" s="176"/>
      <c r="T3200" s="176"/>
      <c r="U3200" s="176"/>
      <c r="V3200" s="176"/>
      <c r="W3200" s="176"/>
      <c r="X3200" s="176"/>
      <c r="Y3200" s="176"/>
    </row>
    <row r="3201" spans="1:25">
      <c r="A3201" s="91"/>
      <c r="B3201" s="176"/>
      <c r="C3201" s="176"/>
      <c r="D3201" s="176"/>
      <c r="E3201" s="176"/>
      <c r="F3201" s="176"/>
      <c r="G3201" s="176"/>
      <c r="H3201" s="176"/>
      <c r="I3201" s="176"/>
      <c r="J3201" s="176"/>
      <c r="K3201" s="176"/>
      <c r="L3201" s="176"/>
      <c r="M3201" s="176"/>
      <c r="N3201" s="176"/>
      <c r="O3201" s="176"/>
      <c r="P3201" s="176"/>
      <c r="Q3201" s="176"/>
      <c r="R3201" s="176"/>
      <c r="S3201" s="176"/>
      <c r="T3201" s="176"/>
      <c r="U3201" s="176"/>
      <c r="V3201" s="176"/>
      <c r="W3201" s="176"/>
      <c r="X3201" s="176"/>
      <c r="Y3201" s="176"/>
    </row>
    <row r="3202" spans="1:25">
      <c r="A3202" s="91"/>
      <c r="B3202" s="176"/>
      <c r="C3202" s="176"/>
      <c r="D3202" s="176"/>
      <c r="E3202" s="176"/>
      <c r="F3202" s="176"/>
      <c r="G3202" s="176"/>
      <c r="H3202" s="176"/>
      <c r="I3202" s="176"/>
      <c r="J3202" s="176"/>
      <c r="K3202" s="176"/>
      <c r="L3202" s="176"/>
      <c r="M3202" s="176"/>
      <c r="N3202" s="176"/>
      <c r="O3202" s="176"/>
      <c r="P3202" s="176"/>
      <c r="Q3202" s="176"/>
      <c r="R3202" s="176"/>
      <c r="S3202" s="176"/>
      <c r="T3202" s="176"/>
      <c r="U3202" s="176"/>
      <c r="V3202" s="176"/>
      <c r="W3202" s="176"/>
      <c r="X3202" s="176"/>
      <c r="Y3202" s="176"/>
    </row>
    <row r="3203" spans="1:25">
      <c r="A3203" s="91"/>
      <c r="B3203" s="176"/>
      <c r="C3203" s="176"/>
      <c r="D3203" s="176"/>
      <c r="E3203" s="176"/>
      <c r="F3203" s="176"/>
      <c r="G3203" s="176"/>
      <c r="H3203" s="176"/>
      <c r="I3203" s="176"/>
      <c r="J3203" s="176"/>
      <c r="K3203" s="176"/>
      <c r="L3203" s="176"/>
      <c r="M3203" s="176"/>
      <c r="N3203" s="176"/>
      <c r="O3203" s="176"/>
      <c r="P3203" s="176"/>
      <c r="Q3203" s="176"/>
      <c r="R3203" s="176"/>
      <c r="S3203" s="176"/>
      <c r="T3203" s="176"/>
      <c r="U3203" s="176"/>
      <c r="V3203" s="176"/>
      <c r="W3203" s="176"/>
      <c r="X3203" s="176"/>
      <c r="Y3203" s="176"/>
    </row>
    <row r="3204" spans="1:25">
      <c r="A3204" s="91"/>
      <c r="B3204" s="176"/>
      <c r="C3204" s="176"/>
      <c r="D3204" s="176"/>
      <c r="E3204" s="176"/>
      <c r="F3204" s="176"/>
      <c r="G3204" s="176"/>
      <c r="H3204" s="176"/>
      <c r="I3204" s="176"/>
      <c r="J3204" s="176"/>
      <c r="K3204" s="176"/>
      <c r="L3204" s="176"/>
      <c r="M3204" s="176"/>
      <c r="N3204" s="176"/>
      <c r="O3204" s="176"/>
      <c r="P3204" s="176"/>
      <c r="Q3204" s="176"/>
      <c r="R3204" s="176"/>
      <c r="S3204" s="176"/>
      <c r="T3204" s="176"/>
      <c r="U3204" s="176"/>
      <c r="V3204" s="176"/>
      <c r="W3204" s="176"/>
      <c r="X3204" s="176"/>
      <c r="Y3204" s="176"/>
    </row>
    <row r="3205" spans="1:25">
      <c r="A3205" s="91"/>
      <c r="B3205" s="176"/>
      <c r="C3205" s="176"/>
      <c r="D3205" s="176"/>
      <c r="E3205" s="176"/>
      <c r="F3205" s="176"/>
      <c r="G3205" s="176"/>
      <c r="H3205" s="176"/>
      <c r="I3205" s="176"/>
      <c r="J3205" s="176"/>
      <c r="K3205" s="176"/>
      <c r="L3205" s="176"/>
      <c r="M3205" s="176"/>
      <c r="N3205" s="176"/>
      <c r="O3205" s="176"/>
      <c r="P3205" s="176"/>
      <c r="Q3205" s="176"/>
      <c r="R3205" s="176"/>
      <c r="S3205" s="176"/>
      <c r="T3205" s="176"/>
      <c r="U3205" s="176"/>
      <c r="V3205" s="176"/>
      <c r="W3205" s="176"/>
      <c r="X3205" s="176"/>
      <c r="Y3205" s="176"/>
    </row>
    <row r="3206" spans="1:25">
      <c r="A3206" s="91"/>
      <c r="B3206" s="176"/>
      <c r="C3206" s="176"/>
      <c r="D3206" s="176"/>
      <c r="E3206" s="176"/>
      <c r="F3206" s="176"/>
      <c r="G3206" s="176"/>
      <c r="H3206" s="176"/>
      <c r="I3206" s="176"/>
      <c r="J3206" s="176"/>
      <c r="K3206" s="176"/>
      <c r="L3206" s="176"/>
      <c r="M3206" s="176"/>
      <c r="N3206" s="176"/>
      <c r="O3206" s="176"/>
      <c r="P3206" s="176"/>
      <c r="Q3206" s="176"/>
      <c r="R3206" s="176"/>
      <c r="S3206" s="176"/>
      <c r="T3206" s="176"/>
      <c r="U3206" s="176"/>
      <c r="V3206" s="176"/>
      <c r="W3206" s="176"/>
      <c r="X3206" s="176"/>
      <c r="Y3206" s="176"/>
    </row>
    <row r="3207" spans="1:25">
      <c r="A3207" s="91"/>
      <c r="B3207" s="176"/>
      <c r="C3207" s="176"/>
      <c r="D3207" s="176"/>
      <c r="E3207" s="176"/>
      <c r="F3207" s="176"/>
      <c r="G3207" s="176"/>
      <c r="H3207" s="176"/>
      <c r="I3207" s="176"/>
      <c r="J3207" s="176"/>
      <c r="K3207" s="176"/>
      <c r="L3207" s="176"/>
      <c r="M3207" s="176"/>
      <c r="N3207" s="176"/>
      <c r="O3207" s="176"/>
      <c r="P3207" s="176"/>
      <c r="Q3207" s="176"/>
      <c r="R3207" s="176"/>
      <c r="S3207" s="176"/>
      <c r="T3207" s="176"/>
      <c r="U3207" s="176"/>
      <c r="V3207" s="176"/>
      <c r="W3207" s="176"/>
      <c r="X3207" s="176"/>
      <c r="Y3207" s="176"/>
    </row>
    <row r="3208" spans="1:25">
      <c r="A3208" s="91"/>
      <c r="B3208" s="176"/>
      <c r="C3208" s="176"/>
      <c r="D3208" s="176"/>
      <c r="E3208" s="176"/>
      <c r="F3208" s="176"/>
      <c r="G3208" s="176"/>
      <c r="H3208" s="176"/>
      <c r="I3208" s="176"/>
      <c r="J3208" s="176"/>
      <c r="K3208" s="176"/>
      <c r="L3208" s="176"/>
      <c r="M3208" s="176"/>
      <c r="N3208" s="176"/>
      <c r="O3208" s="176"/>
      <c r="P3208" s="176"/>
      <c r="Q3208" s="176"/>
      <c r="R3208" s="176"/>
      <c r="S3208" s="176"/>
      <c r="T3208" s="176"/>
      <c r="U3208" s="176"/>
      <c r="V3208" s="176"/>
      <c r="W3208" s="176"/>
      <c r="X3208" s="176"/>
      <c r="Y3208" s="176"/>
    </row>
    <row r="3209" spans="1:25">
      <c r="A3209" s="91"/>
      <c r="B3209" s="176"/>
      <c r="C3209" s="176"/>
      <c r="D3209" s="176"/>
      <c r="E3209" s="176"/>
      <c r="F3209" s="176"/>
      <c r="G3209" s="176"/>
      <c r="H3209" s="176"/>
      <c r="I3209" s="176"/>
      <c r="J3209" s="176"/>
      <c r="K3209" s="176"/>
      <c r="L3209" s="176"/>
      <c r="M3209" s="176"/>
      <c r="N3209" s="176"/>
      <c r="O3209" s="176"/>
      <c r="P3209" s="176"/>
      <c r="Q3209" s="176"/>
      <c r="R3209" s="176"/>
      <c r="S3209" s="176"/>
      <c r="T3209" s="176"/>
      <c r="U3209" s="176"/>
      <c r="V3209" s="176"/>
      <c r="W3209" s="176"/>
      <c r="X3209" s="176"/>
      <c r="Y3209" s="176"/>
    </row>
    <row r="3210" spans="1:25">
      <c r="A3210" s="91"/>
      <c r="B3210" s="176"/>
      <c r="C3210" s="176"/>
      <c r="D3210" s="176"/>
      <c r="E3210" s="176"/>
      <c r="F3210" s="176"/>
      <c r="G3210" s="176"/>
      <c r="H3210" s="176"/>
      <c r="I3210" s="176"/>
      <c r="J3210" s="176"/>
      <c r="K3210" s="176"/>
      <c r="L3210" s="176"/>
      <c r="M3210" s="176"/>
      <c r="N3210" s="176"/>
      <c r="O3210" s="176"/>
      <c r="P3210" s="176"/>
      <c r="Q3210" s="176"/>
      <c r="R3210" s="176"/>
      <c r="S3210" s="176"/>
      <c r="T3210" s="176"/>
      <c r="U3210" s="176"/>
      <c r="V3210" s="176"/>
      <c r="W3210" s="176"/>
      <c r="X3210" s="176"/>
      <c r="Y3210" s="176"/>
    </row>
    <row r="3211" spans="1:25">
      <c r="A3211" s="91"/>
      <c r="B3211" s="176"/>
      <c r="C3211" s="176"/>
      <c r="D3211" s="176"/>
      <c r="E3211" s="176"/>
      <c r="F3211" s="176"/>
      <c r="G3211" s="176"/>
      <c r="H3211" s="176"/>
      <c r="I3211" s="176"/>
      <c r="J3211" s="176"/>
      <c r="K3211" s="176"/>
      <c r="L3211" s="176"/>
      <c r="M3211" s="176"/>
      <c r="N3211" s="176"/>
      <c r="O3211" s="176"/>
      <c r="P3211" s="176"/>
      <c r="Q3211" s="176"/>
      <c r="R3211" s="176"/>
      <c r="S3211" s="176"/>
      <c r="T3211" s="176"/>
      <c r="U3211" s="176"/>
      <c r="V3211" s="176"/>
      <c r="W3211" s="176"/>
      <c r="X3211" s="176"/>
      <c r="Y3211" s="176"/>
    </row>
    <row r="3212" spans="1:25">
      <c r="A3212" s="91"/>
      <c r="B3212" s="176"/>
      <c r="C3212" s="176"/>
      <c r="D3212" s="176"/>
      <c r="E3212" s="176"/>
      <c r="F3212" s="176"/>
      <c r="G3212" s="176"/>
      <c r="H3212" s="176"/>
      <c r="I3212" s="176"/>
      <c r="J3212" s="176"/>
      <c r="K3212" s="176"/>
      <c r="L3212" s="176"/>
      <c r="M3212" s="176"/>
      <c r="N3212" s="176"/>
      <c r="O3212" s="176"/>
      <c r="P3212" s="176"/>
      <c r="Q3212" s="176"/>
      <c r="R3212" s="176"/>
      <c r="S3212" s="176"/>
      <c r="T3212" s="176"/>
      <c r="U3212" s="176"/>
      <c r="V3212" s="176"/>
      <c r="W3212" s="176"/>
      <c r="X3212" s="176"/>
      <c r="Y3212" s="176"/>
    </row>
    <row r="3213" spans="1:25">
      <c r="A3213" s="91"/>
      <c r="B3213" s="176"/>
      <c r="C3213" s="176"/>
      <c r="D3213" s="176"/>
      <c r="E3213" s="176"/>
      <c r="F3213" s="176"/>
      <c r="G3213" s="176"/>
      <c r="H3213" s="176"/>
      <c r="I3213" s="176"/>
      <c r="J3213" s="176"/>
      <c r="K3213" s="176"/>
      <c r="L3213" s="176"/>
      <c r="M3213" s="176"/>
      <c r="N3213" s="176"/>
      <c r="O3213" s="176"/>
      <c r="P3213" s="176"/>
      <c r="Q3213" s="176"/>
      <c r="R3213" s="176"/>
      <c r="S3213" s="176"/>
      <c r="T3213" s="176"/>
      <c r="U3213" s="176"/>
      <c r="V3213" s="176"/>
      <c r="W3213" s="176"/>
      <c r="X3213" s="176"/>
      <c r="Y3213" s="176"/>
    </row>
    <row r="3214" spans="1:25">
      <c r="A3214" s="91"/>
      <c r="B3214" s="176"/>
      <c r="C3214" s="176"/>
      <c r="D3214" s="176"/>
      <c r="E3214" s="176"/>
      <c r="F3214" s="176"/>
      <c r="G3214" s="176"/>
      <c r="H3214" s="176"/>
      <c r="I3214" s="176"/>
      <c r="J3214" s="176"/>
      <c r="K3214" s="176"/>
      <c r="L3214" s="176"/>
      <c r="M3214" s="176"/>
      <c r="N3214" s="176"/>
      <c r="O3214" s="176"/>
      <c r="P3214" s="176"/>
      <c r="Q3214" s="176"/>
      <c r="R3214" s="176"/>
      <c r="S3214" s="176"/>
      <c r="T3214" s="176"/>
      <c r="U3214" s="176"/>
      <c r="V3214" s="176"/>
      <c r="W3214" s="176"/>
      <c r="X3214" s="176"/>
      <c r="Y3214" s="176"/>
    </row>
    <row r="3215" spans="1:25">
      <c r="A3215" s="91"/>
      <c r="B3215" s="176"/>
      <c r="C3215" s="176"/>
      <c r="D3215" s="176"/>
      <c r="E3215" s="176"/>
      <c r="F3215" s="176"/>
      <c r="G3215" s="176"/>
      <c r="H3215" s="176"/>
      <c r="I3215" s="176"/>
      <c r="J3215" s="176"/>
      <c r="K3215" s="176"/>
      <c r="L3215" s="176"/>
      <c r="M3215" s="176"/>
      <c r="N3215" s="176"/>
      <c r="O3215" s="176"/>
      <c r="P3215" s="176"/>
      <c r="Q3215" s="176"/>
      <c r="R3215" s="176"/>
      <c r="S3215" s="176"/>
      <c r="T3215" s="176"/>
      <c r="U3215" s="176"/>
      <c r="V3215" s="176"/>
      <c r="W3215" s="176"/>
      <c r="X3215" s="176"/>
      <c r="Y3215" s="176"/>
    </row>
    <row r="3216" spans="1:25">
      <c r="A3216" s="91"/>
      <c r="B3216" s="176"/>
      <c r="C3216" s="176"/>
      <c r="D3216" s="176"/>
      <c r="E3216" s="176"/>
      <c r="F3216" s="176"/>
      <c r="G3216" s="176"/>
      <c r="H3216" s="176"/>
      <c r="I3216" s="176"/>
      <c r="J3216" s="176"/>
      <c r="K3216" s="176"/>
      <c r="L3216" s="176"/>
      <c r="M3216" s="176"/>
      <c r="N3216" s="176"/>
      <c r="O3216" s="176"/>
      <c r="P3216" s="176"/>
      <c r="Q3216" s="176"/>
      <c r="R3216" s="176"/>
      <c r="S3216" s="176"/>
      <c r="T3216" s="176"/>
      <c r="U3216" s="176"/>
      <c r="V3216" s="176"/>
      <c r="W3216" s="176"/>
      <c r="X3216" s="176"/>
      <c r="Y3216" s="176"/>
    </row>
    <row r="3217" spans="1:25">
      <c r="A3217" s="91"/>
      <c r="B3217" s="176"/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176"/>
      <c r="P3217" s="176"/>
      <c r="Q3217" s="176"/>
      <c r="R3217" s="176"/>
      <c r="S3217" s="176"/>
      <c r="T3217" s="176"/>
      <c r="U3217" s="176"/>
      <c r="V3217" s="176"/>
      <c r="W3217" s="176"/>
      <c r="X3217" s="176"/>
      <c r="Y3217" s="176"/>
    </row>
    <row r="3218" spans="1:25">
      <c r="A3218" s="91"/>
      <c r="B3218" s="176"/>
      <c r="C3218" s="176"/>
      <c r="D3218" s="176"/>
      <c r="E3218" s="176"/>
      <c r="F3218" s="176"/>
      <c r="G3218" s="176"/>
      <c r="H3218" s="176"/>
      <c r="I3218" s="176"/>
      <c r="J3218" s="176"/>
      <c r="K3218" s="176"/>
      <c r="L3218" s="176"/>
      <c r="M3218" s="176"/>
      <c r="N3218" s="176"/>
      <c r="O3218" s="176"/>
      <c r="P3218" s="176"/>
      <c r="Q3218" s="176"/>
      <c r="R3218" s="176"/>
      <c r="S3218" s="176"/>
      <c r="T3218" s="176"/>
      <c r="U3218" s="176"/>
      <c r="V3218" s="176"/>
      <c r="W3218" s="176"/>
      <c r="X3218" s="176"/>
      <c r="Y3218" s="176"/>
    </row>
    <row r="3219" spans="1:25">
      <c r="A3219" s="91"/>
      <c r="B3219" s="176"/>
      <c r="C3219" s="176"/>
      <c r="D3219" s="176"/>
      <c r="E3219" s="176"/>
      <c r="F3219" s="176"/>
      <c r="G3219" s="176"/>
      <c r="H3219" s="176"/>
      <c r="I3219" s="176"/>
      <c r="J3219" s="176"/>
      <c r="K3219" s="176"/>
      <c r="L3219" s="176"/>
      <c r="M3219" s="176"/>
      <c r="N3219" s="176"/>
      <c r="O3219" s="176"/>
      <c r="P3219" s="176"/>
      <c r="Q3219" s="176"/>
      <c r="R3219" s="176"/>
      <c r="S3219" s="176"/>
      <c r="T3219" s="176"/>
      <c r="U3219" s="176"/>
      <c r="V3219" s="176"/>
      <c r="W3219" s="176"/>
      <c r="X3219" s="176"/>
      <c r="Y3219" s="176"/>
    </row>
    <row r="3220" spans="1:25">
      <c r="A3220" s="91"/>
      <c r="B3220" s="176"/>
      <c r="C3220" s="176"/>
      <c r="D3220" s="176"/>
      <c r="E3220" s="176"/>
      <c r="F3220" s="176"/>
      <c r="G3220" s="176"/>
      <c r="H3220" s="176"/>
      <c r="I3220" s="176"/>
      <c r="J3220" s="176"/>
      <c r="K3220" s="176"/>
      <c r="L3220" s="176"/>
      <c r="M3220" s="176"/>
      <c r="N3220" s="176"/>
      <c r="O3220" s="176"/>
      <c r="P3220" s="176"/>
      <c r="Q3220" s="176"/>
      <c r="R3220" s="176"/>
      <c r="S3220" s="176"/>
      <c r="T3220" s="176"/>
      <c r="U3220" s="176"/>
      <c r="V3220" s="176"/>
      <c r="W3220" s="176"/>
      <c r="X3220" s="176"/>
      <c r="Y3220" s="176"/>
    </row>
    <row r="3221" spans="1:25">
      <c r="A3221" s="91"/>
      <c r="B3221" s="176"/>
      <c r="C3221" s="176"/>
      <c r="D3221" s="176"/>
      <c r="E3221" s="176"/>
      <c r="F3221" s="176"/>
      <c r="G3221" s="176"/>
      <c r="H3221" s="176"/>
      <c r="I3221" s="176"/>
      <c r="J3221" s="176"/>
      <c r="K3221" s="176"/>
      <c r="L3221" s="176"/>
      <c r="M3221" s="176"/>
      <c r="N3221" s="176"/>
      <c r="O3221" s="176"/>
      <c r="P3221" s="176"/>
      <c r="Q3221" s="176"/>
      <c r="R3221" s="176"/>
      <c r="S3221" s="176"/>
      <c r="T3221" s="176"/>
      <c r="U3221" s="176"/>
      <c r="V3221" s="176"/>
      <c r="W3221" s="176"/>
      <c r="X3221" s="176"/>
      <c r="Y3221" s="176"/>
    </row>
    <row r="3222" spans="1:25">
      <c r="A3222" s="91"/>
      <c r="B3222" s="176"/>
      <c r="C3222" s="176"/>
      <c r="D3222" s="176"/>
      <c r="E3222" s="176"/>
      <c r="F3222" s="176"/>
      <c r="G3222" s="176"/>
      <c r="H3222" s="176"/>
      <c r="I3222" s="176"/>
      <c r="J3222" s="176"/>
      <c r="K3222" s="176"/>
      <c r="L3222" s="176"/>
      <c r="M3222" s="176"/>
      <c r="N3222" s="176"/>
      <c r="O3222" s="176"/>
      <c r="P3222" s="176"/>
      <c r="Q3222" s="176"/>
      <c r="R3222" s="176"/>
      <c r="S3222" s="176"/>
      <c r="T3222" s="176"/>
      <c r="U3222" s="176"/>
      <c r="V3222" s="176"/>
      <c r="W3222" s="176"/>
      <c r="X3222" s="176"/>
      <c r="Y3222" s="176"/>
    </row>
    <row r="3223" spans="1:25">
      <c r="A3223" s="91"/>
      <c r="B3223" s="176"/>
      <c r="C3223" s="176"/>
      <c r="D3223" s="176"/>
      <c r="E3223" s="176"/>
      <c r="F3223" s="176"/>
      <c r="G3223" s="176"/>
      <c r="H3223" s="176"/>
      <c r="I3223" s="176"/>
      <c r="J3223" s="176"/>
      <c r="K3223" s="176"/>
      <c r="L3223" s="176"/>
      <c r="M3223" s="176"/>
      <c r="N3223" s="176"/>
      <c r="O3223" s="176"/>
      <c r="P3223" s="176"/>
      <c r="Q3223" s="176"/>
      <c r="R3223" s="176"/>
      <c r="S3223" s="176"/>
      <c r="T3223" s="176"/>
      <c r="U3223" s="176"/>
      <c r="V3223" s="176"/>
      <c r="W3223" s="176"/>
      <c r="X3223" s="176"/>
      <c r="Y3223" s="176"/>
    </row>
    <row r="3224" spans="1:25">
      <c r="A3224" s="91"/>
      <c r="B3224" s="176"/>
      <c r="C3224" s="176"/>
      <c r="D3224" s="176"/>
      <c r="E3224" s="176"/>
      <c r="F3224" s="176"/>
      <c r="G3224" s="176"/>
      <c r="H3224" s="176"/>
      <c r="I3224" s="176"/>
      <c r="J3224" s="176"/>
      <c r="K3224" s="176"/>
      <c r="L3224" s="176"/>
      <c r="M3224" s="176"/>
      <c r="N3224" s="176"/>
      <c r="O3224" s="176"/>
      <c r="P3224" s="176"/>
      <c r="Q3224" s="176"/>
      <c r="R3224" s="176"/>
      <c r="S3224" s="176"/>
      <c r="T3224" s="176"/>
      <c r="U3224" s="176"/>
      <c r="V3224" s="176"/>
      <c r="W3224" s="176"/>
      <c r="X3224" s="176"/>
      <c r="Y3224" s="176"/>
    </row>
    <row r="3225" spans="1:25">
      <c r="A3225" s="91"/>
      <c r="B3225" s="176"/>
      <c r="C3225" s="176"/>
      <c r="D3225" s="176"/>
      <c r="E3225" s="176"/>
      <c r="F3225" s="176"/>
      <c r="G3225" s="176"/>
      <c r="H3225" s="176"/>
      <c r="I3225" s="176"/>
      <c r="J3225" s="176"/>
      <c r="K3225" s="176"/>
      <c r="L3225" s="176"/>
      <c r="M3225" s="176"/>
      <c r="N3225" s="176"/>
      <c r="O3225" s="176"/>
      <c r="P3225" s="176"/>
      <c r="Q3225" s="176"/>
      <c r="R3225" s="176"/>
      <c r="S3225" s="176"/>
      <c r="T3225" s="176"/>
      <c r="U3225" s="176"/>
      <c r="V3225" s="176"/>
      <c r="W3225" s="176"/>
      <c r="X3225" s="176"/>
      <c r="Y3225" s="176"/>
    </row>
    <row r="3226" spans="1:25">
      <c r="A3226" s="91"/>
      <c r="B3226" s="176"/>
      <c r="C3226" s="176"/>
      <c r="D3226" s="176"/>
      <c r="E3226" s="176"/>
      <c r="F3226" s="176"/>
      <c r="G3226" s="176"/>
      <c r="H3226" s="176"/>
      <c r="I3226" s="176"/>
      <c r="J3226" s="176"/>
      <c r="K3226" s="176"/>
      <c r="L3226" s="176"/>
      <c r="M3226" s="176"/>
      <c r="N3226" s="176"/>
      <c r="O3226" s="176"/>
      <c r="P3226" s="176"/>
      <c r="Q3226" s="176"/>
      <c r="R3226" s="176"/>
      <c r="S3226" s="176"/>
      <c r="T3226" s="176"/>
      <c r="U3226" s="176"/>
      <c r="V3226" s="176"/>
      <c r="W3226" s="176"/>
      <c r="X3226" s="176"/>
      <c r="Y3226" s="176"/>
    </row>
    <row r="3227" spans="1:25">
      <c r="A3227" s="91"/>
      <c r="B3227" s="176"/>
      <c r="C3227" s="176"/>
      <c r="D3227" s="176"/>
      <c r="E3227" s="176"/>
      <c r="F3227" s="176"/>
      <c r="G3227" s="176"/>
      <c r="H3227" s="176"/>
      <c r="I3227" s="176"/>
      <c r="J3227" s="176"/>
      <c r="K3227" s="176"/>
      <c r="L3227" s="176"/>
      <c r="M3227" s="176"/>
      <c r="N3227" s="176"/>
      <c r="O3227" s="176"/>
      <c r="P3227" s="176"/>
      <c r="Q3227" s="176"/>
      <c r="R3227" s="176"/>
      <c r="S3227" s="176"/>
      <c r="T3227" s="176"/>
      <c r="U3227" s="176"/>
      <c r="V3227" s="176"/>
      <c r="W3227" s="176"/>
      <c r="X3227" s="176"/>
      <c r="Y3227" s="176"/>
    </row>
    <row r="3228" spans="1:25">
      <c r="A3228" s="91"/>
      <c r="B3228" s="176"/>
      <c r="C3228" s="176"/>
      <c r="D3228" s="176"/>
      <c r="E3228" s="176"/>
      <c r="F3228" s="176"/>
      <c r="G3228" s="176"/>
      <c r="H3228" s="176"/>
      <c r="I3228" s="176"/>
      <c r="J3228" s="176"/>
      <c r="K3228" s="176"/>
      <c r="L3228" s="176"/>
      <c r="M3228" s="176"/>
      <c r="N3228" s="176"/>
      <c r="O3228" s="176"/>
      <c r="P3228" s="176"/>
      <c r="Q3228" s="176"/>
      <c r="R3228" s="176"/>
      <c r="S3228" s="176"/>
      <c r="T3228" s="176"/>
      <c r="U3228" s="176"/>
      <c r="V3228" s="176"/>
      <c r="W3228" s="176"/>
      <c r="X3228" s="176"/>
      <c r="Y3228" s="176"/>
    </row>
    <row r="3229" spans="1:25">
      <c r="A3229" s="91"/>
      <c r="B3229" s="176"/>
      <c r="C3229" s="176"/>
      <c r="D3229" s="176"/>
      <c r="E3229" s="176"/>
      <c r="F3229" s="176"/>
      <c r="G3229" s="176"/>
      <c r="H3229" s="176"/>
      <c r="I3229" s="176"/>
      <c r="J3229" s="176"/>
      <c r="K3229" s="176"/>
      <c r="L3229" s="176"/>
      <c r="M3229" s="176"/>
      <c r="N3229" s="176"/>
      <c r="O3229" s="176"/>
      <c r="P3229" s="176"/>
      <c r="Q3229" s="176"/>
      <c r="R3229" s="176"/>
      <c r="S3229" s="176"/>
      <c r="T3229" s="176"/>
      <c r="U3229" s="176"/>
      <c r="V3229" s="176"/>
      <c r="W3229" s="176"/>
      <c r="X3229" s="176"/>
      <c r="Y3229" s="176"/>
    </row>
    <row r="3230" spans="1:25">
      <c r="A3230" s="91"/>
      <c r="B3230" s="176"/>
      <c r="C3230" s="176"/>
      <c r="D3230" s="176"/>
      <c r="E3230" s="176"/>
      <c r="F3230" s="176"/>
      <c r="G3230" s="176"/>
      <c r="H3230" s="176"/>
      <c r="I3230" s="176"/>
      <c r="J3230" s="176"/>
      <c r="K3230" s="176"/>
      <c r="L3230" s="176"/>
      <c r="M3230" s="176"/>
      <c r="N3230" s="176"/>
      <c r="O3230" s="176"/>
      <c r="P3230" s="176"/>
      <c r="Q3230" s="176"/>
      <c r="R3230" s="176"/>
      <c r="S3230" s="176"/>
      <c r="T3230" s="176"/>
      <c r="U3230" s="176"/>
      <c r="V3230" s="176"/>
      <c r="W3230" s="176"/>
      <c r="X3230" s="176"/>
      <c r="Y3230" s="176"/>
    </row>
    <row r="3231" spans="1:25">
      <c r="A3231" s="91"/>
      <c r="B3231" s="176"/>
      <c r="C3231" s="176"/>
      <c r="D3231" s="176"/>
      <c r="E3231" s="176"/>
      <c r="F3231" s="176"/>
      <c r="G3231" s="176"/>
      <c r="H3231" s="176"/>
      <c r="I3231" s="176"/>
      <c r="J3231" s="176"/>
      <c r="K3231" s="176"/>
      <c r="L3231" s="176"/>
      <c r="M3231" s="176"/>
      <c r="N3231" s="176"/>
      <c r="O3231" s="176"/>
      <c r="P3231" s="176"/>
      <c r="Q3231" s="176"/>
      <c r="R3231" s="176"/>
      <c r="S3231" s="176"/>
      <c r="T3231" s="176"/>
      <c r="U3231" s="176"/>
      <c r="V3231" s="176"/>
      <c r="W3231" s="176"/>
      <c r="X3231" s="176"/>
      <c r="Y3231" s="176"/>
    </row>
    <row r="3232" spans="1:25">
      <c r="A3232" s="91"/>
      <c r="B3232" s="176"/>
      <c r="C3232" s="176"/>
      <c r="D3232" s="176"/>
      <c r="E3232" s="176"/>
      <c r="F3232" s="176"/>
      <c r="G3232" s="176"/>
      <c r="H3232" s="176"/>
      <c r="I3232" s="176"/>
      <c r="J3232" s="176"/>
      <c r="K3232" s="176"/>
      <c r="L3232" s="176"/>
      <c r="M3232" s="176"/>
      <c r="N3232" s="176"/>
      <c r="O3232" s="176"/>
      <c r="P3232" s="176"/>
      <c r="Q3232" s="176"/>
      <c r="R3232" s="176"/>
      <c r="S3232" s="176"/>
      <c r="T3232" s="176"/>
      <c r="U3232" s="176"/>
      <c r="V3232" s="176"/>
      <c r="W3232" s="176"/>
      <c r="X3232" s="176"/>
      <c r="Y3232" s="176"/>
    </row>
    <row r="3233" spans="1:25">
      <c r="A3233" s="91"/>
      <c r="B3233" s="176"/>
      <c r="C3233" s="176"/>
      <c r="D3233" s="176"/>
      <c r="E3233" s="176"/>
      <c r="F3233" s="176"/>
      <c r="G3233" s="176"/>
      <c r="H3233" s="176"/>
      <c r="I3233" s="176"/>
      <c r="J3233" s="176"/>
      <c r="K3233" s="176"/>
      <c r="L3233" s="176"/>
      <c r="M3233" s="176"/>
      <c r="N3233" s="176"/>
      <c r="O3233" s="176"/>
      <c r="P3233" s="176"/>
      <c r="Q3233" s="176"/>
      <c r="R3233" s="176"/>
      <c r="S3233" s="176"/>
      <c r="T3233" s="176"/>
      <c r="U3233" s="176"/>
      <c r="V3233" s="176"/>
      <c r="W3233" s="176"/>
      <c r="X3233" s="176"/>
      <c r="Y3233" s="176"/>
    </row>
    <row r="3234" spans="1:25">
      <c r="A3234" s="91"/>
      <c r="B3234" s="176"/>
      <c r="C3234" s="176"/>
      <c r="D3234" s="176"/>
      <c r="E3234" s="176"/>
      <c r="F3234" s="176"/>
      <c r="G3234" s="176"/>
      <c r="H3234" s="176"/>
      <c r="I3234" s="176"/>
      <c r="J3234" s="176"/>
      <c r="K3234" s="176"/>
      <c r="L3234" s="176"/>
      <c r="M3234" s="176"/>
      <c r="N3234" s="176"/>
      <c r="O3234" s="176"/>
      <c r="P3234" s="176"/>
      <c r="Q3234" s="176"/>
      <c r="R3234" s="176"/>
      <c r="S3234" s="176"/>
      <c r="T3234" s="176"/>
      <c r="U3234" s="176"/>
      <c r="V3234" s="176"/>
      <c r="W3234" s="176"/>
      <c r="X3234" s="176"/>
      <c r="Y3234" s="176"/>
    </row>
    <row r="3235" spans="1:25">
      <c r="A3235" s="91"/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</row>
    <row r="3236" spans="1:25">
      <c r="A3236" s="91"/>
      <c r="B3236" s="176"/>
      <c r="C3236" s="176"/>
      <c r="D3236" s="176"/>
      <c r="E3236" s="176"/>
      <c r="F3236" s="176"/>
      <c r="G3236" s="176"/>
      <c r="H3236" s="176"/>
      <c r="I3236" s="176"/>
      <c r="J3236" s="176"/>
      <c r="K3236" s="176"/>
      <c r="L3236" s="176"/>
      <c r="M3236" s="176"/>
      <c r="N3236" s="176"/>
      <c r="O3236" s="176"/>
      <c r="P3236" s="176"/>
      <c r="Q3236" s="176"/>
      <c r="R3236" s="176"/>
      <c r="S3236" s="176"/>
      <c r="T3236" s="176"/>
      <c r="U3236" s="176"/>
      <c r="V3236" s="176"/>
      <c r="W3236" s="176"/>
      <c r="X3236" s="176"/>
      <c r="Y3236" s="176"/>
    </row>
    <row r="3237" spans="1:25">
      <c r="A3237" s="91"/>
      <c r="B3237" s="176"/>
      <c r="C3237" s="176"/>
      <c r="D3237" s="176"/>
      <c r="E3237" s="176"/>
      <c r="F3237" s="176"/>
      <c r="G3237" s="176"/>
      <c r="H3237" s="176"/>
      <c r="I3237" s="176"/>
      <c r="J3237" s="176"/>
      <c r="K3237" s="176"/>
      <c r="L3237" s="176"/>
      <c r="M3237" s="176"/>
      <c r="N3237" s="176"/>
      <c r="O3237" s="176"/>
      <c r="P3237" s="176"/>
      <c r="Q3237" s="176"/>
      <c r="R3237" s="176"/>
      <c r="S3237" s="176"/>
      <c r="T3237" s="176"/>
      <c r="U3237" s="176"/>
      <c r="V3237" s="176"/>
      <c r="W3237" s="176"/>
      <c r="X3237" s="176"/>
      <c r="Y3237" s="176"/>
    </row>
    <row r="3238" spans="1:25">
      <c r="A3238" s="91"/>
      <c r="B3238" s="176"/>
      <c r="C3238" s="176"/>
      <c r="D3238" s="176"/>
      <c r="E3238" s="176"/>
      <c r="F3238" s="176"/>
      <c r="G3238" s="176"/>
      <c r="H3238" s="176"/>
      <c r="I3238" s="176"/>
      <c r="J3238" s="176"/>
      <c r="K3238" s="176"/>
      <c r="L3238" s="176"/>
      <c r="M3238" s="176"/>
      <c r="N3238" s="176"/>
      <c r="O3238" s="176"/>
      <c r="P3238" s="176"/>
      <c r="Q3238" s="176"/>
      <c r="R3238" s="176"/>
      <c r="S3238" s="176"/>
      <c r="T3238" s="176"/>
      <c r="U3238" s="176"/>
      <c r="V3238" s="176"/>
      <c r="W3238" s="176"/>
      <c r="X3238" s="176"/>
      <c r="Y3238" s="176"/>
    </row>
    <row r="3239" spans="1:25">
      <c r="A3239" s="91"/>
      <c r="B3239" s="176"/>
      <c r="C3239" s="176"/>
      <c r="D3239" s="176"/>
      <c r="E3239" s="176"/>
      <c r="F3239" s="176"/>
      <c r="G3239" s="176"/>
      <c r="H3239" s="176"/>
      <c r="I3239" s="176"/>
      <c r="J3239" s="176"/>
      <c r="K3239" s="176"/>
      <c r="L3239" s="176"/>
      <c r="M3239" s="176"/>
      <c r="N3239" s="176"/>
      <c r="O3239" s="176"/>
      <c r="P3239" s="176"/>
      <c r="Q3239" s="176"/>
      <c r="R3239" s="176"/>
      <c r="S3239" s="176"/>
      <c r="T3239" s="176"/>
      <c r="U3239" s="176"/>
      <c r="V3239" s="176"/>
      <c r="W3239" s="176"/>
      <c r="X3239" s="176"/>
      <c r="Y3239" s="176"/>
    </row>
    <row r="3240" spans="1:25">
      <c r="A3240" s="91"/>
      <c r="B3240" s="176"/>
      <c r="C3240" s="176"/>
      <c r="D3240" s="176"/>
      <c r="E3240" s="176"/>
      <c r="F3240" s="176"/>
      <c r="G3240" s="176"/>
      <c r="H3240" s="176"/>
      <c r="I3240" s="176"/>
      <c r="J3240" s="176"/>
      <c r="K3240" s="176"/>
      <c r="L3240" s="176"/>
      <c r="M3240" s="176"/>
      <c r="N3240" s="176"/>
      <c r="O3240" s="176"/>
      <c r="P3240" s="176"/>
      <c r="Q3240" s="176"/>
      <c r="R3240" s="176"/>
      <c r="S3240" s="176"/>
      <c r="T3240" s="176"/>
      <c r="U3240" s="176"/>
      <c r="V3240" s="176"/>
      <c r="W3240" s="176"/>
      <c r="X3240" s="176"/>
      <c r="Y3240" s="176"/>
    </row>
    <row r="3241" spans="1:25">
      <c r="A3241" s="91"/>
      <c r="B3241" s="176"/>
      <c r="C3241" s="176"/>
      <c r="D3241" s="176"/>
      <c r="E3241" s="176"/>
      <c r="F3241" s="176"/>
      <c r="G3241" s="176"/>
      <c r="H3241" s="176"/>
      <c r="I3241" s="176"/>
      <c r="J3241" s="176"/>
      <c r="K3241" s="176"/>
      <c r="L3241" s="176"/>
      <c r="M3241" s="176"/>
      <c r="N3241" s="176"/>
      <c r="O3241" s="176"/>
      <c r="P3241" s="176"/>
      <c r="Q3241" s="176"/>
      <c r="R3241" s="176"/>
      <c r="S3241" s="176"/>
      <c r="T3241" s="176"/>
      <c r="U3241" s="176"/>
      <c r="V3241" s="176"/>
      <c r="W3241" s="176"/>
      <c r="X3241" s="176"/>
      <c r="Y3241" s="176"/>
    </row>
    <row r="3242" spans="1:25">
      <c r="A3242" s="91"/>
      <c r="B3242" s="176"/>
      <c r="C3242" s="176"/>
      <c r="D3242" s="176"/>
      <c r="E3242" s="176"/>
      <c r="F3242" s="176"/>
      <c r="G3242" s="176"/>
      <c r="H3242" s="176"/>
      <c r="I3242" s="176"/>
      <c r="J3242" s="176"/>
      <c r="K3242" s="176"/>
      <c r="L3242" s="176"/>
      <c r="M3242" s="176"/>
      <c r="N3242" s="176"/>
      <c r="O3242" s="176"/>
      <c r="P3242" s="176"/>
      <c r="Q3242" s="176"/>
      <c r="R3242" s="176"/>
      <c r="S3242" s="176"/>
      <c r="T3242" s="176"/>
      <c r="U3242" s="176"/>
      <c r="V3242" s="176"/>
      <c r="W3242" s="176"/>
      <c r="X3242" s="176"/>
      <c r="Y3242" s="176"/>
    </row>
    <row r="3243" spans="1:25">
      <c r="A3243" s="91"/>
      <c r="B3243" s="176"/>
      <c r="C3243" s="176"/>
      <c r="D3243" s="176"/>
      <c r="E3243" s="176"/>
      <c r="F3243" s="176"/>
      <c r="G3243" s="176"/>
      <c r="H3243" s="176"/>
      <c r="I3243" s="176"/>
      <c r="J3243" s="176"/>
      <c r="K3243" s="176"/>
      <c r="L3243" s="176"/>
      <c r="M3243" s="176"/>
      <c r="N3243" s="176"/>
      <c r="O3243" s="176"/>
      <c r="P3243" s="176"/>
      <c r="Q3243" s="176"/>
      <c r="R3243" s="176"/>
      <c r="S3243" s="176"/>
      <c r="T3243" s="176"/>
      <c r="U3243" s="176"/>
      <c r="V3243" s="176"/>
      <c r="W3243" s="176"/>
      <c r="X3243" s="176"/>
      <c r="Y3243" s="176"/>
    </row>
    <row r="3244" spans="1:25">
      <c r="A3244" s="91"/>
      <c r="B3244" s="176"/>
      <c r="C3244" s="176"/>
      <c r="D3244" s="176"/>
      <c r="E3244" s="176"/>
      <c r="F3244" s="176"/>
      <c r="G3244" s="176"/>
      <c r="H3244" s="176"/>
      <c r="I3244" s="176"/>
      <c r="J3244" s="176"/>
      <c r="K3244" s="176"/>
      <c r="L3244" s="176"/>
      <c r="M3244" s="176"/>
      <c r="N3244" s="176"/>
      <c r="O3244" s="176"/>
      <c r="P3244" s="176"/>
      <c r="Q3244" s="176"/>
      <c r="R3244" s="176"/>
      <c r="S3244" s="176"/>
      <c r="T3244" s="176"/>
      <c r="U3244" s="176"/>
      <c r="V3244" s="176"/>
      <c r="W3244" s="176"/>
      <c r="X3244" s="176"/>
      <c r="Y3244" s="176"/>
    </row>
    <row r="3245" spans="1:25">
      <c r="A3245" s="91"/>
      <c r="B3245" s="176"/>
      <c r="C3245" s="176"/>
      <c r="D3245" s="176"/>
      <c r="E3245" s="176"/>
      <c r="F3245" s="176"/>
      <c r="G3245" s="176"/>
      <c r="H3245" s="176"/>
      <c r="I3245" s="176"/>
      <c r="J3245" s="176"/>
      <c r="K3245" s="176"/>
      <c r="L3245" s="176"/>
      <c r="M3245" s="176"/>
      <c r="N3245" s="176"/>
      <c r="O3245" s="176"/>
      <c r="P3245" s="176"/>
      <c r="Q3245" s="176"/>
      <c r="R3245" s="176"/>
      <c r="S3245" s="176"/>
      <c r="T3245" s="176"/>
      <c r="U3245" s="176"/>
      <c r="V3245" s="176"/>
      <c r="W3245" s="176"/>
      <c r="X3245" s="176"/>
      <c r="Y3245" s="176"/>
    </row>
    <row r="3246" spans="1:25">
      <c r="A3246" s="91"/>
      <c r="B3246" s="176"/>
      <c r="C3246" s="176"/>
      <c r="D3246" s="176"/>
      <c r="E3246" s="176"/>
      <c r="F3246" s="176"/>
      <c r="G3246" s="176"/>
      <c r="H3246" s="176"/>
      <c r="I3246" s="176"/>
      <c r="J3246" s="176"/>
      <c r="K3246" s="176"/>
      <c r="L3246" s="176"/>
      <c r="M3246" s="176"/>
      <c r="N3246" s="176"/>
      <c r="O3246" s="176"/>
      <c r="P3246" s="176"/>
      <c r="Q3246" s="176"/>
      <c r="R3246" s="176"/>
      <c r="S3246" s="176"/>
      <c r="T3246" s="176"/>
      <c r="U3246" s="176"/>
      <c r="V3246" s="176"/>
      <c r="W3246" s="176"/>
      <c r="X3246" s="176"/>
      <c r="Y3246" s="176"/>
    </row>
    <row r="3247" spans="1:25">
      <c r="A3247" s="91"/>
      <c r="B3247" s="176"/>
      <c r="C3247" s="176"/>
      <c r="D3247" s="176"/>
      <c r="E3247" s="176"/>
      <c r="F3247" s="176"/>
      <c r="G3247" s="176"/>
      <c r="H3247" s="176"/>
      <c r="I3247" s="176"/>
      <c r="J3247" s="176"/>
      <c r="K3247" s="176"/>
      <c r="L3247" s="176"/>
      <c r="M3247" s="176"/>
      <c r="N3247" s="176"/>
      <c r="O3247" s="176"/>
      <c r="P3247" s="176"/>
      <c r="Q3247" s="176"/>
      <c r="R3247" s="176"/>
      <c r="S3247" s="176"/>
      <c r="T3247" s="176"/>
      <c r="U3247" s="176"/>
      <c r="V3247" s="176"/>
      <c r="W3247" s="176"/>
      <c r="X3247" s="176"/>
      <c r="Y3247" s="176"/>
    </row>
    <row r="3248" spans="1:25">
      <c r="A3248" s="91"/>
      <c r="B3248" s="176"/>
      <c r="C3248" s="176"/>
      <c r="D3248" s="176"/>
      <c r="E3248" s="176"/>
      <c r="F3248" s="176"/>
      <c r="G3248" s="176"/>
      <c r="H3248" s="176"/>
      <c r="I3248" s="176"/>
      <c r="J3248" s="176"/>
      <c r="K3248" s="176"/>
      <c r="L3248" s="176"/>
      <c r="M3248" s="176"/>
      <c r="N3248" s="176"/>
      <c r="O3248" s="176"/>
      <c r="P3248" s="176"/>
      <c r="Q3248" s="176"/>
      <c r="R3248" s="176"/>
      <c r="S3248" s="176"/>
      <c r="T3248" s="176"/>
      <c r="U3248" s="176"/>
      <c r="V3248" s="176"/>
      <c r="W3248" s="176"/>
      <c r="X3248" s="176"/>
      <c r="Y3248" s="176"/>
    </row>
    <row r="3249" spans="1:25">
      <c r="A3249" s="91"/>
      <c r="B3249" s="176"/>
      <c r="C3249" s="176"/>
      <c r="D3249" s="176"/>
      <c r="E3249" s="176"/>
      <c r="F3249" s="176"/>
      <c r="G3249" s="176"/>
      <c r="H3249" s="176"/>
      <c r="I3249" s="176"/>
      <c r="J3249" s="176"/>
      <c r="K3249" s="176"/>
      <c r="L3249" s="176"/>
      <c r="M3249" s="176"/>
      <c r="N3249" s="176"/>
      <c r="O3249" s="176"/>
      <c r="P3249" s="176"/>
      <c r="Q3249" s="176"/>
      <c r="R3249" s="176"/>
      <c r="S3249" s="176"/>
      <c r="T3249" s="176"/>
      <c r="U3249" s="176"/>
      <c r="V3249" s="176"/>
      <c r="W3249" s="176"/>
      <c r="X3249" s="176"/>
      <c r="Y3249" s="176"/>
    </row>
    <row r="3250" spans="1:25">
      <c r="A3250" s="91"/>
      <c r="B3250" s="176"/>
      <c r="C3250" s="176"/>
      <c r="D3250" s="176"/>
      <c r="E3250" s="176"/>
      <c r="F3250" s="176"/>
      <c r="G3250" s="176"/>
      <c r="H3250" s="176"/>
      <c r="I3250" s="176"/>
      <c r="J3250" s="176"/>
      <c r="K3250" s="176"/>
      <c r="L3250" s="176"/>
      <c r="M3250" s="176"/>
      <c r="N3250" s="176"/>
      <c r="O3250" s="176"/>
      <c r="P3250" s="176"/>
      <c r="Q3250" s="176"/>
      <c r="R3250" s="176"/>
      <c r="S3250" s="176"/>
      <c r="T3250" s="176"/>
      <c r="U3250" s="176"/>
      <c r="V3250" s="176"/>
      <c r="W3250" s="176"/>
      <c r="X3250" s="176"/>
      <c r="Y3250" s="176"/>
    </row>
    <row r="3251" spans="1:25">
      <c r="A3251" s="91"/>
      <c r="B3251" s="176"/>
      <c r="C3251" s="176"/>
      <c r="D3251" s="176"/>
      <c r="E3251" s="176"/>
      <c r="F3251" s="176"/>
      <c r="G3251" s="176"/>
      <c r="H3251" s="176"/>
      <c r="I3251" s="176"/>
      <c r="J3251" s="176"/>
      <c r="K3251" s="176"/>
      <c r="L3251" s="176"/>
      <c r="M3251" s="176"/>
      <c r="N3251" s="176"/>
      <c r="O3251" s="176"/>
      <c r="P3251" s="176"/>
      <c r="Q3251" s="176"/>
      <c r="R3251" s="176"/>
      <c r="S3251" s="176"/>
      <c r="T3251" s="176"/>
      <c r="U3251" s="176"/>
      <c r="V3251" s="176"/>
      <c r="W3251" s="176"/>
      <c r="X3251" s="176"/>
      <c r="Y3251" s="176"/>
    </row>
    <row r="3252" spans="1:25">
      <c r="A3252" s="91"/>
      <c r="B3252" s="176"/>
      <c r="C3252" s="176"/>
      <c r="D3252" s="176"/>
      <c r="E3252" s="176"/>
      <c r="F3252" s="176"/>
      <c r="G3252" s="176"/>
      <c r="H3252" s="176"/>
      <c r="I3252" s="176"/>
      <c r="J3252" s="176"/>
      <c r="K3252" s="176"/>
      <c r="L3252" s="176"/>
      <c r="M3252" s="176"/>
      <c r="N3252" s="176"/>
      <c r="O3252" s="176"/>
      <c r="P3252" s="176"/>
      <c r="Q3252" s="176"/>
      <c r="R3252" s="176"/>
      <c r="S3252" s="176"/>
      <c r="T3252" s="176"/>
      <c r="U3252" s="176"/>
      <c r="V3252" s="176"/>
      <c r="W3252" s="176"/>
      <c r="X3252" s="176"/>
      <c r="Y3252" s="176"/>
    </row>
    <row r="3253" spans="1:25">
      <c r="A3253" s="91"/>
      <c r="B3253" s="176"/>
      <c r="C3253" s="176"/>
      <c r="D3253" s="176"/>
      <c r="E3253" s="176"/>
      <c r="F3253" s="176"/>
      <c r="G3253" s="176"/>
      <c r="H3253" s="176"/>
      <c r="I3253" s="176"/>
      <c r="J3253" s="176"/>
      <c r="K3253" s="176"/>
      <c r="L3253" s="176"/>
      <c r="M3253" s="176"/>
      <c r="N3253" s="176"/>
      <c r="O3253" s="176"/>
      <c r="P3253" s="176"/>
      <c r="Q3253" s="176"/>
      <c r="R3253" s="176"/>
      <c r="S3253" s="176"/>
      <c r="T3253" s="176"/>
      <c r="U3253" s="176"/>
      <c r="V3253" s="176"/>
      <c r="W3253" s="176"/>
      <c r="X3253" s="176"/>
      <c r="Y3253" s="176"/>
    </row>
    <row r="3254" spans="1:25">
      <c r="A3254" s="91"/>
      <c r="B3254" s="176"/>
      <c r="C3254" s="176"/>
      <c r="D3254" s="176"/>
      <c r="E3254" s="176"/>
      <c r="F3254" s="176"/>
      <c r="G3254" s="176"/>
      <c r="H3254" s="176"/>
      <c r="I3254" s="176"/>
      <c r="J3254" s="176"/>
      <c r="K3254" s="176"/>
      <c r="L3254" s="176"/>
      <c r="M3254" s="176"/>
      <c r="N3254" s="176"/>
      <c r="O3254" s="176"/>
      <c r="P3254" s="176"/>
      <c r="Q3254" s="176"/>
      <c r="R3254" s="176"/>
      <c r="S3254" s="176"/>
      <c r="T3254" s="176"/>
      <c r="U3254" s="176"/>
      <c r="V3254" s="176"/>
      <c r="W3254" s="176"/>
      <c r="X3254" s="176"/>
      <c r="Y3254" s="176"/>
    </row>
    <row r="3255" spans="1:25">
      <c r="A3255" s="91"/>
      <c r="B3255" s="176"/>
      <c r="C3255" s="176"/>
      <c r="D3255" s="176"/>
      <c r="E3255" s="176"/>
      <c r="F3255" s="176"/>
      <c r="G3255" s="176"/>
      <c r="H3255" s="176"/>
      <c r="I3255" s="176"/>
      <c r="J3255" s="176"/>
      <c r="K3255" s="176"/>
      <c r="L3255" s="176"/>
      <c r="M3255" s="176"/>
      <c r="N3255" s="176"/>
      <c r="O3255" s="176"/>
      <c r="P3255" s="176"/>
      <c r="Q3255" s="176"/>
      <c r="R3255" s="176"/>
      <c r="S3255" s="176"/>
      <c r="T3255" s="176"/>
      <c r="U3255" s="176"/>
      <c r="V3255" s="176"/>
      <c r="W3255" s="176"/>
      <c r="X3255" s="176"/>
      <c r="Y3255" s="176"/>
    </row>
    <row r="3256" spans="1:25">
      <c r="A3256" s="91"/>
      <c r="B3256" s="176"/>
      <c r="C3256" s="176"/>
      <c r="D3256" s="176"/>
      <c r="E3256" s="176"/>
      <c r="F3256" s="176"/>
      <c r="G3256" s="176"/>
      <c r="H3256" s="176"/>
      <c r="I3256" s="176"/>
      <c r="J3256" s="176"/>
      <c r="K3256" s="176"/>
      <c r="L3256" s="176"/>
      <c r="M3256" s="176"/>
      <c r="N3256" s="176"/>
      <c r="O3256" s="176"/>
      <c r="P3256" s="176"/>
      <c r="Q3256" s="176"/>
      <c r="R3256" s="176"/>
      <c r="S3256" s="176"/>
      <c r="T3256" s="176"/>
      <c r="U3256" s="176"/>
      <c r="V3256" s="176"/>
      <c r="W3256" s="176"/>
      <c r="X3256" s="176"/>
      <c r="Y3256" s="176"/>
    </row>
    <row r="3257" spans="1:25">
      <c r="A3257" s="91"/>
      <c r="B3257" s="176"/>
      <c r="C3257" s="176"/>
      <c r="D3257" s="176"/>
      <c r="E3257" s="176"/>
      <c r="F3257" s="176"/>
      <c r="G3257" s="176"/>
      <c r="H3257" s="176"/>
      <c r="I3257" s="176"/>
      <c r="J3257" s="176"/>
      <c r="K3257" s="176"/>
      <c r="L3257" s="176"/>
      <c r="M3257" s="176"/>
      <c r="N3257" s="176"/>
      <c r="O3257" s="176"/>
      <c r="P3257" s="176"/>
      <c r="Q3257" s="176"/>
      <c r="R3257" s="176"/>
      <c r="S3257" s="176"/>
      <c r="T3257" s="176"/>
      <c r="U3257" s="176"/>
      <c r="V3257" s="176"/>
      <c r="W3257" s="176"/>
      <c r="X3257" s="176"/>
      <c r="Y3257" s="176"/>
    </row>
    <row r="3258" spans="1:25">
      <c r="A3258" s="91"/>
      <c r="B3258" s="176"/>
      <c r="C3258" s="176"/>
      <c r="D3258" s="176"/>
      <c r="E3258" s="176"/>
      <c r="F3258" s="176"/>
      <c r="G3258" s="176"/>
      <c r="H3258" s="176"/>
      <c r="I3258" s="176"/>
      <c r="J3258" s="176"/>
      <c r="K3258" s="176"/>
      <c r="L3258" s="176"/>
      <c r="M3258" s="176"/>
      <c r="N3258" s="176"/>
      <c r="O3258" s="176"/>
      <c r="P3258" s="176"/>
      <c r="Q3258" s="176"/>
      <c r="R3258" s="176"/>
      <c r="S3258" s="176"/>
      <c r="T3258" s="176"/>
      <c r="U3258" s="176"/>
      <c r="V3258" s="176"/>
      <c r="W3258" s="176"/>
      <c r="X3258" s="176"/>
      <c r="Y3258" s="176"/>
    </row>
    <row r="3259" spans="1:25">
      <c r="A3259" s="91"/>
      <c r="B3259" s="176"/>
      <c r="C3259" s="176"/>
      <c r="D3259" s="176"/>
      <c r="E3259" s="176"/>
      <c r="F3259" s="176"/>
      <c r="G3259" s="176"/>
      <c r="H3259" s="176"/>
      <c r="I3259" s="176"/>
      <c r="J3259" s="176"/>
      <c r="K3259" s="176"/>
      <c r="L3259" s="176"/>
      <c r="M3259" s="176"/>
      <c r="N3259" s="176"/>
      <c r="O3259" s="176"/>
      <c r="P3259" s="176"/>
      <c r="Q3259" s="176"/>
      <c r="R3259" s="176"/>
      <c r="S3259" s="176"/>
      <c r="T3259" s="176"/>
      <c r="U3259" s="176"/>
      <c r="V3259" s="176"/>
      <c r="W3259" s="176"/>
      <c r="X3259" s="176"/>
      <c r="Y3259" s="176"/>
    </row>
    <row r="3260" spans="1:25">
      <c r="A3260" s="91"/>
      <c r="B3260" s="176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176"/>
      <c r="T3260" s="176"/>
      <c r="U3260" s="176"/>
      <c r="V3260" s="176"/>
      <c r="W3260" s="176"/>
      <c r="X3260" s="176"/>
      <c r="Y3260" s="176"/>
    </row>
    <row r="3261" spans="1:25">
      <c r="A3261" s="91"/>
      <c r="B3261" s="176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176"/>
      <c r="T3261" s="176"/>
      <c r="U3261" s="176"/>
      <c r="V3261" s="176"/>
      <c r="W3261" s="176"/>
      <c r="X3261" s="176"/>
      <c r="Y3261" s="176"/>
    </row>
    <row r="3262" spans="1:25">
      <c r="A3262" s="91"/>
      <c r="B3262" s="176"/>
      <c r="C3262" s="176"/>
      <c r="D3262" s="176"/>
      <c r="E3262" s="176"/>
      <c r="F3262" s="176"/>
      <c r="G3262" s="176"/>
      <c r="H3262" s="176"/>
      <c r="I3262" s="176"/>
      <c r="J3262" s="176"/>
      <c r="K3262" s="176"/>
      <c r="L3262" s="176"/>
      <c r="M3262" s="176"/>
      <c r="N3262" s="176"/>
      <c r="O3262" s="176"/>
      <c r="P3262" s="176"/>
      <c r="Q3262" s="176"/>
      <c r="R3262" s="176"/>
      <c r="S3262" s="176"/>
      <c r="T3262" s="176"/>
      <c r="U3262" s="176"/>
      <c r="V3262" s="176"/>
      <c r="W3262" s="176"/>
      <c r="X3262" s="176"/>
      <c r="Y3262" s="176"/>
    </row>
    <row r="3263" spans="1:25">
      <c r="A3263" s="91"/>
      <c r="B3263" s="176"/>
      <c r="C3263" s="176"/>
      <c r="D3263" s="176"/>
      <c r="E3263" s="176"/>
      <c r="F3263" s="176"/>
      <c r="G3263" s="176"/>
      <c r="H3263" s="176"/>
      <c r="I3263" s="176"/>
      <c r="J3263" s="176"/>
      <c r="K3263" s="176"/>
      <c r="L3263" s="176"/>
      <c r="M3263" s="176"/>
      <c r="N3263" s="176"/>
      <c r="O3263" s="176"/>
      <c r="P3263" s="176"/>
      <c r="Q3263" s="176"/>
      <c r="R3263" s="176"/>
      <c r="S3263" s="176"/>
      <c r="T3263" s="176"/>
      <c r="U3263" s="176"/>
      <c r="V3263" s="176"/>
      <c r="W3263" s="176"/>
      <c r="X3263" s="176"/>
      <c r="Y3263" s="176"/>
    </row>
    <row r="3264" spans="1:25">
      <c r="A3264" s="91"/>
      <c r="B3264" s="176"/>
      <c r="C3264" s="176"/>
      <c r="D3264" s="176"/>
      <c r="E3264" s="176"/>
      <c r="F3264" s="176"/>
      <c r="G3264" s="176"/>
      <c r="H3264" s="176"/>
      <c r="I3264" s="176"/>
      <c r="J3264" s="176"/>
      <c r="K3264" s="176"/>
      <c r="L3264" s="176"/>
      <c r="M3264" s="176"/>
      <c r="N3264" s="176"/>
      <c r="O3264" s="176"/>
      <c r="P3264" s="176"/>
      <c r="Q3264" s="176"/>
      <c r="R3264" s="176"/>
      <c r="S3264" s="176"/>
      <c r="T3264" s="176"/>
      <c r="U3264" s="176"/>
      <c r="V3264" s="176"/>
      <c r="W3264" s="176"/>
      <c r="X3264" s="176"/>
      <c r="Y3264" s="176"/>
    </row>
    <row r="3265" spans="1:25">
      <c r="A3265" s="91"/>
      <c r="B3265" s="176"/>
      <c r="C3265" s="176"/>
      <c r="D3265" s="176"/>
      <c r="E3265" s="176"/>
      <c r="F3265" s="176"/>
      <c r="G3265" s="176"/>
      <c r="H3265" s="176"/>
      <c r="I3265" s="176"/>
      <c r="J3265" s="176"/>
      <c r="K3265" s="176"/>
      <c r="L3265" s="176"/>
      <c r="M3265" s="176"/>
      <c r="N3265" s="176"/>
      <c r="O3265" s="176"/>
      <c r="P3265" s="176"/>
      <c r="Q3265" s="176"/>
      <c r="R3265" s="176"/>
      <c r="S3265" s="176"/>
      <c r="T3265" s="176"/>
      <c r="U3265" s="176"/>
      <c r="V3265" s="176"/>
      <c r="W3265" s="176"/>
      <c r="X3265" s="176"/>
      <c r="Y3265" s="176"/>
    </row>
    <row r="3266" spans="1:25">
      <c r="A3266" s="91"/>
      <c r="B3266" s="176"/>
      <c r="C3266" s="176"/>
      <c r="D3266" s="176"/>
      <c r="E3266" s="176"/>
      <c r="F3266" s="176"/>
      <c r="G3266" s="176"/>
      <c r="H3266" s="176"/>
      <c r="I3266" s="176"/>
      <c r="J3266" s="176"/>
      <c r="K3266" s="176"/>
      <c r="L3266" s="176"/>
      <c r="M3266" s="176"/>
      <c r="N3266" s="176"/>
      <c r="O3266" s="176"/>
      <c r="P3266" s="176"/>
      <c r="Q3266" s="176"/>
      <c r="R3266" s="176"/>
      <c r="S3266" s="176"/>
      <c r="T3266" s="176"/>
      <c r="U3266" s="176"/>
      <c r="V3266" s="176"/>
      <c r="W3266" s="176"/>
      <c r="X3266" s="176"/>
      <c r="Y3266" s="176"/>
    </row>
    <row r="3267" spans="1:25">
      <c r="A3267" s="91"/>
      <c r="B3267" s="176"/>
      <c r="C3267" s="176"/>
      <c r="D3267" s="176"/>
      <c r="E3267" s="176"/>
      <c r="F3267" s="176"/>
      <c r="G3267" s="176"/>
      <c r="H3267" s="176"/>
      <c r="I3267" s="176"/>
      <c r="J3267" s="176"/>
      <c r="K3267" s="176"/>
      <c r="L3267" s="176"/>
      <c r="M3267" s="176"/>
      <c r="N3267" s="176"/>
      <c r="O3267" s="176"/>
      <c r="P3267" s="176"/>
      <c r="Q3267" s="176"/>
      <c r="R3267" s="176"/>
      <c r="S3267" s="176"/>
      <c r="T3267" s="176"/>
      <c r="U3267" s="176"/>
      <c r="V3267" s="176"/>
      <c r="W3267" s="176"/>
      <c r="X3267" s="176"/>
      <c r="Y3267" s="176"/>
    </row>
    <row r="3268" spans="1:25">
      <c r="A3268" s="91"/>
      <c r="B3268" s="176"/>
      <c r="C3268" s="176"/>
      <c r="D3268" s="176"/>
      <c r="E3268" s="176"/>
      <c r="F3268" s="176"/>
      <c r="G3268" s="176"/>
      <c r="H3268" s="176"/>
      <c r="I3268" s="176"/>
      <c r="J3268" s="176"/>
      <c r="K3268" s="176"/>
      <c r="L3268" s="176"/>
      <c r="M3268" s="176"/>
      <c r="N3268" s="176"/>
      <c r="O3268" s="176"/>
      <c r="P3268" s="176"/>
      <c r="Q3268" s="176"/>
      <c r="R3268" s="176"/>
      <c r="S3268" s="176"/>
      <c r="T3268" s="176"/>
      <c r="U3268" s="176"/>
      <c r="V3268" s="176"/>
      <c r="W3268" s="176"/>
      <c r="X3268" s="176"/>
      <c r="Y3268" s="176"/>
    </row>
    <row r="3269" spans="1:25">
      <c r="A3269" s="91"/>
      <c r="B3269" s="176"/>
      <c r="C3269" s="176"/>
      <c r="D3269" s="176"/>
      <c r="E3269" s="176"/>
      <c r="F3269" s="176"/>
      <c r="G3269" s="176"/>
      <c r="H3269" s="176"/>
      <c r="I3269" s="176"/>
      <c r="J3269" s="176"/>
      <c r="K3269" s="176"/>
      <c r="L3269" s="176"/>
      <c r="M3269" s="176"/>
      <c r="N3269" s="176"/>
      <c r="O3269" s="176"/>
      <c r="P3269" s="176"/>
      <c r="Q3269" s="176"/>
      <c r="R3269" s="176"/>
      <c r="S3269" s="176"/>
      <c r="T3269" s="176"/>
      <c r="U3269" s="176"/>
      <c r="V3269" s="176"/>
      <c r="W3269" s="176"/>
      <c r="X3269" s="176"/>
      <c r="Y3269" s="176"/>
    </row>
    <row r="3270" spans="1:25">
      <c r="A3270" s="91"/>
      <c r="B3270" s="176"/>
      <c r="C3270" s="176"/>
      <c r="D3270" s="176"/>
      <c r="E3270" s="176"/>
      <c r="F3270" s="176"/>
      <c r="G3270" s="176"/>
      <c r="H3270" s="176"/>
      <c r="I3270" s="176"/>
      <c r="J3270" s="176"/>
      <c r="K3270" s="176"/>
      <c r="L3270" s="176"/>
      <c r="M3270" s="176"/>
      <c r="N3270" s="176"/>
      <c r="O3270" s="176"/>
      <c r="P3270" s="176"/>
      <c r="Q3270" s="176"/>
      <c r="R3270" s="176"/>
      <c r="S3270" s="176"/>
      <c r="T3270" s="176"/>
      <c r="U3270" s="176"/>
      <c r="V3270" s="176"/>
      <c r="W3270" s="176"/>
      <c r="X3270" s="176"/>
      <c r="Y3270" s="176"/>
    </row>
    <row r="3271" spans="1:25">
      <c r="A3271" s="91"/>
      <c r="B3271" s="176"/>
      <c r="C3271" s="176"/>
      <c r="D3271" s="176"/>
      <c r="E3271" s="176"/>
      <c r="F3271" s="176"/>
      <c r="G3271" s="176"/>
      <c r="H3271" s="176"/>
      <c r="I3271" s="176"/>
      <c r="J3271" s="176"/>
      <c r="K3271" s="176"/>
      <c r="L3271" s="176"/>
      <c r="M3271" s="176"/>
      <c r="N3271" s="176"/>
      <c r="O3271" s="176"/>
      <c r="P3271" s="176"/>
      <c r="Q3271" s="176"/>
      <c r="R3271" s="176"/>
      <c r="S3271" s="176"/>
      <c r="T3271" s="176"/>
      <c r="U3271" s="176"/>
      <c r="V3271" s="176"/>
      <c r="W3271" s="176"/>
      <c r="X3271" s="176"/>
      <c r="Y3271" s="176"/>
    </row>
    <row r="3272" spans="1:25">
      <c r="A3272" s="91"/>
      <c r="B3272" s="176"/>
      <c r="C3272" s="176"/>
      <c r="D3272" s="176"/>
      <c r="E3272" s="176"/>
      <c r="F3272" s="176"/>
      <c r="G3272" s="176"/>
      <c r="H3272" s="176"/>
      <c r="I3272" s="176"/>
      <c r="J3272" s="176"/>
      <c r="K3272" s="176"/>
      <c r="L3272" s="176"/>
      <c r="M3272" s="176"/>
      <c r="N3272" s="176"/>
      <c r="O3272" s="176"/>
      <c r="P3272" s="176"/>
      <c r="Q3272" s="176"/>
      <c r="R3272" s="176"/>
      <c r="S3272" s="176"/>
      <c r="T3272" s="176"/>
      <c r="U3272" s="176"/>
      <c r="V3272" s="176"/>
      <c r="W3272" s="176"/>
      <c r="X3272" s="176"/>
      <c r="Y3272" s="176"/>
    </row>
    <row r="3273" spans="1:25">
      <c r="A3273" s="91"/>
      <c r="B3273" s="176"/>
      <c r="C3273" s="176"/>
      <c r="D3273" s="176"/>
      <c r="E3273" s="176"/>
      <c r="F3273" s="176"/>
      <c r="G3273" s="176"/>
      <c r="H3273" s="176"/>
      <c r="I3273" s="176"/>
      <c r="J3273" s="176"/>
      <c r="K3273" s="176"/>
      <c r="L3273" s="176"/>
      <c r="M3273" s="176"/>
      <c r="N3273" s="176"/>
      <c r="O3273" s="176"/>
      <c r="P3273" s="176"/>
      <c r="Q3273" s="176"/>
      <c r="R3273" s="176"/>
      <c r="S3273" s="176"/>
      <c r="T3273" s="176"/>
      <c r="U3273" s="176"/>
      <c r="V3273" s="176"/>
      <c r="W3273" s="176"/>
      <c r="X3273" s="176"/>
      <c r="Y3273" s="176"/>
    </row>
    <row r="3274" spans="1:25">
      <c r="A3274" s="91"/>
      <c r="B3274" s="176"/>
      <c r="C3274" s="176"/>
      <c r="D3274" s="176"/>
      <c r="E3274" s="176"/>
      <c r="F3274" s="176"/>
      <c r="G3274" s="176"/>
      <c r="H3274" s="176"/>
      <c r="I3274" s="176"/>
      <c r="J3274" s="176"/>
      <c r="K3274" s="176"/>
      <c r="L3274" s="176"/>
      <c r="M3274" s="176"/>
      <c r="N3274" s="176"/>
      <c r="O3274" s="176"/>
      <c r="P3274" s="176"/>
      <c r="Q3274" s="176"/>
      <c r="R3274" s="176"/>
      <c r="S3274" s="176"/>
      <c r="T3274" s="176"/>
      <c r="U3274" s="176"/>
      <c r="V3274" s="176"/>
      <c r="W3274" s="176"/>
      <c r="X3274" s="176"/>
      <c r="Y3274" s="176"/>
    </row>
    <row r="3275" spans="1:25">
      <c r="A3275" s="91"/>
      <c r="B3275" s="176"/>
      <c r="C3275" s="176"/>
      <c r="D3275" s="176"/>
      <c r="E3275" s="176"/>
      <c r="F3275" s="176"/>
      <c r="G3275" s="176"/>
      <c r="H3275" s="176"/>
      <c r="I3275" s="176"/>
      <c r="J3275" s="176"/>
      <c r="K3275" s="176"/>
      <c r="L3275" s="176"/>
      <c r="M3275" s="176"/>
      <c r="N3275" s="176"/>
      <c r="O3275" s="176"/>
      <c r="P3275" s="176"/>
      <c r="Q3275" s="176"/>
      <c r="R3275" s="176"/>
      <c r="S3275" s="176"/>
      <c r="T3275" s="176"/>
      <c r="U3275" s="176"/>
      <c r="V3275" s="176"/>
      <c r="W3275" s="176"/>
      <c r="X3275" s="176"/>
      <c r="Y3275" s="176"/>
    </row>
    <row r="3276" spans="1:25">
      <c r="A3276" s="91"/>
      <c r="B3276" s="176"/>
      <c r="C3276" s="176"/>
      <c r="D3276" s="176"/>
      <c r="E3276" s="176"/>
      <c r="F3276" s="176"/>
      <c r="G3276" s="176"/>
      <c r="H3276" s="176"/>
      <c r="I3276" s="176"/>
      <c r="J3276" s="176"/>
      <c r="K3276" s="176"/>
      <c r="L3276" s="176"/>
      <c r="M3276" s="176"/>
      <c r="N3276" s="176"/>
      <c r="O3276" s="176"/>
      <c r="P3276" s="176"/>
      <c r="Q3276" s="176"/>
      <c r="R3276" s="176"/>
      <c r="S3276" s="176"/>
      <c r="T3276" s="176"/>
      <c r="U3276" s="176"/>
      <c r="V3276" s="176"/>
      <c r="W3276" s="176"/>
      <c r="X3276" s="176"/>
      <c r="Y3276" s="176"/>
    </row>
    <row r="3277" spans="1:25">
      <c r="A3277" s="91"/>
      <c r="B3277" s="176"/>
      <c r="C3277" s="176"/>
      <c r="D3277" s="176"/>
      <c r="E3277" s="176"/>
      <c r="F3277" s="176"/>
      <c r="G3277" s="176"/>
      <c r="H3277" s="176"/>
      <c r="I3277" s="176"/>
      <c r="J3277" s="176"/>
      <c r="K3277" s="176"/>
      <c r="L3277" s="176"/>
      <c r="M3277" s="176"/>
      <c r="N3277" s="176"/>
      <c r="O3277" s="176"/>
      <c r="P3277" s="176"/>
      <c r="Q3277" s="176"/>
      <c r="R3277" s="176"/>
      <c r="S3277" s="176"/>
      <c r="T3277" s="176"/>
      <c r="U3277" s="176"/>
      <c r="V3277" s="176"/>
      <c r="W3277" s="176"/>
      <c r="X3277" s="176"/>
      <c r="Y3277" s="176"/>
    </row>
    <row r="3278" spans="1:25">
      <c r="A3278" s="91"/>
      <c r="B3278" s="176"/>
      <c r="C3278" s="176"/>
      <c r="D3278" s="176"/>
      <c r="E3278" s="176"/>
      <c r="F3278" s="176"/>
      <c r="G3278" s="176"/>
      <c r="H3278" s="176"/>
      <c r="I3278" s="176"/>
      <c r="J3278" s="176"/>
      <c r="K3278" s="176"/>
      <c r="L3278" s="176"/>
      <c r="M3278" s="176"/>
      <c r="N3278" s="176"/>
      <c r="O3278" s="176"/>
      <c r="P3278" s="176"/>
      <c r="Q3278" s="176"/>
      <c r="R3278" s="176"/>
      <c r="S3278" s="176"/>
      <c r="T3278" s="176"/>
      <c r="U3278" s="176"/>
      <c r="V3278" s="176"/>
      <c r="W3278" s="176"/>
      <c r="X3278" s="176"/>
      <c r="Y3278" s="176"/>
    </row>
    <row r="3279" spans="1:25">
      <c r="A3279" s="91"/>
      <c r="B3279" s="176"/>
      <c r="C3279" s="176"/>
      <c r="D3279" s="176"/>
      <c r="E3279" s="176"/>
      <c r="F3279" s="176"/>
      <c r="G3279" s="176"/>
      <c r="H3279" s="176"/>
      <c r="I3279" s="176"/>
      <c r="J3279" s="176"/>
      <c r="K3279" s="176"/>
      <c r="L3279" s="176"/>
      <c r="M3279" s="176"/>
      <c r="N3279" s="176"/>
      <c r="O3279" s="176"/>
      <c r="P3279" s="176"/>
      <c r="Q3279" s="176"/>
      <c r="R3279" s="176"/>
      <c r="S3279" s="176"/>
      <c r="T3279" s="176"/>
      <c r="U3279" s="176"/>
      <c r="V3279" s="176"/>
      <c r="W3279" s="176"/>
      <c r="X3279" s="176"/>
      <c r="Y3279" s="176"/>
    </row>
    <row r="3280" spans="1:25">
      <c r="A3280" s="91"/>
      <c r="B3280" s="176"/>
      <c r="C3280" s="176"/>
      <c r="D3280" s="176"/>
      <c r="E3280" s="176"/>
      <c r="F3280" s="176"/>
      <c r="G3280" s="176"/>
      <c r="H3280" s="176"/>
      <c r="I3280" s="176"/>
      <c r="J3280" s="176"/>
      <c r="K3280" s="176"/>
      <c r="L3280" s="176"/>
      <c r="M3280" s="176"/>
      <c r="N3280" s="176"/>
      <c r="O3280" s="176"/>
      <c r="P3280" s="176"/>
      <c r="Q3280" s="176"/>
      <c r="R3280" s="176"/>
      <c r="S3280" s="176"/>
      <c r="T3280" s="176"/>
      <c r="U3280" s="176"/>
      <c r="V3280" s="176"/>
      <c r="W3280" s="176"/>
      <c r="X3280" s="176"/>
      <c r="Y3280" s="176"/>
    </row>
    <row r="3281" spans="1:25">
      <c r="A3281" s="91"/>
      <c r="B3281" s="176"/>
      <c r="C3281" s="176"/>
      <c r="D3281" s="176"/>
      <c r="E3281" s="176"/>
      <c r="F3281" s="176"/>
      <c r="G3281" s="176"/>
      <c r="H3281" s="176"/>
      <c r="I3281" s="176"/>
      <c r="J3281" s="176"/>
      <c r="K3281" s="176"/>
      <c r="L3281" s="176"/>
      <c r="M3281" s="176"/>
      <c r="N3281" s="176"/>
      <c r="O3281" s="176"/>
      <c r="P3281" s="176"/>
      <c r="Q3281" s="176"/>
      <c r="R3281" s="176"/>
      <c r="S3281" s="176"/>
      <c r="T3281" s="176"/>
      <c r="U3281" s="176"/>
      <c r="V3281" s="176"/>
      <c r="W3281" s="176"/>
      <c r="X3281" s="176"/>
      <c r="Y3281" s="176"/>
    </row>
    <row r="3282" spans="1:25">
      <c r="A3282" s="91"/>
      <c r="B3282" s="176"/>
      <c r="C3282" s="176"/>
      <c r="D3282" s="176"/>
      <c r="E3282" s="176"/>
      <c r="F3282" s="176"/>
      <c r="G3282" s="176"/>
      <c r="H3282" s="176"/>
      <c r="I3282" s="176"/>
      <c r="J3282" s="176"/>
      <c r="K3282" s="176"/>
      <c r="L3282" s="176"/>
      <c r="M3282" s="176"/>
      <c r="N3282" s="176"/>
      <c r="O3282" s="176"/>
      <c r="P3282" s="176"/>
      <c r="Q3282" s="176"/>
      <c r="R3282" s="176"/>
      <c r="S3282" s="176"/>
      <c r="T3282" s="176"/>
      <c r="U3282" s="176"/>
      <c r="V3282" s="176"/>
      <c r="W3282" s="176"/>
      <c r="X3282" s="176"/>
      <c r="Y3282" s="176"/>
    </row>
    <row r="3283" spans="1:25">
      <c r="A3283" s="91"/>
      <c r="B3283" s="176"/>
      <c r="C3283" s="176"/>
      <c r="D3283" s="176"/>
      <c r="E3283" s="176"/>
      <c r="F3283" s="176"/>
      <c r="G3283" s="176"/>
      <c r="H3283" s="176"/>
      <c r="I3283" s="176"/>
      <c r="J3283" s="176"/>
      <c r="K3283" s="176"/>
      <c r="L3283" s="176"/>
      <c r="M3283" s="176"/>
      <c r="N3283" s="176"/>
      <c r="O3283" s="176"/>
      <c r="P3283" s="176"/>
      <c r="Q3283" s="176"/>
      <c r="R3283" s="176"/>
      <c r="S3283" s="176"/>
      <c r="T3283" s="176"/>
      <c r="U3283" s="176"/>
      <c r="V3283" s="176"/>
      <c r="W3283" s="176"/>
      <c r="X3283" s="176"/>
      <c r="Y3283" s="176"/>
    </row>
    <row r="3284" spans="1:25">
      <c r="A3284" s="91"/>
      <c r="B3284" s="176"/>
      <c r="C3284" s="176"/>
      <c r="D3284" s="176"/>
      <c r="E3284" s="176"/>
      <c r="F3284" s="176"/>
      <c r="G3284" s="176"/>
      <c r="H3284" s="176"/>
      <c r="I3284" s="176"/>
      <c r="J3284" s="176"/>
      <c r="K3284" s="176"/>
      <c r="L3284" s="176"/>
      <c r="M3284" s="176"/>
      <c r="N3284" s="176"/>
      <c r="O3284" s="176"/>
      <c r="P3284" s="176"/>
      <c r="Q3284" s="176"/>
      <c r="R3284" s="176"/>
      <c r="S3284" s="176"/>
      <c r="T3284" s="176"/>
      <c r="U3284" s="176"/>
      <c r="V3284" s="176"/>
      <c r="W3284" s="176"/>
      <c r="X3284" s="176"/>
      <c r="Y3284" s="176"/>
    </row>
    <row r="3285" spans="1:25">
      <c r="A3285" s="91"/>
      <c r="B3285" s="176"/>
      <c r="C3285" s="176"/>
      <c r="D3285" s="176"/>
      <c r="E3285" s="176"/>
      <c r="F3285" s="176"/>
      <c r="G3285" s="176"/>
      <c r="H3285" s="176"/>
      <c r="I3285" s="176"/>
      <c r="J3285" s="176"/>
      <c r="K3285" s="176"/>
      <c r="L3285" s="176"/>
      <c r="M3285" s="176"/>
      <c r="N3285" s="176"/>
      <c r="O3285" s="176"/>
      <c r="P3285" s="176"/>
      <c r="Q3285" s="176"/>
      <c r="R3285" s="176"/>
      <c r="S3285" s="176"/>
      <c r="T3285" s="176"/>
      <c r="U3285" s="176"/>
      <c r="V3285" s="176"/>
      <c r="W3285" s="176"/>
      <c r="X3285" s="176"/>
      <c r="Y3285" s="176"/>
    </row>
    <row r="3286" spans="1:25">
      <c r="A3286" s="91"/>
      <c r="B3286" s="176"/>
      <c r="C3286" s="176"/>
      <c r="D3286" s="176"/>
      <c r="E3286" s="176"/>
      <c r="F3286" s="176"/>
      <c r="G3286" s="176"/>
      <c r="H3286" s="176"/>
      <c r="I3286" s="176"/>
      <c r="J3286" s="176"/>
      <c r="K3286" s="176"/>
      <c r="L3286" s="176"/>
      <c r="M3286" s="176"/>
      <c r="N3286" s="176"/>
      <c r="O3286" s="176"/>
      <c r="P3286" s="176"/>
      <c r="Q3286" s="176"/>
      <c r="R3286" s="176"/>
      <c r="S3286" s="176"/>
      <c r="T3286" s="176"/>
      <c r="U3286" s="176"/>
      <c r="V3286" s="176"/>
      <c r="W3286" s="176"/>
      <c r="X3286" s="176"/>
      <c r="Y3286" s="176"/>
    </row>
    <row r="3287" spans="1:25">
      <c r="A3287" s="91"/>
      <c r="B3287" s="176"/>
      <c r="C3287" s="176"/>
      <c r="D3287" s="176"/>
      <c r="E3287" s="176"/>
      <c r="F3287" s="176"/>
      <c r="G3287" s="176"/>
      <c r="H3287" s="176"/>
      <c r="I3287" s="176"/>
      <c r="J3287" s="176"/>
      <c r="K3287" s="176"/>
      <c r="L3287" s="176"/>
      <c r="M3287" s="176"/>
      <c r="N3287" s="176"/>
      <c r="O3287" s="176"/>
      <c r="P3287" s="176"/>
      <c r="Q3287" s="176"/>
      <c r="R3287" s="176"/>
      <c r="S3287" s="176"/>
      <c r="T3287" s="176"/>
      <c r="U3287" s="176"/>
      <c r="V3287" s="176"/>
      <c r="W3287" s="176"/>
      <c r="X3287" s="176"/>
      <c r="Y3287" s="176"/>
    </row>
    <row r="3288" spans="1:25">
      <c r="A3288" s="91"/>
      <c r="B3288" s="176"/>
      <c r="C3288" s="176"/>
      <c r="D3288" s="176"/>
      <c r="E3288" s="176"/>
      <c r="F3288" s="176"/>
      <c r="G3288" s="176"/>
      <c r="H3288" s="176"/>
      <c r="I3288" s="176"/>
      <c r="J3288" s="176"/>
      <c r="K3288" s="176"/>
      <c r="L3288" s="176"/>
      <c r="M3288" s="176"/>
      <c r="N3288" s="176"/>
      <c r="O3288" s="176"/>
      <c r="P3288" s="176"/>
      <c r="Q3288" s="176"/>
      <c r="R3288" s="176"/>
      <c r="S3288" s="176"/>
      <c r="T3288" s="176"/>
      <c r="U3288" s="176"/>
      <c r="V3288" s="176"/>
      <c r="W3288" s="176"/>
      <c r="X3288" s="176"/>
      <c r="Y3288" s="176"/>
    </row>
    <row r="3289" spans="1:25">
      <c r="A3289" s="91"/>
      <c r="B3289" s="176"/>
      <c r="C3289" s="176"/>
      <c r="D3289" s="176"/>
      <c r="E3289" s="176"/>
      <c r="F3289" s="176"/>
      <c r="G3289" s="176"/>
      <c r="H3289" s="176"/>
      <c r="I3289" s="176"/>
      <c r="J3289" s="176"/>
      <c r="K3289" s="176"/>
      <c r="L3289" s="176"/>
      <c r="M3289" s="176"/>
      <c r="N3289" s="176"/>
      <c r="O3289" s="176"/>
      <c r="P3289" s="176"/>
      <c r="Q3289" s="176"/>
      <c r="R3289" s="176"/>
      <c r="S3289" s="176"/>
      <c r="T3289" s="176"/>
      <c r="U3289" s="176"/>
      <c r="V3289" s="176"/>
      <c r="W3289" s="176"/>
      <c r="X3289" s="176"/>
      <c r="Y3289" s="176"/>
    </row>
    <row r="3290" spans="1:25">
      <c r="A3290" s="91"/>
      <c r="B3290" s="176"/>
      <c r="C3290" s="176"/>
      <c r="D3290" s="176"/>
      <c r="E3290" s="176"/>
      <c r="F3290" s="176"/>
      <c r="G3290" s="176"/>
      <c r="H3290" s="176"/>
      <c r="I3290" s="176"/>
      <c r="J3290" s="176"/>
      <c r="K3290" s="176"/>
      <c r="L3290" s="176"/>
      <c r="M3290" s="176"/>
      <c r="N3290" s="176"/>
      <c r="O3290" s="176"/>
      <c r="P3290" s="176"/>
      <c r="Q3290" s="176"/>
      <c r="R3290" s="176"/>
      <c r="S3290" s="176"/>
      <c r="T3290" s="176"/>
      <c r="U3290" s="176"/>
      <c r="V3290" s="176"/>
      <c r="W3290" s="176"/>
      <c r="X3290" s="176"/>
      <c r="Y3290" s="176"/>
    </row>
    <row r="3291" spans="1:25">
      <c r="A3291" s="91"/>
      <c r="B3291" s="176"/>
      <c r="C3291" s="176"/>
      <c r="D3291" s="176"/>
      <c r="E3291" s="176"/>
      <c r="F3291" s="176"/>
      <c r="G3291" s="176"/>
      <c r="H3291" s="176"/>
      <c r="I3291" s="176"/>
      <c r="J3291" s="176"/>
      <c r="K3291" s="176"/>
      <c r="L3291" s="176"/>
      <c r="M3291" s="176"/>
      <c r="N3291" s="176"/>
      <c r="O3291" s="176"/>
      <c r="P3291" s="176"/>
      <c r="Q3291" s="176"/>
      <c r="R3291" s="176"/>
      <c r="S3291" s="176"/>
      <c r="T3291" s="176"/>
      <c r="U3291" s="176"/>
      <c r="V3291" s="176"/>
      <c r="W3291" s="176"/>
      <c r="X3291" s="176"/>
      <c r="Y3291" s="176"/>
    </row>
    <row r="3292" spans="1:25">
      <c r="A3292" s="91"/>
      <c r="B3292" s="176"/>
      <c r="C3292" s="176"/>
      <c r="D3292" s="176"/>
      <c r="E3292" s="176"/>
      <c r="F3292" s="176"/>
      <c r="G3292" s="176"/>
      <c r="H3292" s="176"/>
      <c r="I3292" s="176"/>
      <c r="J3292" s="176"/>
      <c r="K3292" s="176"/>
      <c r="L3292" s="176"/>
      <c r="M3292" s="176"/>
      <c r="N3292" s="176"/>
      <c r="O3292" s="176"/>
      <c r="P3292" s="176"/>
      <c r="Q3292" s="176"/>
      <c r="R3292" s="176"/>
      <c r="S3292" s="176"/>
      <c r="T3292" s="176"/>
      <c r="U3292" s="176"/>
      <c r="V3292" s="176"/>
      <c r="W3292" s="176"/>
      <c r="X3292" s="176"/>
      <c r="Y3292" s="176"/>
    </row>
    <row r="3293" spans="1:25">
      <c r="A3293" s="91"/>
      <c r="B3293" s="176"/>
      <c r="C3293" s="176"/>
      <c r="D3293" s="176"/>
      <c r="E3293" s="176"/>
      <c r="F3293" s="176"/>
      <c r="G3293" s="176"/>
      <c r="H3293" s="176"/>
      <c r="I3293" s="176"/>
      <c r="J3293" s="176"/>
      <c r="K3293" s="176"/>
      <c r="L3293" s="176"/>
      <c r="M3293" s="176"/>
      <c r="N3293" s="176"/>
      <c r="O3293" s="176"/>
      <c r="P3293" s="176"/>
      <c r="Q3293" s="176"/>
      <c r="R3293" s="176"/>
      <c r="S3293" s="176"/>
      <c r="T3293" s="176"/>
      <c r="U3293" s="176"/>
      <c r="V3293" s="176"/>
      <c r="W3293" s="176"/>
      <c r="X3293" s="176"/>
      <c r="Y3293" s="176"/>
    </row>
    <row r="3294" spans="1:25">
      <c r="A3294" s="91"/>
      <c r="B3294" s="176"/>
      <c r="C3294" s="176"/>
      <c r="D3294" s="176"/>
      <c r="E3294" s="176"/>
      <c r="F3294" s="176"/>
      <c r="G3294" s="176"/>
      <c r="H3294" s="176"/>
      <c r="I3294" s="176"/>
      <c r="J3294" s="176"/>
      <c r="K3294" s="176"/>
      <c r="L3294" s="176"/>
      <c r="M3294" s="176"/>
      <c r="N3294" s="176"/>
      <c r="O3294" s="176"/>
      <c r="P3294" s="176"/>
      <c r="Q3294" s="176"/>
      <c r="R3294" s="176"/>
      <c r="S3294" s="176"/>
      <c r="T3294" s="176"/>
      <c r="U3294" s="176"/>
      <c r="V3294" s="176"/>
      <c r="W3294" s="176"/>
      <c r="X3294" s="176"/>
      <c r="Y3294" s="176"/>
    </row>
    <row r="3295" spans="1:25">
      <c r="A3295" s="91"/>
      <c r="B3295" s="176"/>
      <c r="C3295" s="176"/>
      <c r="D3295" s="176"/>
      <c r="E3295" s="176"/>
      <c r="F3295" s="176"/>
      <c r="G3295" s="176"/>
      <c r="H3295" s="176"/>
      <c r="I3295" s="176"/>
      <c r="J3295" s="176"/>
      <c r="K3295" s="176"/>
      <c r="L3295" s="176"/>
      <c r="M3295" s="176"/>
      <c r="N3295" s="176"/>
      <c r="O3295" s="176"/>
      <c r="P3295" s="176"/>
      <c r="Q3295" s="176"/>
      <c r="R3295" s="176"/>
      <c r="S3295" s="176"/>
      <c r="T3295" s="176"/>
      <c r="U3295" s="176"/>
      <c r="V3295" s="176"/>
      <c r="W3295" s="176"/>
      <c r="X3295" s="176"/>
      <c r="Y3295" s="176"/>
    </row>
    <row r="3296" spans="1:25">
      <c r="A3296" s="91"/>
      <c r="B3296" s="176"/>
      <c r="C3296" s="176"/>
      <c r="D3296" s="176"/>
      <c r="E3296" s="176"/>
      <c r="F3296" s="176"/>
      <c r="G3296" s="176"/>
      <c r="H3296" s="176"/>
      <c r="I3296" s="176"/>
      <c r="J3296" s="176"/>
      <c r="K3296" s="176"/>
      <c r="L3296" s="176"/>
      <c r="M3296" s="176"/>
      <c r="N3296" s="176"/>
      <c r="O3296" s="176"/>
      <c r="P3296" s="176"/>
      <c r="Q3296" s="176"/>
      <c r="R3296" s="176"/>
      <c r="S3296" s="176"/>
      <c r="T3296" s="176"/>
      <c r="U3296" s="176"/>
      <c r="V3296" s="176"/>
      <c r="W3296" s="176"/>
      <c r="X3296" s="176"/>
      <c r="Y3296" s="176"/>
    </row>
    <row r="3297" spans="1:25">
      <c r="A3297" s="91"/>
      <c r="B3297" s="176"/>
      <c r="C3297" s="176"/>
      <c r="D3297" s="176"/>
      <c r="E3297" s="176"/>
      <c r="F3297" s="176"/>
      <c r="G3297" s="176"/>
      <c r="H3297" s="176"/>
      <c r="I3297" s="176"/>
      <c r="J3297" s="176"/>
      <c r="K3297" s="176"/>
      <c r="L3297" s="176"/>
      <c r="M3297" s="176"/>
      <c r="N3297" s="176"/>
      <c r="O3297" s="176"/>
      <c r="P3297" s="176"/>
      <c r="Q3297" s="176"/>
      <c r="R3297" s="176"/>
      <c r="S3297" s="176"/>
      <c r="T3297" s="176"/>
      <c r="U3297" s="176"/>
      <c r="V3297" s="176"/>
      <c r="W3297" s="176"/>
      <c r="X3297" s="176"/>
      <c r="Y3297" s="176"/>
    </row>
    <row r="3298" spans="1:25">
      <c r="A3298" s="91"/>
      <c r="B3298" s="176"/>
      <c r="C3298" s="176"/>
      <c r="D3298" s="176"/>
      <c r="E3298" s="176"/>
      <c r="F3298" s="176"/>
      <c r="G3298" s="176"/>
      <c r="H3298" s="176"/>
      <c r="I3298" s="176"/>
      <c r="J3298" s="176"/>
      <c r="K3298" s="176"/>
      <c r="L3298" s="176"/>
      <c r="M3298" s="176"/>
      <c r="N3298" s="176"/>
      <c r="O3298" s="176"/>
      <c r="P3298" s="176"/>
      <c r="Q3298" s="176"/>
      <c r="R3298" s="176"/>
      <c r="S3298" s="176"/>
      <c r="T3298" s="176"/>
      <c r="U3298" s="176"/>
      <c r="V3298" s="176"/>
      <c r="W3298" s="176"/>
      <c r="X3298" s="176"/>
      <c r="Y3298" s="176"/>
    </row>
    <row r="3299" spans="1:25">
      <c r="A3299" s="91"/>
      <c r="B3299" s="176"/>
      <c r="C3299" s="176"/>
      <c r="D3299" s="176"/>
      <c r="E3299" s="176"/>
      <c r="F3299" s="176"/>
      <c r="G3299" s="176"/>
      <c r="H3299" s="176"/>
      <c r="I3299" s="176"/>
      <c r="J3299" s="176"/>
      <c r="K3299" s="176"/>
      <c r="L3299" s="176"/>
      <c r="M3299" s="176"/>
      <c r="N3299" s="176"/>
      <c r="O3299" s="176"/>
      <c r="P3299" s="176"/>
      <c r="Q3299" s="176"/>
      <c r="R3299" s="176"/>
      <c r="S3299" s="176"/>
      <c r="T3299" s="176"/>
      <c r="U3299" s="176"/>
      <c r="V3299" s="176"/>
      <c r="W3299" s="176"/>
      <c r="X3299" s="176"/>
      <c r="Y3299" s="176"/>
    </row>
    <row r="3300" spans="1:25">
      <c r="A3300" s="91"/>
      <c r="B3300" s="176"/>
      <c r="C3300" s="176"/>
      <c r="D3300" s="176"/>
      <c r="E3300" s="176"/>
      <c r="F3300" s="176"/>
      <c r="G3300" s="176"/>
      <c r="H3300" s="176"/>
      <c r="I3300" s="176"/>
      <c r="J3300" s="176"/>
      <c r="K3300" s="176"/>
      <c r="L3300" s="176"/>
      <c r="M3300" s="176"/>
      <c r="N3300" s="176"/>
      <c r="O3300" s="176"/>
      <c r="P3300" s="176"/>
      <c r="Q3300" s="176"/>
      <c r="R3300" s="176"/>
      <c r="S3300" s="176"/>
      <c r="T3300" s="176"/>
      <c r="U3300" s="176"/>
      <c r="V3300" s="176"/>
      <c r="W3300" s="176"/>
      <c r="X3300" s="176"/>
      <c r="Y3300" s="176"/>
    </row>
    <row r="3301" spans="1:25">
      <c r="A3301" s="91"/>
      <c r="B3301" s="176"/>
      <c r="C3301" s="176"/>
      <c r="D3301" s="176"/>
      <c r="E3301" s="176"/>
      <c r="F3301" s="176"/>
      <c r="G3301" s="176"/>
      <c r="H3301" s="176"/>
      <c r="I3301" s="176"/>
      <c r="J3301" s="176"/>
      <c r="K3301" s="176"/>
      <c r="L3301" s="176"/>
      <c r="M3301" s="176"/>
      <c r="N3301" s="176"/>
      <c r="O3301" s="176"/>
      <c r="P3301" s="176"/>
      <c r="Q3301" s="176"/>
      <c r="R3301" s="176"/>
      <c r="S3301" s="176"/>
      <c r="T3301" s="176"/>
      <c r="U3301" s="176"/>
      <c r="V3301" s="176"/>
      <c r="W3301" s="176"/>
      <c r="X3301" s="176"/>
      <c r="Y3301" s="176"/>
    </row>
    <row r="3302" spans="1:25">
      <c r="A3302" s="91"/>
      <c r="B3302" s="176"/>
      <c r="C3302" s="176"/>
      <c r="D3302" s="176"/>
      <c r="E3302" s="176"/>
      <c r="F3302" s="176"/>
      <c r="G3302" s="176"/>
      <c r="H3302" s="176"/>
      <c r="I3302" s="176"/>
      <c r="J3302" s="176"/>
      <c r="K3302" s="176"/>
      <c r="L3302" s="176"/>
      <c r="M3302" s="176"/>
      <c r="N3302" s="176"/>
      <c r="O3302" s="176"/>
      <c r="P3302" s="176"/>
      <c r="Q3302" s="176"/>
      <c r="R3302" s="176"/>
      <c r="S3302" s="176"/>
      <c r="T3302" s="176"/>
      <c r="U3302" s="176"/>
      <c r="V3302" s="176"/>
      <c r="W3302" s="176"/>
      <c r="X3302" s="176"/>
      <c r="Y3302" s="176"/>
    </row>
    <row r="3303" spans="1:25">
      <c r="A3303" s="91"/>
      <c r="B3303" s="176"/>
      <c r="C3303" s="176"/>
      <c r="D3303" s="176"/>
      <c r="E3303" s="176"/>
      <c r="F3303" s="176"/>
      <c r="G3303" s="176"/>
      <c r="H3303" s="176"/>
      <c r="I3303" s="176"/>
      <c r="J3303" s="176"/>
      <c r="K3303" s="176"/>
      <c r="L3303" s="176"/>
      <c r="M3303" s="176"/>
      <c r="N3303" s="176"/>
      <c r="O3303" s="176"/>
      <c r="P3303" s="176"/>
      <c r="Q3303" s="176"/>
      <c r="R3303" s="176"/>
      <c r="S3303" s="176"/>
      <c r="T3303" s="176"/>
      <c r="U3303" s="176"/>
      <c r="V3303" s="176"/>
      <c r="W3303" s="176"/>
      <c r="X3303" s="176"/>
      <c r="Y3303" s="176"/>
    </row>
    <row r="3304" spans="1:25">
      <c r="A3304" s="91"/>
      <c r="B3304" s="176"/>
      <c r="C3304" s="176"/>
      <c r="D3304" s="176"/>
      <c r="E3304" s="176"/>
      <c r="F3304" s="176"/>
      <c r="G3304" s="176"/>
      <c r="H3304" s="176"/>
      <c r="I3304" s="176"/>
      <c r="J3304" s="176"/>
      <c r="K3304" s="176"/>
      <c r="L3304" s="176"/>
      <c r="M3304" s="176"/>
      <c r="N3304" s="176"/>
      <c r="O3304" s="176"/>
      <c r="P3304" s="176"/>
      <c r="Q3304" s="176"/>
      <c r="R3304" s="176"/>
      <c r="S3304" s="176"/>
      <c r="T3304" s="176"/>
      <c r="U3304" s="176"/>
      <c r="V3304" s="176"/>
      <c r="W3304" s="176"/>
      <c r="X3304" s="176"/>
      <c r="Y3304" s="176"/>
    </row>
    <row r="3305" spans="1:25">
      <c r="A3305" s="91"/>
      <c r="B3305" s="176"/>
      <c r="C3305" s="176"/>
      <c r="D3305" s="176"/>
      <c r="E3305" s="176"/>
      <c r="F3305" s="176"/>
      <c r="G3305" s="176"/>
      <c r="H3305" s="176"/>
      <c r="I3305" s="176"/>
      <c r="J3305" s="176"/>
      <c r="K3305" s="176"/>
      <c r="L3305" s="176"/>
      <c r="M3305" s="176"/>
      <c r="N3305" s="176"/>
      <c r="O3305" s="176"/>
      <c r="P3305" s="176"/>
      <c r="Q3305" s="176"/>
      <c r="R3305" s="176"/>
      <c r="S3305" s="176"/>
      <c r="T3305" s="176"/>
      <c r="U3305" s="176"/>
      <c r="V3305" s="176"/>
      <c r="W3305" s="176"/>
      <c r="X3305" s="176"/>
      <c r="Y3305" s="176"/>
    </row>
    <row r="3306" spans="1:25">
      <c r="A3306" s="91"/>
      <c r="B3306" s="176"/>
      <c r="C3306" s="176"/>
      <c r="D3306" s="176"/>
      <c r="E3306" s="176"/>
      <c r="F3306" s="176"/>
      <c r="G3306" s="176"/>
      <c r="H3306" s="176"/>
      <c r="I3306" s="176"/>
      <c r="J3306" s="176"/>
      <c r="K3306" s="176"/>
      <c r="L3306" s="176"/>
      <c r="M3306" s="176"/>
      <c r="N3306" s="176"/>
      <c r="O3306" s="176"/>
      <c r="P3306" s="176"/>
      <c r="Q3306" s="176"/>
      <c r="R3306" s="176"/>
      <c r="S3306" s="176"/>
      <c r="T3306" s="176"/>
      <c r="U3306" s="176"/>
      <c r="V3306" s="176"/>
      <c r="W3306" s="176"/>
      <c r="X3306" s="176"/>
      <c r="Y3306" s="176"/>
    </row>
    <row r="3307" spans="1:25">
      <c r="A3307" s="91"/>
      <c r="B3307" s="176"/>
      <c r="C3307" s="176"/>
      <c r="D3307" s="176"/>
      <c r="E3307" s="176"/>
      <c r="F3307" s="176"/>
      <c r="G3307" s="176"/>
      <c r="H3307" s="176"/>
      <c r="I3307" s="176"/>
      <c r="J3307" s="176"/>
      <c r="K3307" s="176"/>
      <c r="L3307" s="176"/>
      <c r="M3307" s="176"/>
      <c r="N3307" s="176"/>
      <c r="O3307" s="176"/>
      <c r="P3307" s="176"/>
      <c r="Q3307" s="176"/>
      <c r="R3307" s="176"/>
      <c r="S3307" s="176"/>
      <c r="T3307" s="176"/>
      <c r="U3307" s="176"/>
      <c r="V3307" s="176"/>
      <c r="W3307" s="176"/>
      <c r="X3307" s="176"/>
      <c r="Y3307" s="176"/>
    </row>
    <row r="3308" spans="1:25">
      <c r="A3308" s="91"/>
      <c r="B3308" s="176"/>
      <c r="C3308" s="176"/>
      <c r="D3308" s="176"/>
      <c r="E3308" s="176"/>
      <c r="F3308" s="176"/>
      <c r="G3308" s="176"/>
      <c r="H3308" s="176"/>
      <c r="I3308" s="176"/>
      <c r="J3308" s="176"/>
      <c r="K3308" s="176"/>
      <c r="L3308" s="176"/>
      <c r="M3308" s="176"/>
      <c r="N3308" s="176"/>
      <c r="O3308" s="176"/>
      <c r="P3308" s="176"/>
      <c r="Q3308" s="176"/>
      <c r="R3308" s="176"/>
      <c r="S3308" s="176"/>
      <c r="T3308" s="176"/>
      <c r="U3308" s="176"/>
      <c r="V3308" s="176"/>
      <c r="W3308" s="176"/>
      <c r="X3308" s="176"/>
      <c r="Y3308" s="176"/>
    </row>
    <row r="3309" spans="1:25">
      <c r="A3309" s="91"/>
      <c r="B3309" s="176"/>
      <c r="C3309" s="176"/>
      <c r="D3309" s="176"/>
      <c r="E3309" s="176"/>
      <c r="F3309" s="176"/>
      <c r="G3309" s="176"/>
      <c r="H3309" s="176"/>
      <c r="I3309" s="176"/>
      <c r="J3309" s="176"/>
      <c r="K3309" s="176"/>
      <c r="L3309" s="176"/>
      <c r="M3309" s="176"/>
      <c r="N3309" s="176"/>
      <c r="O3309" s="176"/>
      <c r="P3309" s="176"/>
      <c r="Q3309" s="176"/>
      <c r="R3309" s="176"/>
      <c r="S3309" s="176"/>
      <c r="T3309" s="176"/>
      <c r="U3309" s="176"/>
      <c r="V3309" s="176"/>
      <c r="W3309" s="176"/>
      <c r="X3309" s="176"/>
      <c r="Y3309" s="176"/>
    </row>
    <row r="3310" spans="1:25">
      <c r="A3310" s="91"/>
      <c r="B3310" s="176"/>
      <c r="C3310" s="176"/>
      <c r="D3310" s="176"/>
      <c r="E3310" s="176"/>
      <c r="F3310" s="176"/>
      <c r="G3310" s="176"/>
      <c r="H3310" s="176"/>
      <c r="I3310" s="176"/>
      <c r="J3310" s="176"/>
      <c r="K3310" s="176"/>
      <c r="L3310" s="176"/>
      <c r="M3310" s="176"/>
      <c r="N3310" s="176"/>
      <c r="O3310" s="176"/>
      <c r="P3310" s="176"/>
      <c r="Q3310" s="176"/>
      <c r="R3310" s="176"/>
      <c r="S3310" s="176"/>
      <c r="T3310" s="176"/>
      <c r="U3310" s="176"/>
      <c r="V3310" s="176"/>
      <c r="W3310" s="176"/>
      <c r="X3310" s="176"/>
      <c r="Y3310" s="176"/>
    </row>
    <row r="3311" spans="1:25">
      <c r="A3311" s="91"/>
      <c r="B3311" s="176"/>
      <c r="C3311" s="176"/>
      <c r="D3311" s="176"/>
      <c r="E3311" s="176"/>
      <c r="F3311" s="176"/>
      <c r="G3311" s="176"/>
      <c r="H3311" s="176"/>
      <c r="I3311" s="176"/>
      <c r="J3311" s="176"/>
      <c r="K3311" s="176"/>
      <c r="L3311" s="176"/>
      <c r="M3311" s="176"/>
      <c r="N3311" s="176"/>
      <c r="O3311" s="176"/>
      <c r="P3311" s="176"/>
      <c r="Q3311" s="176"/>
      <c r="R3311" s="176"/>
      <c r="S3311" s="176"/>
      <c r="T3311" s="176"/>
      <c r="U3311" s="176"/>
      <c r="V3311" s="176"/>
      <c r="W3311" s="176"/>
      <c r="X3311" s="176"/>
      <c r="Y3311" s="176"/>
    </row>
    <row r="3312" spans="1:25">
      <c r="A3312" s="91"/>
      <c r="B3312" s="176"/>
      <c r="C3312" s="176"/>
      <c r="D3312" s="176"/>
      <c r="E3312" s="176"/>
      <c r="F3312" s="176"/>
      <c r="G3312" s="176"/>
      <c r="H3312" s="176"/>
      <c r="I3312" s="176"/>
      <c r="J3312" s="176"/>
      <c r="K3312" s="176"/>
      <c r="L3312" s="176"/>
      <c r="M3312" s="176"/>
      <c r="N3312" s="176"/>
      <c r="O3312" s="176"/>
      <c r="P3312" s="176"/>
      <c r="Q3312" s="176"/>
      <c r="R3312" s="176"/>
      <c r="S3312" s="176"/>
      <c r="T3312" s="176"/>
      <c r="U3312" s="176"/>
      <c r="V3312" s="176"/>
      <c r="W3312" s="176"/>
      <c r="X3312" s="176"/>
      <c r="Y3312" s="176"/>
    </row>
    <row r="3313" spans="1:25">
      <c r="A3313" s="91"/>
      <c r="B3313" s="176"/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176"/>
      <c r="T3313" s="176"/>
      <c r="U3313" s="176"/>
      <c r="V3313" s="176"/>
      <c r="W3313" s="176"/>
      <c r="X3313" s="176"/>
      <c r="Y3313" s="176"/>
    </row>
    <row r="3314" spans="1:25">
      <c r="A3314" s="91"/>
      <c r="B3314" s="176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176"/>
      <c r="T3314" s="176"/>
      <c r="U3314" s="176"/>
      <c r="V3314" s="176"/>
      <c r="W3314" s="176"/>
      <c r="X3314" s="176"/>
      <c r="Y3314" s="176"/>
    </row>
    <row r="3315" spans="1:25">
      <c r="A3315" s="91"/>
      <c r="B3315" s="176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176"/>
      <c r="T3315" s="176"/>
      <c r="U3315" s="176"/>
      <c r="V3315" s="176"/>
      <c r="W3315" s="176"/>
      <c r="X3315" s="176"/>
      <c r="Y3315" s="176"/>
    </row>
    <row r="3316" spans="1:25">
      <c r="A3316" s="91"/>
      <c r="B3316" s="176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176"/>
      <c r="T3316" s="176"/>
      <c r="U3316" s="176"/>
      <c r="V3316" s="176"/>
      <c r="W3316" s="176"/>
      <c r="X3316" s="176"/>
      <c r="Y3316" s="176"/>
    </row>
    <row r="3317" spans="1:25">
      <c r="A3317" s="91"/>
      <c r="B3317" s="176"/>
      <c r="C3317" s="176"/>
      <c r="D3317" s="176"/>
      <c r="E3317" s="176"/>
      <c r="F3317" s="176"/>
      <c r="G3317" s="176"/>
      <c r="H3317" s="176"/>
      <c r="I3317" s="176"/>
      <c r="J3317" s="176"/>
      <c r="K3317" s="176"/>
      <c r="L3317" s="176"/>
      <c r="M3317" s="176"/>
      <c r="N3317" s="176"/>
      <c r="O3317" s="176"/>
      <c r="P3317" s="176"/>
      <c r="Q3317" s="176"/>
      <c r="R3317" s="176"/>
      <c r="S3317" s="176"/>
      <c r="T3317" s="176"/>
      <c r="U3317" s="176"/>
      <c r="V3317" s="176"/>
      <c r="W3317" s="176"/>
      <c r="X3317" s="176"/>
      <c r="Y3317" s="176"/>
    </row>
    <row r="3318" spans="1:25">
      <c r="A3318" s="91"/>
      <c r="B3318" s="176"/>
      <c r="C3318" s="176"/>
      <c r="D3318" s="176"/>
      <c r="E3318" s="176"/>
      <c r="F3318" s="176"/>
      <c r="G3318" s="176"/>
      <c r="H3318" s="176"/>
      <c r="I3318" s="176"/>
      <c r="J3318" s="176"/>
      <c r="K3318" s="176"/>
      <c r="L3318" s="176"/>
      <c r="M3318" s="176"/>
      <c r="N3318" s="176"/>
      <c r="O3318" s="176"/>
      <c r="P3318" s="176"/>
      <c r="Q3318" s="176"/>
      <c r="R3318" s="176"/>
      <c r="S3318" s="176"/>
      <c r="T3318" s="176"/>
      <c r="U3318" s="176"/>
      <c r="V3318" s="176"/>
      <c r="W3318" s="176"/>
      <c r="X3318" s="176"/>
      <c r="Y3318" s="176"/>
    </row>
    <row r="3319" spans="1:25">
      <c r="A3319" s="91"/>
      <c r="B3319" s="176"/>
      <c r="C3319" s="176"/>
      <c r="D3319" s="176"/>
      <c r="E3319" s="176"/>
      <c r="F3319" s="176"/>
      <c r="G3319" s="176"/>
      <c r="H3319" s="176"/>
      <c r="I3319" s="176"/>
      <c r="J3319" s="176"/>
      <c r="K3319" s="176"/>
      <c r="L3319" s="176"/>
      <c r="M3319" s="176"/>
      <c r="N3319" s="176"/>
      <c r="O3319" s="176"/>
      <c r="P3319" s="176"/>
      <c r="Q3319" s="176"/>
      <c r="R3319" s="176"/>
      <c r="S3319" s="176"/>
      <c r="T3319" s="176"/>
      <c r="U3319" s="176"/>
      <c r="V3319" s="176"/>
      <c r="W3319" s="176"/>
      <c r="X3319" s="176"/>
      <c r="Y3319" s="176"/>
    </row>
    <row r="3320" spans="1:25">
      <c r="A3320" s="91"/>
      <c r="B3320" s="176"/>
      <c r="C3320" s="176"/>
      <c r="D3320" s="176"/>
      <c r="E3320" s="176"/>
      <c r="F3320" s="176"/>
      <c r="G3320" s="176"/>
      <c r="H3320" s="176"/>
      <c r="I3320" s="176"/>
      <c r="J3320" s="176"/>
      <c r="K3320" s="176"/>
      <c r="L3320" s="176"/>
      <c r="M3320" s="176"/>
      <c r="N3320" s="176"/>
      <c r="O3320" s="176"/>
      <c r="P3320" s="176"/>
      <c r="Q3320" s="176"/>
      <c r="R3320" s="176"/>
      <c r="S3320" s="176"/>
      <c r="T3320" s="176"/>
      <c r="U3320" s="176"/>
      <c r="V3320" s="176"/>
      <c r="W3320" s="176"/>
      <c r="X3320" s="176"/>
      <c r="Y3320" s="176"/>
    </row>
    <row r="3321" spans="1:25">
      <c r="A3321" s="91"/>
      <c r="B3321" s="176"/>
      <c r="C3321" s="176"/>
      <c r="D3321" s="176"/>
      <c r="E3321" s="176"/>
      <c r="F3321" s="176"/>
      <c r="G3321" s="176"/>
      <c r="H3321" s="176"/>
      <c r="I3321" s="176"/>
      <c r="J3321" s="176"/>
      <c r="K3321" s="176"/>
      <c r="L3321" s="176"/>
      <c r="M3321" s="176"/>
      <c r="N3321" s="176"/>
      <c r="O3321" s="176"/>
      <c r="P3321" s="176"/>
      <c r="Q3321" s="176"/>
      <c r="R3321" s="176"/>
      <c r="S3321" s="176"/>
      <c r="T3321" s="176"/>
      <c r="U3321" s="176"/>
      <c r="V3321" s="176"/>
      <c r="W3321" s="176"/>
      <c r="X3321" s="176"/>
      <c r="Y3321" s="176"/>
    </row>
    <row r="3322" spans="1:25">
      <c r="A3322" s="91"/>
      <c r="B3322" s="176"/>
      <c r="C3322" s="176"/>
      <c r="D3322" s="176"/>
      <c r="E3322" s="176"/>
      <c r="F3322" s="176"/>
      <c r="G3322" s="176"/>
      <c r="H3322" s="176"/>
      <c r="I3322" s="176"/>
      <c r="J3322" s="176"/>
      <c r="K3322" s="176"/>
      <c r="L3322" s="176"/>
      <c r="M3322" s="176"/>
      <c r="N3322" s="176"/>
      <c r="O3322" s="176"/>
      <c r="P3322" s="176"/>
      <c r="Q3322" s="176"/>
      <c r="R3322" s="176"/>
      <c r="S3322" s="176"/>
      <c r="T3322" s="176"/>
      <c r="U3322" s="176"/>
      <c r="V3322" s="176"/>
      <c r="W3322" s="176"/>
      <c r="X3322" s="176"/>
      <c r="Y3322" s="176"/>
    </row>
    <row r="3323" spans="1:25">
      <c r="A3323" s="91"/>
      <c r="B3323" s="176"/>
      <c r="C3323" s="176"/>
      <c r="D3323" s="176"/>
      <c r="E3323" s="176"/>
      <c r="F3323" s="176"/>
      <c r="G3323" s="176"/>
      <c r="H3323" s="176"/>
      <c r="I3323" s="176"/>
      <c r="J3323" s="176"/>
      <c r="K3323" s="176"/>
      <c r="L3323" s="176"/>
      <c r="M3323" s="176"/>
      <c r="N3323" s="176"/>
      <c r="O3323" s="176"/>
      <c r="P3323" s="176"/>
      <c r="Q3323" s="176"/>
      <c r="R3323" s="176"/>
      <c r="S3323" s="176"/>
      <c r="T3323" s="176"/>
      <c r="U3323" s="176"/>
      <c r="V3323" s="176"/>
      <c r="W3323" s="176"/>
      <c r="X3323" s="176"/>
      <c r="Y3323" s="176"/>
    </row>
    <row r="3324" spans="1:25">
      <c r="A3324" s="91"/>
      <c r="B3324" s="176"/>
      <c r="C3324" s="176"/>
      <c r="D3324" s="176"/>
      <c r="E3324" s="176"/>
      <c r="F3324" s="176"/>
      <c r="G3324" s="176"/>
      <c r="H3324" s="176"/>
      <c r="I3324" s="176"/>
      <c r="J3324" s="176"/>
      <c r="K3324" s="176"/>
      <c r="L3324" s="176"/>
      <c r="M3324" s="176"/>
      <c r="N3324" s="176"/>
      <c r="O3324" s="176"/>
      <c r="P3324" s="176"/>
      <c r="Q3324" s="176"/>
      <c r="R3324" s="176"/>
      <c r="S3324" s="176"/>
      <c r="T3324" s="176"/>
      <c r="U3324" s="176"/>
      <c r="V3324" s="176"/>
      <c r="W3324" s="176"/>
      <c r="X3324" s="176"/>
      <c r="Y3324" s="176"/>
    </row>
    <row r="3325" spans="1:25">
      <c r="A3325" s="91"/>
      <c r="B3325" s="176"/>
      <c r="C3325" s="176"/>
      <c r="D3325" s="176"/>
      <c r="E3325" s="176"/>
      <c r="F3325" s="176"/>
      <c r="G3325" s="176"/>
      <c r="H3325" s="176"/>
      <c r="I3325" s="176"/>
      <c r="J3325" s="176"/>
      <c r="K3325" s="176"/>
      <c r="L3325" s="176"/>
      <c r="M3325" s="176"/>
      <c r="N3325" s="176"/>
      <c r="O3325" s="176"/>
      <c r="P3325" s="176"/>
      <c r="Q3325" s="176"/>
      <c r="R3325" s="176"/>
      <c r="S3325" s="176"/>
      <c r="T3325" s="176"/>
      <c r="U3325" s="176"/>
      <c r="V3325" s="176"/>
      <c r="W3325" s="176"/>
      <c r="X3325" s="176"/>
      <c r="Y3325" s="176"/>
    </row>
    <row r="3326" spans="1:25">
      <c r="A3326" s="91"/>
      <c r="B3326" s="176"/>
      <c r="C3326" s="176"/>
      <c r="D3326" s="176"/>
      <c r="E3326" s="176"/>
      <c r="F3326" s="176"/>
      <c r="G3326" s="176"/>
      <c r="H3326" s="176"/>
      <c r="I3326" s="176"/>
      <c r="J3326" s="176"/>
      <c r="K3326" s="176"/>
      <c r="L3326" s="176"/>
      <c r="M3326" s="176"/>
      <c r="N3326" s="176"/>
      <c r="O3326" s="176"/>
      <c r="P3326" s="176"/>
      <c r="Q3326" s="176"/>
      <c r="R3326" s="176"/>
      <c r="S3326" s="176"/>
      <c r="T3326" s="176"/>
      <c r="U3326" s="176"/>
      <c r="V3326" s="176"/>
      <c r="W3326" s="176"/>
      <c r="X3326" s="176"/>
      <c r="Y3326" s="176"/>
    </row>
    <row r="3327" spans="1:25">
      <c r="A3327" s="91"/>
      <c r="B3327" s="176"/>
      <c r="C3327" s="176"/>
      <c r="D3327" s="176"/>
      <c r="E3327" s="176"/>
      <c r="F3327" s="176"/>
      <c r="G3327" s="176"/>
      <c r="H3327" s="176"/>
      <c r="I3327" s="176"/>
      <c r="J3327" s="176"/>
      <c r="K3327" s="176"/>
      <c r="L3327" s="176"/>
      <c r="M3327" s="176"/>
      <c r="N3327" s="176"/>
      <c r="O3327" s="176"/>
      <c r="P3327" s="176"/>
      <c r="Q3327" s="176"/>
      <c r="R3327" s="176"/>
      <c r="S3327" s="176"/>
      <c r="T3327" s="176"/>
      <c r="U3327" s="176"/>
      <c r="V3327" s="176"/>
      <c r="W3327" s="176"/>
      <c r="X3327" s="176"/>
      <c r="Y3327" s="176"/>
    </row>
    <row r="3328" spans="1:25">
      <c r="A3328" s="91"/>
      <c r="B3328" s="176"/>
      <c r="C3328" s="176"/>
      <c r="D3328" s="176"/>
      <c r="E3328" s="176"/>
      <c r="F3328" s="176"/>
      <c r="G3328" s="176"/>
      <c r="H3328" s="176"/>
      <c r="I3328" s="176"/>
      <c r="J3328" s="176"/>
      <c r="K3328" s="176"/>
      <c r="L3328" s="176"/>
      <c r="M3328" s="176"/>
      <c r="N3328" s="176"/>
      <c r="O3328" s="176"/>
      <c r="P3328" s="176"/>
      <c r="Q3328" s="176"/>
      <c r="R3328" s="176"/>
      <c r="S3328" s="176"/>
      <c r="T3328" s="176"/>
      <c r="U3328" s="176"/>
      <c r="V3328" s="176"/>
      <c r="W3328" s="176"/>
      <c r="X3328" s="176"/>
      <c r="Y3328" s="176"/>
    </row>
    <row r="3329" spans="1:25">
      <c r="A3329" s="91"/>
      <c r="B3329" s="176"/>
      <c r="C3329" s="176"/>
      <c r="D3329" s="176"/>
      <c r="E3329" s="176"/>
      <c r="F3329" s="176"/>
      <c r="G3329" s="176"/>
      <c r="H3329" s="176"/>
      <c r="I3329" s="176"/>
      <c r="J3329" s="176"/>
      <c r="K3329" s="176"/>
      <c r="L3329" s="176"/>
      <c r="M3329" s="176"/>
      <c r="N3329" s="176"/>
      <c r="O3329" s="176"/>
      <c r="P3329" s="176"/>
      <c r="Q3329" s="176"/>
      <c r="R3329" s="176"/>
      <c r="S3329" s="176"/>
      <c r="T3329" s="176"/>
      <c r="U3329" s="176"/>
      <c r="V3329" s="176"/>
      <c r="W3329" s="176"/>
      <c r="X3329" s="176"/>
      <c r="Y3329" s="176"/>
    </row>
    <row r="3330" spans="1:25">
      <c r="A3330" s="91"/>
      <c r="B3330" s="176"/>
      <c r="C3330" s="176"/>
      <c r="D3330" s="176"/>
      <c r="E3330" s="176"/>
      <c r="F3330" s="176"/>
      <c r="G3330" s="176"/>
      <c r="H3330" s="176"/>
      <c r="I3330" s="176"/>
      <c r="J3330" s="176"/>
      <c r="K3330" s="176"/>
      <c r="L3330" s="176"/>
      <c r="M3330" s="176"/>
      <c r="N3330" s="176"/>
      <c r="O3330" s="176"/>
      <c r="P3330" s="176"/>
      <c r="Q3330" s="176"/>
      <c r="R3330" s="176"/>
      <c r="S3330" s="176"/>
      <c r="T3330" s="176"/>
      <c r="U3330" s="176"/>
      <c r="V3330" s="176"/>
      <c r="W3330" s="176"/>
      <c r="X3330" s="176"/>
      <c r="Y3330" s="176"/>
    </row>
    <row r="3331" spans="1:25">
      <c r="A3331" s="91"/>
      <c r="B3331" s="176"/>
      <c r="C3331" s="176"/>
      <c r="D3331" s="176"/>
      <c r="E3331" s="176"/>
      <c r="F3331" s="176"/>
      <c r="G3331" s="176"/>
      <c r="H3331" s="176"/>
      <c r="I3331" s="176"/>
      <c r="J3331" s="176"/>
      <c r="K3331" s="176"/>
      <c r="L3331" s="176"/>
      <c r="M3331" s="176"/>
      <c r="N3331" s="176"/>
      <c r="O3331" s="176"/>
      <c r="P3331" s="176"/>
      <c r="Q3331" s="176"/>
      <c r="R3331" s="176"/>
      <c r="S3331" s="176"/>
      <c r="T3331" s="176"/>
      <c r="U3331" s="176"/>
      <c r="V3331" s="176"/>
      <c r="W3331" s="176"/>
      <c r="X3331" s="176"/>
      <c r="Y3331" s="176"/>
    </row>
    <row r="3332" spans="1:25">
      <c r="A3332" s="91"/>
      <c r="B3332" s="176"/>
      <c r="C3332" s="176"/>
      <c r="D3332" s="176"/>
      <c r="E3332" s="176"/>
      <c r="F3332" s="176"/>
      <c r="G3332" s="176"/>
      <c r="H3332" s="176"/>
      <c r="I3332" s="176"/>
      <c r="J3332" s="176"/>
      <c r="K3332" s="176"/>
      <c r="L3332" s="176"/>
      <c r="M3332" s="176"/>
      <c r="N3332" s="176"/>
      <c r="O3332" s="176"/>
      <c r="P3332" s="176"/>
      <c r="Q3332" s="176"/>
      <c r="R3332" s="176"/>
      <c r="S3332" s="176"/>
      <c r="T3332" s="176"/>
      <c r="U3332" s="176"/>
      <c r="V3332" s="176"/>
      <c r="W3332" s="176"/>
      <c r="X3332" s="176"/>
      <c r="Y3332" s="176"/>
    </row>
    <row r="3333" spans="1:25">
      <c r="A3333" s="91"/>
      <c r="B3333" s="176"/>
      <c r="C3333" s="176"/>
      <c r="D3333" s="176"/>
      <c r="E3333" s="176"/>
      <c r="F3333" s="176"/>
      <c r="G3333" s="176"/>
      <c r="H3333" s="176"/>
      <c r="I3333" s="176"/>
      <c r="J3333" s="176"/>
      <c r="K3333" s="176"/>
      <c r="L3333" s="176"/>
      <c r="M3333" s="176"/>
      <c r="N3333" s="176"/>
      <c r="O3333" s="176"/>
      <c r="P3333" s="176"/>
      <c r="Q3333" s="176"/>
      <c r="R3333" s="176"/>
      <c r="S3333" s="176"/>
      <c r="T3333" s="176"/>
      <c r="U3333" s="176"/>
      <c r="V3333" s="176"/>
      <c r="W3333" s="176"/>
      <c r="X3333" s="176"/>
      <c r="Y3333" s="176"/>
    </row>
    <row r="3334" spans="1:25">
      <c r="A3334" s="91"/>
      <c r="B3334" s="176"/>
      <c r="C3334" s="176"/>
      <c r="D3334" s="176"/>
      <c r="E3334" s="176"/>
      <c r="F3334" s="176"/>
      <c r="G3334" s="176"/>
      <c r="H3334" s="176"/>
      <c r="I3334" s="176"/>
      <c r="J3334" s="176"/>
      <c r="K3334" s="176"/>
      <c r="L3334" s="176"/>
      <c r="M3334" s="176"/>
      <c r="N3334" s="176"/>
      <c r="O3334" s="176"/>
      <c r="P3334" s="176"/>
      <c r="Q3334" s="176"/>
      <c r="R3334" s="176"/>
      <c r="S3334" s="176"/>
      <c r="T3334" s="176"/>
      <c r="U3334" s="176"/>
      <c r="V3334" s="176"/>
      <c r="W3334" s="176"/>
      <c r="X3334" s="176"/>
      <c r="Y3334" s="176"/>
    </row>
    <row r="3335" spans="1:25">
      <c r="A3335" s="91"/>
      <c r="B3335" s="176"/>
      <c r="C3335" s="176"/>
      <c r="D3335" s="176"/>
      <c r="E3335" s="176"/>
      <c r="F3335" s="176"/>
      <c r="G3335" s="176"/>
      <c r="H3335" s="176"/>
      <c r="I3335" s="176"/>
      <c r="J3335" s="176"/>
      <c r="K3335" s="176"/>
      <c r="L3335" s="176"/>
      <c r="M3335" s="176"/>
      <c r="N3335" s="176"/>
      <c r="O3335" s="176"/>
      <c r="P3335" s="176"/>
      <c r="Q3335" s="176"/>
      <c r="R3335" s="176"/>
      <c r="S3335" s="176"/>
      <c r="T3335" s="176"/>
      <c r="U3335" s="176"/>
      <c r="V3335" s="176"/>
      <c r="W3335" s="176"/>
      <c r="X3335" s="176"/>
      <c r="Y3335" s="176"/>
    </row>
    <row r="3336" spans="1:25">
      <c r="A3336" s="91"/>
      <c r="B3336" s="176"/>
      <c r="C3336" s="176"/>
      <c r="D3336" s="176"/>
      <c r="E3336" s="176"/>
      <c r="F3336" s="176"/>
      <c r="G3336" s="176"/>
      <c r="H3336" s="176"/>
      <c r="I3336" s="176"/>
      <c r="J3336" s="176"/>
      <c r="K3336" s="176"/>
      <c r="L3336" s="176"/>
      <c r="M3336" s="176"/>
      <c r="N3336" s="176"/>
      <c r="O3336" s="176"/>
      <c r="P3336" s="176"/>
      <c r="Q3336" s="176"/>
      <c r="R3336" s="176"/>
      <c r="S3336" s="176"/>
      <c r="T3336" s="176"/>
      <c r="U3336" s="176"/>
      <c r="V3336" s="176"/>
      <c r="W3336" s="176"/>
      <c r="X3336" s="176"/>
      <c r="Y3336" s="176"/>
    </row>
    <row r="3337" spans="1:25">
      <c r="A3337" s="91"/>
      <c r="B3337" s="176"/>
      <c r="C3337" s="176"/>
      <c r="D3337" s="176"/>
      <c r="E3337" s="176"/>
      <c r="F3337" s="176"/>
      <c r="G3337" s="176"/>
      <c r="H3337" s="176"/>
      <c r="I3337" s="176"/>
      <c r="J3337" s="176"/>
      <c r="K3337" s="176"/>
      <c r="L3337" s="176"/>
      <c r="M3337" s="176"/>
      <c r="N3337" s="176"/>
      <c r="O3337" s="176"/>
      <c r="P3337" s="176"/>
      <c r="Q3337" s="176"/>
      <c r="R3337" s="176"/>
      <c r="S3337" s="176"/>
      <c r="T3337" s="176"/>
      <c r="U3337" s="176"/>
      <c r="V3337" s="176"/>
      <c r="W3337" s="176"/>
      <c r="X3337" s="176"/>
      <c r="Y3337" s="176"/>
    </row>
    <row r="3338" spans="1:25">
      <c r="A3338" s="91"/>
      <c r="B3338" s="176"/>
      <c r="C3338" s="176"/>
      <c r="D3338" s="176"/>
      <c r="E3338" s="176"/>
      <c r="F3338" s="176"/>
      <c r="G3338" s="176"/>
      <c r="H3338" s="176"/>
      <c r="I3338" s="176"/>
      <c r="J3338" s="176"/>
      <c r="K3338" s="176"/>
      <c r="L3338" s="176"/>
      <c r="M3338" s="176"/>
      <c r="N3338" s="176"/>
      <c r="O3338" s="176"/>
      <c r="P3338" s="176"/>
      <c r="Q3338" s="176"/>
      <c r="R3338" s="176"/>
      <c r="S3338" s="176"/>
      <c r="T3338" s="176"/>
      <c r="U3338" s="176"/>
      <c r="V3338" s="176"/>
      <c r="W3338" s="176"/>
      <c r="X3338" s="176"/>
      <c r="Y3338" s="176"/>
    </row>
    <row r="3339" spans="1:25">
      <c r="A3339" s="91"/>
      <c r="B3339" s="176"/>
      <c r="C3339" s="176"/>
      <c r="D3339" s="176"/>
      <c r="E3339" s="176"/>
      <c r="F3339" s="176"/>
      <c r="G3339" s="176"/>
      <c r="H3339" s="176"/>
      <c r="I3339" s="176"/>
      <c r="J3339" s="176"/>
      <c r="K3339" s="176"/>
      <c r="L3339" s="176"/>
      <c r="M3339" s="176"/>
      <c r="N3339" s="176"/>
      <c r="O3339" s="176"/>
      <c r="P3339" s="176"/>
      <c r="Q3339" s="176"/>
      <c r="R3339" s="176"/>
      <c r="S3339" s="176"/>
      <c r="T3339" s="176"/>
      <c r="U3339" s="176"/>
      <c r="V3339" s="176"/>
      <c r="W3339" s="176"/>
      <c r="X3339" s="176"/>
      <c r="Y3339" s="176"/>
    </row>
    <row r="3340" spans="1:25">
      <c r="A3340" s="91"/>
      <c r="B3340" s="176"/>
      <c r="C3340" s="176"/>
      <c r="D3340" s="176"/>
      <c r="E3340" s="176"/>
      <c r="F3340" s="176"/>
      <c r="G3340" s="176"/>
      <c r="H3340" s="176"/>
      <c r="I3340" s="176"/>
      <c r="J3340" s="176"/>
      <c r="K3340" s="176"/>
      <c r="L3340" s="176"/>
      <c r="M3340" s="176"/>
      <c r="N3340" s="176"/>
      <c r="O3340" s="176"/>
      <c r="P3340" s="176"/>
      <c r="Q3340" s="176"/>
      <c r="R3340" s="176"/>
      <c r="S3340" s="176"/>
      <c r="T3340" s="176"/>
      <c r="U3340" s="176"/>
      <c r="V3340" s="176"/>
      <c r="W3340" s="176"/>
      <c r="X3340" s="176"/>
      <c r="Y3340" s="176"/>
    </row>
    <row r="3341" spans="1:25">
      <c r="A3341" s="91"/>
      <c r="B3341" s="176"/>
      <c r="C3341" s="176"/>
      <c r="D3341" s="176"/>
      <c r="E3341" s="176"/>
      <c r="F3341" s="176"/>
      <c r="G3341" s="176"/>
      <c r="H3341" s="176"/>
      <c r="I3341" s="176"/>
      <c r="J3341" s="176"/>
      <c r="K3341" s="176"/>
      <c r="L3341" s="176"/>
      <c r="M3341" s="176"/>
      <c r="N3341" s="176"/>
      <c r="O3341" s="176"/>
      <c r="P3341" s="176"/>
      <c r="Q3341" s="176"/>
      <c r="R3341" s="176"/>
      <c r="S3341" s="176"/>
      <c r="T3341" s="176"/>
      <c r="U3341" s="176"/>
      <c r="V3341" s="176"/>
      <c r="W3341" s="176"/>
      <c r="X3341" s="176"/>
      <c r="Y3341" s="176"/>
    </row>
    <row r="3342" spans="1:25">
      <c r="A3342" s="91"/>
      <c r="B3342" s="176"/>
      <c r="C3342" s="176"/>
      <c r="D3342" s="176"/>
      <c r="E3342" s="176"/>
      <c r="F3342" s="176"/>
      <c r="G3342" s="176"/>
      <c r="H3342" s="176"/>
      <c r="I3342" s="176"/>
      <c r="J3342" s="176"/>
      <c r="K3342" s="176"/>
      <c r="L3342" s="176"/>
      <c r="M3342" s="176"/>
      <c r="N3342" s="176"/>
      <c r="O3342" s="176"/>
      <c r="P3342" s="176"/>
      <c r="Q3342" s="176"/>
      <c r="R3342" s="176"/>
      <c r="S3342" s="176"/>
      <c r="T3342" s="176"/>
      <c r="U3342" s="176"/>
      <c r="V3342" s="176"/>
      <c r="W3342" s="176"/>
      <c r="X3342" s="176"/>
      <c r="Y3342" s="176"/>
    </row>
    <row r="3343" spans="1:25">
      <c r="A3343" s="91"/>
      <c r="B3343" s="176"/>
      <c r="C3343" s="176"/>
      <c r="D3343" s="176"/>
      <c r="E3343" s="176"/>
      <c r="F3343" s="176"/>
      <c r="G3343" s="176"/>
      <c r="H3343" s="176"/>
      <c r="I3343" s="176"/>
      <c r="J3343" s="176"/>
      <c r="K3343" s="176"/>
      <c r="L3343" s="176"/>
      <c r="M3343" s="176"/>
      <c r="N3343" s="176"/>
      <c r="O3343" s="176"/>
      <c r="P3343" s="176"/>
      <c r="Q3343" s="176"/>
      <c r="R3343" s="176"/>
      <c r="S3343" s="176"/>
      <c r="T3343" s="176"/>
      <c r="U3343" s="176"/>
      <c r="V3343" s="176"/>
      <c r="W3343" s="176"/>
      <c r="X3343" s="176"/>
      <c r="Y3343" s="176"/>
    </row>
    <row r="3344" spans="1:25">
      <c r="A3344" s="91"/>
      <c r="B3344" s="176"/>
      <c r="C3344" s="176"/>
      <c r="D3344" s="176"/>
      <c r="E3344" s="176"/>
      <c r="F3344" s="176"/>
      <c r="G3344" s="176"/>
      <c r="H3344" s="176"/>
      <c r="I3344" s="176"/>
      <c r="J3344" s="176"/>
      <c r="K3344" s="176"/>
      <c r="L3344" s="176"/>
      <c r="M3344" s="176"/>
      <c r="N3344" s="176"/>
      <c r="O3344" s="176"/>
      <c r="P3344" s="176"/>
      <c r="Q3344" s="176"/>
      <c r="R3344" s="176"/>
      <c r="S3344" s="176"/>
      <c r="T3344" s="176"/>
      <c r="U3344" s="176"/>
      <c r="V3344" s="176"/>
      <c r="W3344" s="176"/>
      <c r="X3344" s="176"/>
      <c r="Y3344" s="176"/>
    </row>
    <row r="3345" spans="1:25">
      <c r="A3345" s="91"/>
      <c r="B3345" s="176"/>
      <c r="C3345" s="176"/>
      <c r="D3345" s="176"/>
      <c r="E3345" s="176"/>
      <c r="F3345" s="176"/>
      <c r="G3345" s="176"/>
      <c r="H3345" s="176"/>
      <c r="I3345" s="176"/>
      <c r="J3345" s="176"/>
      <c r="K3345" s="176"/>
      <c r="L3345" s="176"/>
      <c r="M3345" s="176"/>
      <c r="N3345" s="176"/>
      <c r="O3345" s="176"/>
      <c r="P3345" s="176"/>
      <c r="Q3345" s="176"/>
      <c r="R3345" s="176"/>
      <c r="S3345" s="176"/>
      <c r="T3345" s="176"/>
      <c r="U3345" s="176"/>
      <c r="V3345" s="176"/>
      <c r="W3345" s="176"/>
      <c r="X3345" s="176"/>
      <c r="Y3345" s="176"/>
    </row>
    <row r="3346" spans="1:25">
      <c r="A3346" s="91"/>
      <c r="B3346" s="176"/>
      <c r="C3346" s="176"/>
      <c r="D3346" s="176"/>
      <c r="E3346" s="176"/>
      <c r="F3346" s="176"/>
      <c r="G3346" s="176"/>
      <c r="H3346" s="176"/>
      <c r="I3346" s="176"/>
      <c r="J3346" s="176"/>
      <c r="K3346" s="176"/>
      <c r="L3346" s="176"/>
      <c r="M3346" s="176"/>
      <c r="N3346" s="176"/>
      <c r="O3346" s="176"/>
      <c r="P3346" s="176"/>
      <c r="Q3346" s="176"/>
      <c r="R3346" s="176"/>
      <c r="S3346" s="176"/>
      <c r="T3346" s="176"/>
      <c r="U3346" s="176"/>
      <c r="V3346" s="176"/>
      <c r="W3346" s="176"/>
      <c r="X3346" s="176"/>
      <c r="Y3346" s="176"/>
    </row>
    <row r="3347" spans="1:25">
      <c r="A3347" s="91"/>
      <c r="B3347" s="176"/>
      <c r="C3347" s="176"/>
      <c r="D3347" s="176"/>
      <c r="E3347" s="176"/>
      <c r="F3347" s="176"/>
      <c r="G3347" s="176"/>
      <c r="H3347" s="176"/>
      <c r="I3347" s="176"/>
      <c r="J3347" s="176"/>
      <c r="K3347" s="176"/>
      <c r="L3347" s="176"/>
      <c r="M3347" s="176"/>
      <c r="N3347" s="176"/>
      <c r="O3347" s="176"/>
      <c r="P3347" s="176"/>
      <c r="Q3347" s="176"/>
      <c r="R3347" s="176"/>
      <c r="S3347" s="176"/>
      <c r="T3347" s="176"/>
      <c r="U3347" s="176"/>
      <c r="V3347" s="176"/>
      <c r="W3347" s="176"/>
      <c r="X3347" s="176"/>
      <c r="Y3347" s="176"/>
    </row>
    <row r="3348" spans="1:25">
      <c r="A3348" s="91"/>
      <c r="B3348" s="176"/>
      <c r="C3348" s="176"/>
      <c r="D3348" s="176"/>
      <c r="E3348" s="176"/>
      <c r="F3348" s="176"/>
      <c r="G3348" s="176"/>
      <c r="H3348" s="176"/>
      <c r="I3348" s="176"/>
      <c r="J3348" s="176"/>
      <c r="K3348" s="176"/>
      <c r="L3348" s="176"/>
      <c r="M3348" s="176"/>
      <c r="N3348" s="176"/>
      <c r="O3348" s="176"/>
      <c r="P3348" s="176"/>
      <c r="Q3348" s="176"/>
      <c r="R3348" s="176"/>
      <c r="S3348" s="176"/>
      <c r="T3348" s="176"/>
      <c r="U3348" s="176"/>
      <c r="V3348" s="176"/>
      <c r="W3348" s="176"/>
      <c r="X3348" s="176"/>
      <c r="Y3348" s="176"/>
    </row>
    <row r="3349" spans="1:25">
      <c r="A3349" s="91"/>
      <c r="B3349" s="176"/>
      <c r="C3349" s="176"/>
      <c r="D3349" s="176"/>
      <c r="E3349" s="176"/>
      <c r="F3349" s="176"/>
      <c r="G3349" s="176"/>
      <c r="H3349" s="176"/>
      <c r="I3349" s="176"/>
      <c r="J3349" s="176"/>
      <c r="K3349" s="176"/>
      <c r="L3349" s="176"/>
      <c r="M3349" s="176"/>
      <c r="N3349" s="176"/>
      <c r="O3349" s="176"/>
      <c r="P3349" s="176"/>
      <c r="Q3349" s="176"/>
      <c r="R3349" s="176"/>
      <c r="S3349" s="176"/>
      <c r="T3349" s="176"/>
      <c r="U3349" s="176"/>
      <c r="V3349" s="176"/>
      <c r="W3349" s="176"/>
      <c r="X3349" s="176"/>
      <c r="Y3349" s="176"/>
    </row>
    <row r="3350" spans="1:25">
      <c r="A3350" s="91"/>
      <c r="B3350" s="176"/>
      <c r="C3350" s="176"/>
      <c r="D3350" s="176"/>
      <c r="E3350" s="176"/>
      <c r="F3350" s="176"/>
      <c r="G3350" s="176"/>
      <c r="H3350" s="176"/>
      <c r="I3350" s="176"/>
      <c r="J3350" s="176"/>
      <c r="K3350" s="176"/>
      <c r="L3350" s="176"/>
      <c r="M3350" s="176"/>
      <c r="N3350" s="176"/>
      <c r="O3350" s="176"/>
      <c r="P3350" s="176"/>
      <c r="Q3350" s="176"/>
      <c r="R3350" s="176"/>
      <c r="S3350" s="176"/>
      <c r="T3350" s="176"/>
      <c r="U3350" s="176"/>
      <c r="V3350" s="176"/>
      <c r="W3350" s="176"/>
      <c r="X3350" s="176"/>
      <c r="Y3350" s="176"/>
    </row>
    <row r="3351" spans="1:25">
      <c r="A3351" s="91"/>
      <c r="B3351" s="176"/>
      <c r="C3351" s="176"/>
      <c r="D3351" s="176"/>
      <c r="E3351" s="176"/>
      <c r="F3351" s="176"/>
      <c r="G3351" s="176"/>
      <c r="H3351" s="176"/>
      <c r="I3351" s="176"/>
      <c r="J3351" s="176"/>
      <c r="K3351" s="176"/>
      <c r="L3351" s="176"/>
      <c r="M3351" s="176"/>
      <c r="N3351" s="176"/>
      <c r="O3351" s="176"/>
      <c r="P3351" s="176"/>
      <c r="Q3351" s="176"/>
      <c r="R3351" s="176"/>
      <c r="S3351" s="176"/>
      <c r="T3351" s="176"/>
      <c r="U3351" s="176"/>
      <c r="V3351" s="176"/>
      <c r="W3351" s="176"/>
      <c r="X3351" s="176"/>
      <c r="Y3351" s="176"/>
    </row>
    <row r="3352" spans="1:25">
      <c r="A3352" s="91"/>
      <c r="B3352" s="176"/>
      <c r="C3352" s="176"/>
      <c r="D3352" s="176"/>
      <c r="E3352" s="176"/>
      <c r="F3352" s="176"/>
      <c r="G3352" s="176"/>
      <c r="H3352" s="176"/>
      <c r="I3352" s="176"/>
      <c r="J3352" s="176"/>
      <c r="K3352" s="176"/>
      <c r="L3352" s="176"/>
      <c r="M3352" s="176"/>
      <c r="N3352" s="176"/>
      <c r="O3352" s="176"/>
      <c r="P3352" s="176"/>
      <c r="Q3352" s="176"/>
      <c r="R3352" s="176"/>
      <c r="S3352" s="176"/>
      <c r="T3352" s="176"/>
      <c r="U3352" s="176"/>
      <c r="V3352" s="176"/>
      <c r="W3352" s="176"/>
      <c r="X3352" s="176"/>
      <c r="Y3352" s="176"/>
    </row>
    <row r="3353" spans="1:25">
      <c r="A3353" s="91"/>
      <c r="B3353" s="176"/>
      <c r="C3353" s="176"/>
      <c r="D3353" s="176"/>
      <c r="E3353" s="176"/>
      <c r="F3353" s="176"/>
      <c r="G3353" s="176"/>
      <c r="H3353" s="176"/>
      <c r="I3353" s="176"/>
      <c r="J3353" s="176"/>
      <c r="K3353" s="176"/>
      <c r="L3353" s="176"/>
      <c r="M3353" s="176"/>
      <c r="N3353" s="176"/>
      <c r="O3353" s="176"/>
      <c r="P3353" s="176"/>
      <c r="Q3353" s="176"/>
      <c r="R3353" s="176"/>
      <c r="S3353" s="176"/>
      <c r="T3353" s="176"/>
      <c r="U3353" s="176"/>
      <c r="V3353" s="176"/>
      <c r="W3353" s="176"/>
      <c r="X3353" s="176"/>
      <c r="Y3353" s="176"/>
    </row>
    <row r="3354" spans="1:25">
      <c r="A3354" s="91"/>
      <c r="B3354" s="176"/>
      <c r="C3354" s="176"/>
      <c r="D3354" s="176"/>
      <c r="E3354" s="176"/>
      <c r="F3354" s="176"/>
      <c r="G3354" s="176"/>
      <c r="H3354" s="176"/>
      <c r="I3354" s="176"/>
      <c r="J3354" s="176"/>
      <c r="K3354" s="176"/>
      <c r="L3354" s="176"/>
      <c r="M3354" s="176"/>
      <c r="N3354" s="176"/>
      <c r="O3354" s="176"/>
      <c r="P3354" s="176"/>
      <c r="Q3354" s="176"/>
      <c r="R3354" s="176"/>
      <c r="S3354" s="176"/>
      <c r="T3354" s="176"/>
      <c r="U3354" s="176"/>
      <c r="V3354" s="176"/>
      <c r="W3354" s="176"/>
      <c r="X3354" s="176"/>
      <c r="Y3354" s="176"/>
    </row>
    <row r="3355" spans="1:25">
      <c r="A3355" s="91"/>
      <c r="B3355" s="176"/>
      <c r="C3355" s="176"/>
      <c r="D3355" s="176"/>
      <c r="E3355" s="176"/>
      <c r="F3355" s="176"/>
      <c r="G3355" s="176"/>
      <c r="H3355" s="176"/>
      <c r="I3355" s="176"/>
      <c r="J3355" s="176"/>
      <c r="K3355" s="176"/>
      <c r="L3355" s="176"/>
      <c r="M3355" s="176"/>
      <c r="N3355" s="176"/>
      <c r="O3355" s="176"/>
      <c r="P3355" s="176"/>
      <c r="Q3355" s="176"/>
      <c r="R3355" s="176"/>
      <c r="S3355" s="176"/>
      <c r="T3355" s="176"/>
      <c r="U3355" s="176"/>
      <c r="V3355" s="176"/>
      <c r="W3355" s="176"/>
      <c r="X3355" s="176"/>
      <c r="Y3355" s="176"/>
    </row>
    <row r="3356" spans="1:25">
      <c r="A3356" s="91"/>
      <c r="B3356" s="176"/>
      <c r="C3356" s="176"/>
      <c r="D3356" s="176"/>
      <c r="E3356" s="176"/>
      <c r="F3356" s="176"/>
      <c r="G3356" s="176"/>
      <c r="H3356" s="176"/>
      <c r="I3356" s="176"/>
      <c r="J3356" s="176"/>
      <c r="K3356" s="176"/>
      <c r="L3356" s="176"/>
      <c r="M3356" s="176"/>
      <c r="N3356" s="176"/>
      <c r="O3356" s="176"/>
      <c r="P3356" s="176"/>
      <c r="Q3356" s="176"/>
      <c r="R3356" s="176"/>
      <c r="S3356" s="176"/>
      <c r="T3356" s="176"/>
      <c r="U3356" s="176"/>
      <c r="V3356" s="176"/>
      <c r="W3356" s="176"/>
      <c r="X3356" s="176"/>
      <c r="Y3356" s="176"/>
    </row>
    <row r="3357" spans="1:25">
      <c r="A3357" s="91"/>
      <c r="B3357" s="176"/>
      <c r="C3357" s="176"/>
      <c r="D3357" s="176"/>
      <c r="E3357" s="176"/>
      <c r="F3357" s="176"/>
      <c r="G3357" s="176"/>
      <c r="H3357" s="176"/>
      <c r="I3357" s="176"/>
      <c r="J3357" s="176"/>
      <c r="K3357" s="176"/>
      <c r="L3357" s="176"/>
      <c r="M3357" s="176"/>
      <c r="N3357" s="176"/>
      <c r="O3357" s="176"/>
      <c r="P3357" s="176"/>
      <c r="Q3357" s="176"/>
      <c r="R3357" s="176"/>
      <c r="S3357" s="176"/>
      <c r="T3357" s="176"/>
      <c r="U3357" s="176"/>
      <c r="V3357" s="176"/>
      <c r="W3357" s="176"/>
      <c r="X3357" s="176"/>
      <c r="Y3357" s="176"/>
    </row>
    <row r="3358" spans="1:25">
      <c r="A3358" s="91"/>
      <c r="B3358" s="176"/>
      <c r="C3358" s="176"/>
      <c r="D3358" s="176"/>
      <c r="E3358" s="176"/>
      <c r="F3358" s="176"/>
      <c r="G3358" s="176"/>
      <c r="H3358" s="176"/>
      <c r="I3358" s="176"/>
      <c r="J3358" s="176"/>
      <c r="K3358" s="176"/>
      <c r="L3358" s="176"/>
      <c r="M3358" s="176"/>
      <c r="N3358" s="176"/>
      <c r="O3358" s="176"/>
      <c r="P3358" s="176"/>
      <c r="Q3358" s="176"/>
      <c r="R3358" s="176"/>
      <c r="S3358" s="176"/>
      <c r="T3358" s="176"/>
      <c r="U3358" s="176"/>
      <c r="V3358" s="176"/>
      <c r="W3358" s="176"/>
      <c r="X3358" s="176"/>
      <c r="Y3358" s="176"/>
    </row>
    <row r="3359" spans="1:25">
      <c r="A3359" s="91"/>
      <c r="B3359" s="176"/>
      <c r="C3359" s="176"/>
      <c r="D3359" s="176"/>
      <c r="E3359" s="176"/>
      <c r="F3359" s="176"/>
      <c r="G3359" s="176"/>
      <c r="H3359" s="176"/>
      <c r="I3359" s="176"/>
      <c r="J3359" s="176"/>
      <c r="K3359" s="176"/>
      <c r="L3359" s="176"/>
      <c r="M3359" s="176"/>
      <c r="N3359" s="176"/>
      <c r="O3359" s="176"/>
      <c r="P3359" s="176"/>
      <c r="Q3359" s="176"/>
      <c r="R3359" s="176"/>
      <c r="S3359" s="176"/>
      <c r="T3359" s="176"/>
      <c r="U3359" s="176"/>
      <c r="V3359" s="176"/>
      <c r="W3359" s="176"/>
      <c r="X3359" s="176"/>
      <c r="Y3359" s="176"/>
    </row>
    <row r="3360" spans="1:25">
      <c r="A3360" s="91"/>
      <c r="B3360" s="176"/>
      <c r="C3360" s="176"/>
      <c r="D3360" s="176"/>
      <c r="E3360" s="176"/>
      <c r="F3360" s="176"/>
      <c r="G3360" s="176"/>
      <c r="H3360" s="176"/>
      <c r="I3360" s="176"/>
      <c r="J3360" s="176"/>
      <c r="K3360" s="176"/>
      <c r="L3360" s="176"/>
      <c r="M3360" s="176"/>
      <c r="N3360" s="176"/>
      <c r="O3360" s="176"/>
      <c r="P3360" s="176"/>
      <c r="Q3360" s="176"/>
      <c r="R3360" s="176"/>
      <c r="S3360" s="176"/>
      <c r="T3360" s="176"/>
      <c r="U3360" s="176"/>
      <c r="V3360" s="176"/>
      <c r="W3360" s="176"/>
      <c r="X3360" s="176"/>
      <c r="Y3360" s="176"/>
    </row>
    <row r="3361" spans="1:25">
      <c r="A3361" s="91"/>
      <c r="B3361" s="176"/>
      <c r="C3361" s="176"/>
      <c r="D3361" s="176"/>
      <c r="E3361" s="176"/>
      <c r="F3361" s="176"/>
      <c r="G3361" s="176"/>
      <c r="H3361" s="176"/>
      <c r="I3361" s="176"/>
      <c r="J3361" s="176"/>
      <c r="K3361" s="176"/>
      <c r="L3361" s="176"/>
      <c r="M3361" s="176"/>
      <c r="N3361" s="176"/>
      <c r="O3361" s="176"/>
      <c r="P3361" s="176"/>
      <c r="Q3361" s="176"/>
      <c r="R3361" s="176"/>
      <c r="S3361" s="176"/>
      <c r="T3361" s="176"/>
      <c r="U3361" s="176"/>
      <c r="V3361" s="176"/>
      <c r="W3361" s="176"/>
      <c r="X3361" s="176"/>
      <c r="Y3361" s="176"/>
    </row>
    <row r="3362" spans="1:25">
      <c r="A3362" s="91"/>
      <c r="B3362" s="176"/>
      <c r="C3362" s="176"/>
      <c r="D3362" s="176"/>
      <c r="E3362" s="176"/>
      <c r="F3362" s="176"/>
      <c r="G3362" s="176"/>
      <c r="H3362" s="176"/>
      <c r="I3362" s="176"/>
      <c r="J3362" s="176"/>
      <c r="K3362" s="176"/>
      <c r="L3362" s="176"/>
      <c r="M3362" s="176"/>
      <c r="N3362" s="176"/>
      <c r="O3362" s="176"/>
      <c r="P3362" s="176"/>
      <c r="Q3362" s="176"/>
      <c r="R3362" s="176"/>
      <c r="S3362" s="176"/>
      <c r="T3362" s="176"/>
      <c r="U3362" s="176"/>
      <c r="V3362" s="176"/>
      <c r="W3362" s="176"/>
      <c r="X3362" s="176"/>
      <c r="Y3362" s="176"/>
    </row>
    <row r="3363" spans="1:25">
      <c r="A3363" s="91"/>
      <c r="B3363" s="176"/>
      <c r="C3363" s="176"/>
      <c r="D3363" s="176"/>
      <c r="E3363" s="176"/>
      <c r="F3363" s="176"/>
      <c r="G3363" s="176"/>
      <c r="H3363" s="176"/>
      <c r="I3363" s="176"/>
      <c r="J3363" s="176"/>
      <c r="K3363" s="176"/>
      <c r="L3363" s="176"/>
      <c r="M3363" s="176"/>
      <c r="N3363" s="176"/>
      <c r="O3363" s="176"/>
      <c r="P3363" s="176"/>
      <c r="Q3363" s="176"/>
      <c r="R3363" s="176"/>
      <c r="S3363" s="176"/>
      <c r="T3363" s="176"/>
      <c r="U3363" s="176"/>
      <c r="V3363" s="176"/>
      <c r="W3363" s="176"/>
      <c r="X3363" s="176"/>
      <c r="Y3363" s="176"/>
    </row>
    <row r="3364" spans="1:25">
      <c r="A3364" s="91"/>
      <c r="B3364" s="176"/>
      <c r="C3364" s="176"/>
      <c r="D3364" s="176"/>
      <c r="E3364" s="176"/>
      <c r="F3364" s="176"/>
      <c r="G3364" s="176"/>
      <c r="H3364" s="176"/>
      <c r="I3364" s="176"/>
      <c r="J3364" s="176"/>
      <c r="K3364" s="176"/>
      <c r="L3364" s="176"/>
      <c r="M3364" s="176"/>
      <c r="N3364" s="176"/>
      <c r="O3364" s="176"/>
      <c r="P3364" s="176"/>
      <c r="Q3364" s="176"/>
      <c r="R3364" s="176"/>
      <c r="S3364" s="176"/>
      <c r="T3364" s="176"/>
      <c r="U3364" s="176"/>
      <c r="V3364" s="176"/>
      <c r="W3364" s="176"/>
      <c r="X3364" s="176"/>
      <c r="Y3364" s="176"/>
    </row>
    <row r="3365" spans="1:25">
      <c r="A3365" s="91"/>
      <c r="B3365" s="176"/>
      <c r="C3365" s="176"/>
      <c r="D3365" s="176"/>
      <c r="E3365" s="176"/>
      <c r="F3365" s="176"/>
      <c r="G3365" s="176"/>
      <c r="H3365" s="176"/>
      <c r="I3365" s="176"/>
      <c r="J3365" s="176"/>
      <c r="K3365" s="176"/>
      <c r="L3365" s="176"/>
      <c r="M3365" s="176"/>
      <c r="N3365" s="176"/>
      <c r="O3365" s="176"/>
      <c r="P3365" s="176"/>
      <c r="Q3365" s="176"/>
      <c r="R3365" s="176"/>
      <c r="S3365" s="176"/>
      <c r="T3365" s="176"/>
      <c r="U3365" s="176"/>
      <c r="V3365" s="176"/>
      <c r="W3365" s="176"/>
      <c r="X3365" s="176"/>
      <c r="Y3365" s="176"/>
    </row>
    <row r="3366" spans="1:25">
      <c r="A3366" s="91"/>
      <c r="B3366" s="176"/>
      <c r="C3366" s="176"/>
      <c r="D3366" s="176"/>
      <c r="E3366" s="176"/>
      <c r="F3366" s="176"/>
      <c r="G3366" s="176"/>
      <c r="H3366" s="176"/>
      <c r="I3366" s="176"/>
      <c r="J3366" s="176"/>
      <c r="K3366" s="176"/>
      <c r="L3366" s="176"/>
      <c r="M3366" s="176"/>
      <c r="N3366" s="176"/>
      <c r="O3366" s="176"/>
      <c r="P3366" s="176"/>
      <c r="Q3366" s="176"/>
      <c r="R3366" s="176"/>
      <c r="S3366" s="176"/>
      <c r="T3366" s="176"/>
      <c r="U3366" s="176"/>
      <c r="V3366" s="176"/>
      <c r="W3366" s="176"/>
      <c r="X3366" s="176"/>
      <c r="Y3366" s="176"/>
    </row>
    <row r="3367" spans="1:25">
      <c r="A3367" s="91"/>
      <c r="B3367" s="176"/>
      <c r="C3367" s="176"/>
      <c r="D3367" s="176"/>
      <c r="E3367" s="176"/>
      <c r="F3367" s="176"/>
      <c r="G3367" s="176"/>
      <c r="H3367" s="176"/>
      <c r="I3367" s="176"/>
      <c r="J3367" s="176"/>
      <c r="K3367" s="176"/>
      <c r="L3367" s="176"/>
      <c r="M3367" s="176"/>
      <c r="N3367" s="176"/>
      <c r="O3367" s="176"/>
      <c r="P3367" s="176"/>
      <c r="Q3367" s="176"/>
      <c r="R3367" s="176"/>
      <c r="S3367" s="176"/>
      <c r="T3367" s="176"/>
      <c r="U3367" s="176"/>
      <c r="V3367" s="176"/>
      <c r="W3367" s="176"/>
      <c r="X3367" s="176"/>
      <c r="Y3367" s="176"/>
    </row>
    <row r="3368" spans="1:25">
      <c r="A3368" s="91"/>
      <c r="B3368" s="176"/>
      <c r="C3368" s="176"/>
      <c r="D3368" s="176"/>
      <c r="E3368" s="176"/>
      <c r="F3368" s="176"/>
      <c r="G3368" s="176"/>
      <c r="H3368" s="176"/>
      <c r="I3368" s="176"/>
      <c r="J3368" s="176"/>
      <c r="K3368" s="176"/>
      <c r="L3368" s="176"/>
      <c r="M3368" s="176"/>
      <c r="N3368" s="176"/>
      <c r="O3368" s="176"/>
      <c r="P3368" s="176"/>
      <c r="Q3368" s="176"/>
      <c r="R3368" s="176"/>
      <c r="S3368" s="176"/>
      <c r="T3368" s="176"/>
      <c r="U3368" s="176"/>
      <c r="V3368" s="176"/>
      <c r="W3368" s="176"/>
      <c r="X3368" s="176"/>
      <c r="Y3368" s="176"/>
    </row>
    <row r="3369" spans="1:25">
      <c r="A3369" s="91"/>
      <c r="B3369" s="176"/>
      <c r="C3369" s="176"/>
      <c r="D3369" s="176"/>
      <c r="E3369" s="176"/>
      <c r="F3369" s="176"/>
      <c r="G3369" s="176"/>
      <c r="H3369" s="176"/>
      <c r="I3369" s="176"/>
      <c r="J3369" s="176"/>
      <c r="K3369" s="176"/>
      <c r="L3369" s="176"/>
      <c r="M3369" s="176"/>
      <c r="N3369" s="176"/>
      <c r="O3369" s="176"/>
      <c r="P3369" s="176"/>
      <c r="Q3369" s="176"/>
      <c r="R3369" s="176"/>
      <c r="S3369" s="176"/>
      <c r="T3369" s="176"/>
      <c r="U3369" s="176"/>
      <c r="V3369" s="176"/>
      <c r="W3369" s="176"/>
      <c r="X3369" s="176"/>
      <c r="Y3369" s="176"/>
    </row>
    <row r="3370" spans="1:25">
      <c r="A3370" s="91"/>
      <c r="B3370" s="176"/>
      <c r="C3370" s="176"/>
      <c r="D3370" s="176"/>
      <c r="E3370" s="176"/>
      <c r="F3370" s="176"/>
      <c r="G3370" s="176"/>
      <c r="H3370" s="176"/>
      <c r="I3370" s="176"/>
      <c r="J3370" s="176"/>
      <c r="K3370" s="176"/>
      <c r="L3370" s="176"/>
      <c r="M3370" s="176"/>
      <c r="N3370" s="176"/>
      <c r="O3370" s="176"/>
      <c r="P3370" s="176"/>
      <c r="Q3370" s="176"/>
      <c r="R3370" s="176"/>
      <c r="S3370" s="176"/>
      <c r="T3370" s="176"/>
      <c r="U3370" s="176"/>
      <c r="V3370" s="176"/>
      <c r="W3370" s="176"/>
      <c r="X3370" s="176"/>
      <c r="Y3370" s="176"/>
    </row>
    <row r="3371" spans="1:25">
      <c r="A3371" s="91"/>
      <c r="B3371" s="176"/>
      <c r="C3371" s="176"/>
      <c r="D3371" s="176"/>
      <c r="E3371" s="176"/>
      <c r="F3371" s="176"/>
      <c r="G3371" s="176"/>
      <c r="H3371" s="176"/>
      <c r="I3371" s="176"/>
      <c r="J3371" s="176"/>
      <c r="K3371" s="176"/>
      <c r="L3371" s="176"/>
      <c r="M3371" s="176"/>
      <c r="N3371" s="176"/>
      <c r="O3371" s="176"/>
      <c r="P3371" s="176"/>
      <c r="Q3371" s="176"/>
      <c r="R3371" s="176"/>
      <c r="S3371" s="176"/>
      <c r="T3371" s="176"/>
      <c r="U3371" s="176"/>
      <c r="V3371" s="176"/>
      <c r="W3371" s="176"/>
      <c r="X3371" s="176"/>
      <c r="Y3371" s="176"/>
    </row>
    <row r="3372" spans="1:25">
      <c r="A3372" s="91"/>
      <c r="B3372" s="176"/>
      <c r="C3372" s="176"/>
      <c r="D3372" s="176"/>
      <c r="E3372" s="176"/>
      <c r="F3372" s="176"/>
      <c r="G3372" s="176"/>
      <c r="H3372" s="176"/>
      <c r="I3372" s="176"/>
      <c r="J3372" s="176"/>
      <c r="K3372" s="176"/>
      <c r="L3372" s="176"/>
      <c r="M3372" s="176"/>
      <c r="N3372" s="176"/>
      <c r="O3372" s="176"/>
      <c r="P3372" s="176"/>
      <c r="Q3372" s="176"/>
      <c r="R3372" s="176"/>
      <c r="S3372" s="176"/>
      <c r="T3372" s="176"/>
      <c r="U3372" s="176"/>
      <c r="V3372" s="176"/>
      <c r="W3372" s="176"/>
      <c r="X3372" s="176"/>
      <c r="Y3372" s="176"/>
    </row>
    <row r="3373" spans="1:25">
      <c r="A3373" s="91"/>
      <c r="B3373" s="176"/>
      <c r="C3373" s="176"/>
      <c r="D3373" s="176"/>
      <c r="E3373" s="176"/>
      <c r="F3373" s="176"/>
      <c r="G3373" s="176"/>
      <c r="H3373" s="176"/>
      <c r="I3373" s="176"/>
      <c r="J3373" s="176"/>
      <c r="K3373" s="176"/>
      <c r="L3373" s="176"/>
      <c r="M3373" s="176"/>
      <c r="N3373" s="176"/>
      <c r="O3373" s="176"/>
      <c r="P3373" s="176"/>
      <c r="Q3373" s="176"/>
      <c r="R3373" s="176"/>
      <c r="S3373" s="176"/>
      <c r="T3373" s="176"/>
      <c r="U3373" s="176"/>
      <c r="V3373" s="176"/>
      <c r="W3373" s="176"/>
      <c r="X3373" s="176"/>
      <c r="Y3373" s="176"/>
    </row>
    <row r="3374" spans="1:25">
      <c r="A3374" s="91"/>
      <c r="B3374" s="176"/>
      <c r="C3374" s="176"/>
      <c r="D3374" s="176"/>
      <c r="E3374" s="176"/>
      <c r="F3374" s="176"/>
      <c r="G3374" s="176"/>
      <c r="H3374" s="176"/>
      <c r="I3374" s="176"/>
      <c r="J3374" s="176"/>
      <c r="K3374" s="176"/>
      <c r="L3374" s="176"/>
      <c r="M3374" s="176"/>
      <c r="N3374" s="176"/>
      <c r="O3374" s="176"/>
      <c r="P3374" s="176"/>
      <c r="Q3374" s="176"/>
      <c r="R3374" s="176"/>
      <c r="S3374" s="176"/>
      <c r="T3374" s="176"/>
      <c r="U3374" s="176"/>
      <c r="V3374" s="176"/>
      <c r="W3374" s="176"/>
      <c r="X3374" s="176"/>
      <c r="Y3374" s="176"/>
    </row>
    <row r="3375" spans="1:25">
      <c r="A3375" s="91"/>
      <c r="B3375" s="176"/>
      <c r="C3375" s="176"/>
      <c r="D3375" s="176"/>
      <c r="E3375" s="176"/>
      <c r="F3375" s="176"/>
      <c r="G3375" s="176"/>
      <c r="H3375" s="176"/>
      <c r="I3375" s="176"/>
      <c r="J3375" s="176"/>
      <c r="K3375" s="176"/>
      <c r="L3375" s="176"/>
      <c r="M3375" s="176"/>
      <c r="N3375" s="176"/>
      <c r="O3375" s="176"/>
      <c r="P3375" s="176"/>
      <c r="Q3375" s="176"/>
      <c r="R3375" s="176"/>
      <c r="S3375" s="176"/>
      <c r="T3375" s="176"/>
      <c r="U3375" s="176"/>
      <c r="V3375" s="176"/>
      <c r="W3375" s="176"/>
      <c r="X3375" s="176"/>
      <c r="Y3375" s="176"/>
    </row>
    <row r="3376" spans="1:25">
      <c r="A3376" s="91"/>
      <c r="B3376" s="176"/>
      <c r="C3376" s="176"/>
      <c r="D3376" s="176"/>
      <c r="E3376" s="176"/>
      <c r="F3376" s="176"/>
      <c r="G3376" s="176"/>
      <c r="H3376" s="176"/>
      <c r="I3376" s="176"/>
      <c r="J3376" s="176"/>
      <c r="K3376" s="176"/>
      <c r="L3376" s="176"/>
      <c r="M3376" s="176"/>
      <c r="N3376" s="176"/>
      <c r="O3376" s="176"/>
      <c r="P3376" s="176"/>
      <c r="Q3376" s="176"/>
      <c r="R3376" s="176"/>
      <c r="S3376" s="176"/>
      <c r="T3376" s="176"/>
      <c r="U3376" s="176"/>
      <c r="V3376" s="176"/>
      <c r="W3376" s="176"/>
      <c r="X3376" s="176"/>
      <c r="Y3376" s="176"/>
    </row>
    <row r="3377" spans="1:25">
      <c r="A3377" s="91"/>
      <c r="B3377" s="176"/>
      <c r="C3377" s="176"/>
      <c r="D3377" s="176"/>
      <c r="E3377" s="176"/>
      <c r="F3377" s="176"/>
      <c r="G3377" s="176"/>
      <c r="H3377" s="176"/>
      <c r="I3377" s="176"/>
      <c r="J3377" s="176"/>
      <c r="K3377" s="176"/>
      <c r="L3377" s="176"/>
      <c r="M3377" s="176"/>
      <c r="N3377" s="176"/>
      <c r="O3377" s="176"/>
      <c r="P3377" s="176"/>
      <c r="Q3377" s="176"/>
      <c r="R3377" s="176"/>
      <c r="S3377" s="176"/>
      <c r="T3377" s="176"/>
      <c r="U3377" s="176"/>
      <c r="V3377" s="176"/>
      <c r="W3377" s="176"/>
      <c r="X3377" s="176"/>
      <c r="Y3377" s="176"/>
    </row>
    <row r="3378" spans="1:25">
      <c r="A3378" s="91"/>
      <c r="B3378" s="176"/>
      <c r="C3378" s="176"/>
      <c r="D3378" s="176"/>
      <c r="E3378" s="176"/>
      <c r="F3378" s="176"/>
      <c r="G3378" s="176"/>
      <c r="H3378" s="176"/>
      <c r="I3378" s="176"/>
      <c r="J3378" s="176"/>
      <c r="K3378" s="176"/>
      <c r="L3378" s="176"/>
      <c r="M3378" s="176"/>
      <c r="N3378" s="176"/>
      <c r="O3378" s="176"/>
      <c r="P3378" s="176"/>
      <c r="Q3378" s="176"/>
      <c r="R3378" s="176"/>
      <c r="S3378" s="176"/>
      <c r="T3378" s="176"/>
      <c r="U3378" s="176"/>
      <c r="V3378" s="176"/>
      <c r="W3378" s="176"/>
      <c r="X3378" s="176"/>
      <c r="Y3378" s="176"/>
    </row>
    <row r="3379" spans="1:25">
      <c r="A3379" s="91"/>
      <c r="B3379" s="176"/>
      <c r="C3379" s="176"/>
      <c r="D3379" s="176"/>
      <c r="E3379" s="176"/>
      <c r="F3379" s="176"/>
      <c r="G3379" s="176"/>
      <c r="H3379" s="176"/>
      <c r="I3379" s="176"/>
      <c r="J3379" s="176"/>
      <c r="K3379" s="176"/>
      <c r="L3379" s="176"/>
      <c r="M3379" s="176"/>
      <c r="N3379" s="176"/>
      <c r="O3379" s="176"/>
      <c r="P3379" s="176"/>
      <c r="Q3379" s="176"/>
      <c r="R3379" s="176"/>
      <c r="S3379" s="176"/>
      <c r="T3379" s="176"/>
      <c r="U3379" s="176"/>
      <c r="V3379" s="176"/>
      <c r="W3379" s="176"/>
      <c r="X3379" s="176"/>
      <c r="Y3379" s="176"/>
    </row>
    <row r="3380" spans="1:25">
      <c r="A3380" s="91"/>
      <c r="B3380" s="176"/>
      <c r="C3380" s="176"/>
      <c r="D3380" s="176"/>
      <c r="E3380" s="176"/>
      <c r="F3380" s="176"/>
      <c r="G3380" s="176"/>
      <c r="H3380" s="176"/>
      <c r="I3380" s="176"/>
      <c r="J3380" s="176"/>
      <c r="K3380" s="176"/>
      <c r="L3380" s="176"/>
      <c r="M3380" s="176"/>
      <c r="N3380" s="176"/>
      <c r="O3380" s="176"/>
      <c r="P3380" s="176"/>
      <c r="Q3380" s="176"/>
      <c r="R3380" s="176"/>
      <c r="S3380" s="176"/>
      <c r="T3380" s="176"/>
      <c r="U3380" s="176"/>
      <c r="V3380" s="176"/>
      <c r="W3380" s="176"/>
      <c r="X3380" s="176"/>
      <c r="Y3380" s="176"/>
    </row>
    <row r="3381" spans="1:25">
      <c r="A3381" s="91"/>
      <c r="B3381" s="176"/>
      <c r="C3381" s="176"/>
      <c r="D3381" s="176"/>
      <c r="E3381" s="176"/>
      <c r="F3381" s="176"/>
      <c r="G3381" s="176"/>
      <c r="H3381" s="176"/>
      <c r="I3381" s="176"/>
      <c r="J3381" s="176"/>
      <c r="K3381" s="176"/>
      <c r="L3381" s="176"/>
      <c r="M3381" s="176"/>
      <c r="N3381" s="176"/>
      <c r="O3381" s="176"/>
      <c r="P3381" s="176"/>
      <c r="Q3381" s="176"/>
      <c r="R3381" s="176"/>
      <c r="S3381" s="176"/>
      <c r="T3381" s="176"/>
      <c r="U3381" s="176"/>
      <c r="V3381" s="176"/>
      <c r="W3381" s="176"/>
      <c r="X3381" s="176"/>
      <c r="Y3381" s="176"/>
    </row>
    <row r="3382" spans="1:25">
      <c r="A3382" s="91"/>
      <c r="B3382" s="176"/>
      <c r="C3382" s="176"/>
      <c r="D3382" s="176"/>
      <c r="E3382" s="176"/>
      <c r="F3382" s="176"/>
      <c r="G3382" s="176"/>
      <c r="H3382" s="176"/>
      <c r="I3382" s="176"/>
      <c r="J3382" s="176"/>
      <c r="K3382" s="176"/>
      <c r="L3382" s="176"/>
      <c r="M3382" s="176"/>
      <c r="N3382" s="176"/>
      <c r="O3382" s="176"/>
      <c r="P3382" s="176"/>
      <c r="Q3382" s="176"/>
      <c r="R3382" s="176"/>
      <c r="S3382" s="176"/>
      <c r="T3382" s="176"/>
      <c r="U3382" s="176"/>
      <c r="V3382" s="176"/>
      <c r="W3382" s="176"/>
      <c r="X3382" s="176"/>
      <c r="Y3382" s="176"/>
    </row>
    <row r="3383" spans="1:25">
      <c r="A3383" s="91"/>
      <c r="B3383" s="176"/>
      <c r="C3383" s="176"/>
      <c r="D3383" s="176"/>
      <c r="E3383" s="176"/>
      <c r="F3383" s="176"/>
      <c r="G3383" s="176"/>
      <c r="H3383" s="176"/>
      <c r="I3383" s="176"/>
      <c r="J3383" s="176"/>
      <c r="K3383" s="176"/>
      <c r="L3383" s="176"/>
      <c r="M3383" s="176"/>
      <c r="N3383" s="176"/>
      <c r="O3383" s="176"/>
      <c r="P3383" s="176"/>
      <c r="Q3383" s="176"/>
      <c r="R3383" s="176"/>
      <c r="S3383" s="176"/>
      <c r="T3383" s="176"/>
      <c r="U3383" s="176"/>
      <c r="V3383" s="176"/>
      <c r="W3383" s="176"/>
      <c r="X3383" s="176"/>
      <c r="Y3383" s="176"/>
    </row>
    <row r="3384" spans="1:25">
      <c r="A3384" s="91"/>
      <c r="B3384" s="176"/>
      <c r="C3384" s="176"/>
      <c r="D3384" s="176"/>
      <c r="E3384" s="176"/>
      <c r="F3384" s="176"/>
      <c r="G3384" s="176"/>
      <c r="H3384" s="176"/>
      <c r="I3384" s="176"/>
      <c r="J3384" s="176"/>
      <c r="K3384" s="176"/>
      <c r="L3384" s="176"/>
      <c r="M3384" s="176"/>
      <c r="N3384" s="176"/>
      <c r="O3384" s="176"/>
      <c r="P3384" s="176"/>
      <c r="Q3384" s="176"/>
      <c r="R3384" s="176"/>
      <c r="S3384" s="176"/>
      <c r="T3384" s="176"/>
      <c r="U3384" s="176"/>
      <c r="V3384" s="176"/>
      <c r="W3384" s="176"/>
      <c r="X3384" s="176"/>
      <c r="Y3384" s="176"/>
    </row>
    <row r="3385" spans="1:25">
      <c r="A3385" s="91"/>
      <c r="B3385" s="176"/>
      <c r="C3385" s="176"/>
      <c r="D3385" s="176"/>
      <c r="E3385" s="176"/>
      <c r="F3385" s="176"/>
      <c r="G3385" s="176"/>
      <c r="H3385" s="176"/>
      <c r="I3385" s="176"/>
      <c r="J3385" s="176"/>
      <c r="K3385" s="176"/>
      <c r="L3385" s="176"/>
      <c r="M3385" s="176"/>
      <c r="N3385" s="176"/>
      <c r="O3385" s="176"/>
      <c r="P3385" s="176"/>
      <c r="Q3385" s="176"/>
      <c r="R3385" s="176"/>
      <c r="S3385" s="176"/>
      <c r="T3385" s="176"/>
      <c r="U3385" s="176"/>
      <c r="V3385" s="176"/>
      <c r="W3385" s="176"/>
      <c r="X3385" s="176"/>
      <c r="Y3385" s="176"/>
    </row>
    <row r="3386" spans="1:25">
      <c r="A3386" s="91"/>
      <c r="B3386" s="176"/>
      <c r="C3386" s="176"/>
      <c r="D3386" s="176"/>
      <c r="E3386" s="176"/>
      <c r="F3386" s="176"/>
      <c r="G3386" s="176"/>
      <c r="H3386" s="176"/>
      <c r="I3386" s="176"/>
      <c r="J3386" s="176"/>
      <c r="K3386" s="176"/>
      <c r="L3386" s="176"/>
      <c r="M3386" s="176"/>
      <c r="N3386" s="176"/>
      <c r="O3386" s="176"/>
      <c r="P3386" s="176"/>
      <c r="Q3386" s="176"/>
      <c r="R3386" s="176"/>
      <c r="S3386" s="176"/>
      <c r="T3386" s="176"/>
      <c r="U3386" s="176"/>
      <c r="V3386" s="176"/>
      <c r="W3386" s="176"/>
      <c r="X3386" s="176"/>
      <c r="Y3386" s="176"/>
    </row>
    <row r="3387" spans="1:25">
      <c r="A3387" s="91"/>
      <c r="B3387" s="176"/>
      <c r="C3387" s="176"/>
      <c r="D3387" s="176"/>
      <c r="E3387" s="176"/>
      <c r="F3387" s="176"/>
      <c r="G3387" s="176"/>
      <c r="H3387" s="176"/>
      <c r="I3387" s="176"/>
      <c r="J3387" s="176"/>
      <c r="K3387" s="176"/>
      <c r="L3387" s="176"/>
      <c r="M3387" s="176"/>
      <c r="N3387" s="176"/>
      <c r="O3387" s="176"/>
      <c r="P3387" s="176"/>
      <c r="Q3387" s="176"/>
      <c r="R3387" s="176"/>
      <c r="S3387" s="176"/>
      <c r="T3387" s="176"/>
      <c r="U3387" s="176"/>
      <c r="V3387" s="176"/>
      <c r="W3387" s="176"/>
      <c r="X3387" s="176"/>
      <c r="Y3387" s="176"/>
    </row>
    <row r="3388" spans="1:25">
      <c r="A3388" s="91"/>
      <c r="B3388" s="176"/>
      <c r="C3388" s="176"/>
      <c r="D3388" s="176"/>
      <c r="E3388" s="176"/>
      <c r="F3388" s="176"/>
      <c r="G3388" s="176"/>
      <c r="H3388" s="176"/>
      <c r="I3388" s="176"/>
      <c r="J3388" s="176"/>
      <c r="K3388" s="176"/>
      <c r="L3388" s="176"/>
      <c r="M3388" s="176"/>
      <c r="N3388" s="176"/>
      <c r="O3388" s="176"/>
      <c r="P3388" s="176"/>
      <c r="Q3388" s="176"/>
      <c r="R3388" s="176"/>
      <c r="S3388" s="176"/>
      <c r="T3388" s="176"/>
      <c r="U3388" s="176"/>
      <c r="V3388" s="176"/>
      <c r="W3388" s="176"/>
      <c r="X3388" s="176"/>
      <c r="Y3388" s="176"/>
    </row>
    <row r="3389" spans="1:25">
      <c r="A3389" s="91"/>
      <c r="B3389" s="176"/>
      <c r="C3389" s="176"/>
      <c r="D3389" s="176"/>
      <c r="E3389" s="176"/>
      <c r="F3389" s="176"/>
      <c r="G3389" s="176"/>
      <c r="H3389" s="176"/>
      <c r="I3389" s="176"/>
      <c r="J3389" s="176"/>
      <c r="K3389" s="176"/>
      <c r="L3389" s="176"/>
      <c r="M3389" s="176"/>
      <c r="N3389" s="176"/>
      <c r="O3389" s="176"/>
      <c r="P3389" s="176"/>
      <c r="Q3389" s="176"/>
      <c r="R3389" s="176"/>
      <c r="S3389" s="176"/>
      <c r="T3389" s="176"/>
      <c r="U3389" s="176"/>
      <c r="V3389" s="176"/>
      <c r="W3389" s="176"/>
      <c r="X3389" s="176"/>
      <c r="Y3389" s="176"/>
    </row>
    <row r="3390" spans="1:25">
      <c r="A3390" s="91"/>
      <c r="B3390" s="176"/>
      <c r="C3390" s="176"/>
      <c r="D3390" s="176"/>
      <c r="E3390" s="176"/>
      <c r="F3390" s="176"/>
      <c r="G3390" s="176"/>
      <c r="H3390" s="176"/>
      <c r="I3390" s="176"/>
      <c r="J3390" s="176"/>
      <c r="K3390" s="176"/>
      <c r="L3390" s="176"/>
      <c r="M3390" s="176"/>
      <c r="N3390" s="176"/>
      <c r="O3390" s="176"/>
      <c r="P3390" s="176"/>
      <c r="Q3390" s="176"/>
      <c r="R3390" s="176"/>
      <c r="S3390" s="176"/>
      <c r="T3390" s="176"/>
      <c r="U3390" s="176"/>
      <c r="V3390" s="176"/>
      <c r="W3390" s="176"/>
      <c r="X3390" s="176"/>
      <c r="Y3390" s="176"/>
    </row>
    <row r="3391" spans="1:25">
      <c r="A3391" s="91"/>
      <c r="B3391" s="176"/>
      <c r="C3391" s="176"/>
      <c r="D3391" s="176"/>
      <c r="E3391" s="176"/>
      <c r="F3391" s="176"/>
      <c r="G3391" s="176"/>
      <c r="H3391" s="176"/>
      <c r="I3391" s="176"/>
      <c r="J3391" s="176"/>
      <c r="K3391" s="176"/>
      <c r="L3391" s="176"/>
      <c r="M3391" s="176"/>
      <c r="N3391" s="176"/>
      <c r="O3391" s="176"/>
      <c r="P3391" s="176"/>
      <c r="Q3391" s="176"/>
      <c r="R3391" s="176"/>
      <c r="S3391" s="176"/>
      <c r="T3391" s="176"/>
      <c r="U3391" s="176"/>
      <c r="V3391" s="176"/>
      <c r="W3391" s="176"/>
      <c r="X3391" s="176"/>
      <c r="Y3391" s="176"/>
    </row>
    <row r="3392" spans="1:25">
      <c r="A3392" s="91"/>
      <c r="B3392" s="176"/>
      <c r="C3392" s="176"/>
      <c r="D3392" s="176"/>
      <c r="E3392" s="176"/>
      <c r="F3392" s="176"/>
      <c r="G3392" s="176"/>
      <c r="H3392" s="176"/>
      <c r="I3392" s="176"/>
      <c r="J3392" s="176"/>
      <c r="K3392" s="176"/>
      <c r="L3392" s="176"/>
      <c r="M3392" s="176"/>
      <c r="N3392" s="176"/>
      <c r="O3392" s="176"/>
      <c r="P3392" s="176"/>
      <c r="Q3392" s="176"/>
      <c r="R3392" s="176"/>
      <c r="S3392" s="176"/>
      <c r="T3392" s="176"/>
      <c r="U3392" s="176"/>
      <c r="V3392" s="176"/>
      <c r="W3392" s="176"/>
      <c r="X3392" s="176"/>
      <c r="Y3392" s="176"/>
    </row>
    <row r="3393" spans="1:25">
      <c r="A3393" s="91"/>
      <c r="B3393" s="176"/>
      <c r="C3393" s="176"/>
      <c r="D3393" s="176"/>
      <c r="E3393" s="176"/>
      <c r="F3393" s="176"/>
      <c r="G3393" s="176"/>
      <c r="H3393" s="176"/>
      <c r="I3393" s="176"/>
      <c r="J3393" s="176"/>
      <c r="K3393" s="176"/>
      <c r="L3393" s="176"/>
      <c r="M3393" s="176"/>
      <c r="N3393" s="176"/>
      <c r="O3393" s="176"/>
      <c r="P3393" s="176"/>
      <c r="Q3393" s="176"/>
      <c r="R3393" s="176"/>
      <c r="S3393" s="176"/>
      <c r="T3393" s="176"/>
      <c r="U3393" s="176"/>
      <c r="V3393" s="176"/>
      <c r="W3393" s="176"/>
      <c r="X3393" s="176"/>
      <c r="Y3393" s="176"/>
    </row>
    <row r="3394" spans="1:25">
      <c r="A3394" s="91"/>
      <c r="B3394" s="176"/>
      <c r="C3394" s="176"/>
      <c r="D3394" s="176"/>
      <c r="E3394" s="176"/>
      <c r="F3394" s="176"/>
      <c r="G3394" s="176"/>
      <c r="H3394" s="176"/>
      <c r="I3394" s="176"/>
      <c r="J3394" s="176"/>
      <c r="K3394" s="176"/>
      <c r="L3394" s="176"/>
      <c r="M3394" s="176"/>
      <c r="N3394" s="176"/>
      <c r="O3394" s="176"/>
      <c r="P3394" s="176"/>
      <c r="Q3394" s="176"/>
      <c r="R3394" s="176"/>
      <c r="S3394" s="176"/>
      <c r="T3394" s="176"/>
      <c r="U3394" s="176"/>
      <c r="V3394" s="176"/>
      <c r="W3394" s="176"/>
      <c r="X3394" s="176"/>
      <c r="Y3394" s="176"/>
    </row>
    <row r="3395" spans="1:25">
      <c r="A3395" s="91"/>
      <c r="B3395" s="176"/>
      <c r="C3395" s="176"/>
      <c r="D3395" s="176"/>
      <c r="E3395" s="176"/>
      <c r="F3395" s="176"/>
      <c r="G3395" s="176"/>
      <c r="H3395" s="176"/>
      <c r="I3395" s="176"/>
      <c r="J3395" s="176"/>
      <c r="K3395" s="176"/>
      <c r="L3395" s="176"/>
      <c r="M3395" s="176"/>
      <c r="N3395" s="176"/>
      <c r="O3395" s="176"/>
      <c r="P3395" s="176"/>
      <c r="Q3395" s="176"/>
      <c r="R3395" s="176"/>
      <c r="S3395" s="176"/>
      <c r="T3395" s="176"/>
      <c r="U3395" s="176"/>
      <c r="V3395" s="176"/>
      <c r="W3395" s="176"/>
      <c r="X3395" s="176"/>
      <c r="Y3395" s="176"/>
    </row>
    <row r="3396" spans="1:25">
      <c r="A3396" s="91"/>
      <c r="B3396" s="176"/>
      <c r="C3396" s="176"/>
      <c r="D3396" s="176"/>
      <c r="E3396" s="176"/>
      <c r="F3396" s="176"/>
      <c r="G3396" s="176"/>
      <c r="H3396" s="176"/>
      <c r="I3396" s="176"/>
      <c r="J3396" s="176"/>
      <c r="K3396" s="176"/>
      <c r="L3396" s="176"/>
      <c r="M3396" s="176"/>
      <c r="N3396" s="176"/>
      <c r="O3396" s="176"/>
      <c r="P3396" s="176"/>
      <c r="Q3396" s="176"/>
      <c r="R3396" s="176"/>
      <c r="S3396" s="176"/>
      <c r="T3396" s="176"/>
      <c r="U3396" s="176"/>
      <c r="V3396" s="176"/>
      <c r="W3396" s="176"/>
      <c r="X3396" s="176"/>
      <c r="Y3396" s="176"/>
    </row>
    <row r="3397" spans="1:25">
      <c r="A3397" s="91"/>
      <c r="B3397" s="176"/>
      <c r="C3397" s="176"/>
      <c r="D3397" s="176"/>
      <c r="E3397" s="176"/>
      <c r="F3397" s="176"/>
      <c r="G3397" s="176"/>
      <c r="H3397" s="176"/>
      <c r="I3397" s="176"/>
      <c r="J3397" s="176"/>
      <c r="K3397" s="176"/>
      <c r="L3397" s="176"/>
      <c r="M3397" s="176"/>
      <c r="N3397" s="176"/>
      <c r="O3397" s="176"/>
      <c r="P3397" s="176"/>
      <c r="Q3397" s="176"/>
      <c r="R3397" s="176"/>
      <c r="S3397" s="176"/>
      <c r="T3397" s="176"/>
      <c r="U3397" s="176"/>
      <c r="V3397" s="176"/>
      <c r="W3397" s="176"/>
      <c r="X3397" s="176"/>
      <c r="Y3397" s="176"/>
    </row>
    <row r="3398" spans="1:25">
      <c r="A3398" s="91"/>
      <c r="B3398" s="176"/>
      <c r="C3398" s="176"/>
      <c r="D3398" s="176"/>
      <c r="E3398" s="176"/>
      <c r="F3398" s="176"/>
      <c r="G3398" s="176"/>
      <c r="H3398" s="176"/>
      <c r="I3398" s="176"/>
      <c r="J3398" s="176"/>
      <c r="K3398" s="176"/>
      <c r="L3398" s="176"/>
      <c r="M3398" s="176"/>
      <c r="N3398" s="176"/>
      <c r="O3398" s="176"/>
      <c r="P3398" s="176"/>
      <c r="Q3398" s="176"/>
      <c r="R3398" s="176"/>
      <c r="S3398" s="176"/>
      <c r="T3398" s="176"/>
      <c r="U3398" s="176"/>
      <c r="V3398" s="176"/>
      <c r="W3398" s="176"/>
      <c r="X3398" s="176"/>
      <c r="Y3398" s="176"/>
    </row>
    <row r="3399" spans="1:25">
      <c r="A3399" s="91"/>
      <c r="B3399" s="176"/>
      <c r="C3399" s="176"/>
      <c r="D3399" s="176"/>
      <c r="E3399" s="176"/>
      <c r="F3399" s="176"/>
      <c r="G3399" s="176"/>
      <c r="H3399" s="176"/>
      <c r="I3399" s="176"/>
      <c r="J3399" s="176"/>
      <c r="K3399" s="176"/>
      <c r="L3399" s="176"/>
      <c r="M3399" s="176"/>
      <c r="N3399" s="176"/>
      <c r="O3399" s="176"/>
      <c r="P3399" s="176"/>
      <c r="Q3399" s="176"/>
      <c r="R3399" s="176"/>
      <c r="S3399" s="176"/>
      <c r="T3399" s="176"/>
      <c r="U3399" s="176"/>
      <c r="V3399" s="176"/>
      <c r="W3399" s="176"/>
      <c r="X3399" s="176"/>
      <c r="Y3399" s="176"/>
    </row>
    <row r="3400" spans="1:25">
      <c r="A3400" s="91"/>
      <c r="B3400" s="176"/>
      <c r="C3400" s="176"/>
      <c r="D3400" s="176"/>
      <c r="E3400" s="176"/>
      <c r="F3400" s="176"/>
      <c r="G3400" s="176"/>
      <c r="H3400" s="176"/>
      <c r="I3400" s="176"/>
      <c r="J3400" s="176"/>
      <c r="K3400" s="176"/>
      <c r="L3400" s="176"/>
      <c r="M3400" s="176"/>
      <c r="N3400" s="176"/>
      <c r="O3400" s="176"/>
      <c r="P3400" s="176"/>
      <c r="Q3400" s="176"/>
      <c r="R3400" s="176"/>
      <c r="S3400" s="176"/>
      <c r="T3400" s="176"/>
      <c r="U3400" s="176"/>
      <c r="V3400" s="176"/>
      <c r="W3400" s="176"/>
      <c r="X3400" s="176"/>
      <c r="Y3400" s="176"/>
    </row>
    <row r="3401" spans="1:25">
      <c r="A3401" s="91"/>
      <c r="B3401" s="176"/>
      <c r="C3401" s="176"/>
      <c r="D3401" s="176"/>
      <c r="E3401" s="176"/>
      <c r="F3401" s="176"/>
      <c r="G3401" s="176"/>
      <c r="H3401" s="176"/>
      <c r="I3401" s="176"/>
      <c r="J3401" s="176"/>
      <c r="K3401" s="176"/>
      <c r="L3401" s="176"/>
      <c r="M3401" s="176"/>
      <c r="N3401" s="176"/>
      <c r="O3401" s="176"/>
      <c r="P3401" s="176"/>
      <c r="Q3401" s="176"/>
      <c r="R3401" s="176"/>
      <c r="S3401" s="176"/>
      <c r="T3401" s="176"/>
      <c r="U3401" s="176"/>
      <c r="V3401" s="176"/>
      <c r="W3401" s="176"/>
      <c r="X3401" s="176"/>
      <c r="Y3401" s="176"/>
    </row>
    <row r="3402" spans="1:25">
      <c r="A3402" s="91"/>
      <c r="B3402" s="176"/>
      <c r="C3402" s="176"/>
      <c r="D3402" s="176"/>
      <c r="E3402" s="176"/>
      <c r="F3402" s="176"/>
      <c r="G3402" s="176"/>
      <c r="H3402" s="176"/>
      <c r="I3402" s="176"/>
      <c r="J3402" s="176"/>
      <c r="K3402" s="176"/>
      <c r="L3402" s="176"/>
      <c r="M3402" s="176"/>
      <c r="N3402" s="176"/>
      <c r="O3402" s="176"/>
      <c r="P3402" s="176"/>
      <c r="Q3402" s="176"/>
      <c r="R3402" s="176"/>
      <c r="S3402" s="176"/>
      <c r="T3402" s="176"/>
      <c r="U3402" s="176"/>
      <c r="V3402" s="176"/>
      <c r="W3402" s="176"/>
      <c r="X3402" s="176"/>
      <c r="Y3402" s="176"/>
    </row>
    <row r="3403" spans="1:25">
      <c r="A3403" s="91"/>
      <c r="B3403" s="176"/>
      <c r="C3403" s="176"/>
      <c r="D3403" s="176"/>
      <c r="E3403" s="176"/>
      <c r="F3403" s="176"/>
      <c r="G3403" s="176"/>
      <c r="H3403" s="176"/>
      <c r="I3403" s="176"/>
      <c r="J3403" s="176"/>
      <c r="K3403" s="176"/>
      <c r="L3403" s="176"/>
      <c r="M3403" s="176"/>
      <c r="N3403" s="176"/>
      <c r="O3403" s="176"/>
      <c r="P3403" s="176"/>
      <c r="Q3403" s="176"/>
      <c r="R3403" s="176"/>
      <c r="S3403" s="176"/>
      <c r="T3403" s="176"/>
      <c r="U3403" s="176"/>
      <c r="V3403" s="176"/>
      <c r="W3403" s="176"/>
      <c r="X3403" s="176"/>
      <c r="Y3403" s="176"/>
    </row>
    <row r="3404" spans="1:25">
      <c r="A3404" s="91"/>
      <c r="B3404" s="176"/>
      <c r="C3404" s="176"/>
      <c r="D3404" s="176"/>
      <c r="E3404" s="176"/>
      <c r="F3404" s="176"/>
      <c r="G3404" s="176"/>
      <c r="H3404" s="176"/>
      <c r="I3404" s="176"/>
      <c r="J3404" s="176"/>
      <c r="K3404" s="176"/>
      <c r="L3404" s="176"/>
      <c r="M3404" s="176"/>
      <c r="N3404" s="176"/>
      <c r="O3404" s="176"/>
      <c r="P3404" s="176"/>
      <c r="Q3404" s="176"/>
      <c r="R3404" s="176"/>
      <c r="S3404" s="176"/>
      <c r="T3404" s="176"/>
      <c r="U3404" s="176"/>
      <c r="V3404" s="176"/>
      <c r="W3404" s="176"/>
      <c r="X3404" s="176"/>
      <c r="Y3404" s="176"/>
    </row>
    <row r="3405" spans="1:25">
      <c r="A3405" s="91"/>
      <c r="B3405" s="176"/>
      <c r="C3405" s="176"/>
      <c r="D3405" s="176"/>
      <c r="E3405" s="176"/>
      <c r="F3405" s="176"/>
      <c r="G3405" s="176"/>
      <c r="H3405" s="176"/>
      <c r="I3405" s="176"/>
      <c r="J3405" s="176"/>
      <c r="K3405" s="176"/>
      <c r="L3405" s="176"/>
      <c r="M3405" s="176"/>
      <c r="N3405" s="176"/>
      <c r="O3405" s="176"/>
      <c r="P3405" s="176"/>
      <c r="Q3405" s="176"/>
      <c r="R3405" s="176"/>
      <c r="S3405" s="176"/>
      <c r="T3405" s="176"/>
      <c r="U3405" s="176"/>
      <c r="V3405" s="176"/>
      <c r="W3405" s="176"/>
      <c r="X3405" s="176"/>
      <c r="Y3405" s="176"/>
    </row>
    <row r="3406" spans="1:25">
      <c r="A3406" s="91"/>
      <c r="B3406" s="176"/>
      <c r="C3406" s="176"/>
      <c r="D3406" s="176"/>
      <c r="E3406" s="176"/>
      <c r="F3406" s="176"/>
      <c r="G3406" s="176"/>
      <c r="H3406" s="176"/>
      <c r="I3406" s="176"/>
      <c r="J3406" s="176"/>
      <c r="K3406" s="176"/>
      <c r="L3406" s="176"/>
      <c r="M3406" s="176"/>
      <c r="N3406" s="176"/>
      <c r="O3406" s="176"/>
      <c r="P3406" s="176"/>
      <c r="Q3406" s="176"/>
      <c r="R3406" s="176"/>
      <c r="S3406" s="176"/>
      <c r="T3406" s="176"/>
      <c r="U3406" s="176"/>
      <c r="V3406" s="176"/>
      <c r="W3406" s="176"/>
      <c r="X3406" s="176"/>
      <c r="Y3406" s="176"/>
    </row>
    <row r="3407" spans="1:25">
      <c r="A3407" s="91"/>
      <c r="B3407" s="176"/>
      <c r="C3407" s="176"/>
      <c r="D3407" s="176"/>
      <c r="E3407" s="176"/>
      <c r="F3407" s="176"/>
      <c r="G3407" s="176"/>
      <c r="H3407" s="176"/>
      <c r="I3407" s="176"/>
      <c r="J3407" s="176"/>
      <c r="K3407" s="176"/>
      <c r="L3407" s="176"/>
      <c r="M3407" s="176"/>
      <c r="N3407" s="176"/>
      <c r="O3407" s="176"/>
      <c r="P3407" s="176"/>
      <c r="Q3407" s="176"/>
      <c r="R3407" s="176"/>
      <c r="S3407" s="176"/>
      <c r="T3407" s="176"/>
      <c r="U3407" s="176"/>
      <c r="V3407" s="176"/>
      <c r="W3407" s="176"/>
      <c r="X3407" s="176"/>
      <c r="Y3407" s="176"/>
    </row>
    <row r="3408" spans="1:25">
      <c r="A3408" s="91"/>
      <c r="B3408" s="176"/>
      <c r="C3408" s="176"/>
      <c r="D3408" s="176"/>
      <c r="E3408" s="176"/>
      <c r="F3408" s="176"/>
      <c r="G3408" s="176"/>
      <c r="H3408" s="176"/>
      <c r="I3408" s="176"/>
      <c r="J3408" s="176"/>
      <c r="K3408" s="176"/>
      <c r="L3408" s="176"/>
      <c r="M3408" s="176"/>
      <c r="N3408" s="176"/>
      <c r="O3408" s="176"/>
      <c r="P3408" s="176"/>
      <c r="Q3408" s="176"/>
      <c r="R3408" s="176"/>
      <c r="S3408" s="176"/>
      <c r="T3408" s="176"/>
      <c r="U3408" s="176"/>
      <c r="V3408" s="176"/>
      <c r="W3408" s="176"/>
      <c r="X3408" s="176"/>
      <c r="Y3408" s="176"/>
    </row>
    <row r="3409" spans="1:25">
      <c r="A3409" s="91"/>
      <c r="B3409" s="176"/>
      <c r="C3409" s="176"/>
      <c r="D3409" s="176"/>
      <c r="E3409" s="176"/>
      <c r="F3409" s="176"/>
      <c r="G3409" s="176"/>
      <c r="H3409" s="176"/>
      <c r="I3409" s="176"/>
      <c r="J3409" s="176"/>
      <c r="K3409" s="176"/>
      <c r="L3409" s="176"/>
      <c r="M3409" s="176"/>
      <c r="N3409" s="176"/>
      <c r="O3409" s="176"/>
      <c r="P3409" s="176"/>
      <c r="Q3409" s="176"/>
      <c r="R3409" s="176"/>
      <c r="S3409" s="176"/>
      <c r="T3409" s="176"/>
      <c r="U3409" s="176"/>
      <c r="V3409" s="176"/>
      <c r="W3409" s="176"/>
      <c r="X3409" s="176"/>
      <c r="Y3409" s="176"/>
    </row>
    <row r="3410" spans="1:25">
      <c r="A3410" s="91"/>
      <c r="B3410" s="176"/>
      <c r="C3410" s="176"/>
      <c r="D3410" s="176"/>
      <c r="E3410" s="176"/>
      <c r="F3410" s="176"/>
      <c r="G3410" s="176"/>
      <c r="H3410" s="176"/>
      <c r="I3410" s="176"/>
      <c r="J3410" s="176"/>
      <c r="K3410" s="176"/>
      <c r="L3410" s="176"/>
      <c r="M3410" s="176"/>
      <c r="N3410" s="176"/>
      <c r="O3410" s="176"/>
      <c r="P3410" s="176"/>
      <c r="Q3410" s="176"/>
      <c r="R3410" s="176"/>
      <c r="S3410" s="176"/>
      <c r="T3410" s="176"/>
      <c r="U3410" s="176"/>
      <c r="V3410" s="176"/>
      <c r="W3410" s="176"/>
      <c r="X3410" s="176"/>
      <c r="Y3410" s="176"/>
    </row>
    <row r="3411" spans="1:25">
      <c r="A3411" s="91"/>
      <c r="B3411" s="176"/>
      <c r="C3411" s="176"/>
      <c r="D3411" s="176"/>
      <c r="E3411" s="176"/>
      <c r="F3411" s="176"/>
      <c r="G3411" s="176"/>
      <c r="H3411" s="176"/>
      <c r="I3411" s="176"/>
      <c r="J3411" s="176"/>
      <c r="K3411" s="176"/>
      <c r="L3411" s="176"/>
      <c r="M3411" s="176"/>
      <c r="N3411" s="176"/>
      <c r="O3411" s="176"/>
      <c r="P3411" s="176"/>
      <c r="Q3411" s="176"/>
      <c r="R3411" s="176"/>
      <c r="S3411" s="176"/>
      <c r="T3411" s="176"/>
      <c r="U3411" s="176"/>
      <c r="V3411" s="176"/>
      <c r="W3411" s="176"/>
      <c r="X3411" s="176"/>
      <c r="Y3411" s="176"/>
    </row>
    <row r="3412" spans="1:25">
      <c r="A3412" s="91"/>
      <c r="B3412" s="176"/>
      <c r="C3412" s="176"/>
      <c r="D3412" s="176"/>
      <c r="E3412" s="176"/>
      <c r="F3412" s="176"/>
      <c r="G3412" s="176"/>
      <c r="H3412" s="176"/>
      <c r="I3412" s="176"/>
      <c r="J3412" s="176"/>
      <c r="K3412" s="176"/>
      <c r="L3412" s="176"/>
      <c r="M3412" s="176"/>
      <c r="N3412" s="176"/>
      <c r="O3412" s="176"/>
      <c r="P3412" s="176"/>
      <c r="Q3412" s="176"/>
      <c r="R3412" s="176"/>
      <c r="S3412" s="176"/>
      <c r="T3412" s="176"/>
      <c r="U3412" s="176"/>
      <c r="V3412" s="176"/>
      <c r="W3412" s="176"/>
      <c r="X3412" s="176"/>
      <c r="Y3412" s="176"/>
    </row>
    <row r="3413" spans="1:25">
      <c r="A3413" s="91"/>
      <c r="B3413" s="176"/>
      <c r="C3413" s="176"/>
      <c r="D3413" s="176"/>
      <c r="E3413" s="176"/>
      <c r="F3413" s="176"/>
      <c r="G3413" s="176"/>
      <c r="H3413" s="176"/>
      <c r="I3413" s="176"/>
      <c r="J3413" s="176"/>
      <c r="K3413" s="176"/>
      <c r="L3413" s="176"/>
      <c r="M3413" s="176"/>
      <c r="N3413" s="176"/>
      <c r="O3413" s="176"/>
      <c r="P3413" s="176"/>
      <c r="Q3413" s="176"/>
      <c r="R3413" s="176"/>
      <c r="S3413" s="176"/>
      <c r="T3413" s="176"/>
      <c r="U3413" s="176"/>
      <c r="V3413" s="176"/>
      <c r="W3413" s="176"/>
      <c r="X3413" s="176"/>
      <c r="Y3413" s="176"/>
    </row>
    <row r="3414" spans="1:25">
      <c r="A3414" s="91"/>
      <c r="B3414" s="176"/>
      <c r="C3414" s="176"/>
      <c r="D3414" s="176"/>
      <c r="E3414" s="176"/>
      <c r="F3414" s="176"/>
      <c r="G3414" s="176"/>
      <c r="H3414" s="176"/>
      <c r="I3414" s="176"/>
      <c r="J3414" s="176"/>
      <c r="K3414" s="176"/>
      <c r="L3414" s="176"/>
      <c r="M3414" s="176"/>
      <c r="N3414" s="176"/>
      <c r="O3414" s="176"/>
      <c r="P3414" s="176"/>
      <c r="Q3414" s="176"/>
      <c r="R3414" s="176"/>
      <c r="S3414" s="176"/>
      <c r="T3414" s="176"/>
      <c r="U3414" s="176"/>
      <c r="V3414" s="176"/>
      <c r="W3414" s="176"/>
      <c r="X3414" s="176"/>
      <c r="Y3414" s="176"/>
    </row>
    <row r="3415" spans="1:25">
      <c r="A3415" s="91"/>
      <c r="B3415" s="176"/>
      <c r="C3415" s="176"/>
      <c r="D3415" s="176"/>
      <c r="E3415" s="176"/>
      <c r="F3415" s="176"/>
      <c r="G3415" s="176"/>
      <c r="H3415" s="176"/>
      <c r="I3415" s="176"/>
      <c r="J3415" s="176"/>
      <c r="K3415" s="176"/>
      <c r="L3415" s="176"/>
      <c r="M3415" s="176"/>
      <c r="N3415" s="176"/>
      <c r="O3415" s="176"/>
      <c r="P3415" s="176"/>
      <c r="Q3415" s="176"/>
      <c r="R3415" s="176"/>
      <c r="S3415" s="176"/>
      <c r="T3415" s="176"/>
      <c r="U3415" s="176"/>
      <c r="V3415" s="176"/>
      <c r="W3415" s="176"/>
      <c r="X3415" s="176"/>
      <c r="Y3415" s="176"/>
    </row>
    <row r="3416" spans="1:25">
      <c r="A3416" s="91"/>
      <c r="B3416" s="176"/>
      <c r="C3416" s="176"/>
      <c r="D3416" s="176"/>
      <c r="E3416" s="176"/>
      <c r="F3416" s="176"/>
      <c r="G3416" s="176"/>
      <c r="H3416" s="176"/>
      <c r="I3416" s="176"/>
      <c r="J3416" s="176"/>
      <c r="K3416" s="176"/>
      <c r="L3416" s="176"/>
      <c r="M3416" s="176"/>
      <c r="N3416" s="176"/>
      <c r="O3416" s="176"/>
      <c r="P3416" s="176"/>
      <c r="Q3416" s="176"/>
      <c r="R3416" s="176"/>
      <c r="S3416" s="176"/>
      <c r="T3416" s="176"/>
      <c r="U3416" s="176"/>
      <c r="V3416" s="176"/>
      <c r="W3416" s="176"/>
      <c r="X3416" s="176"/>
      <c r="Y3416" s="176"/>
    </row>
    <row r="3417" spans="1:25">
      <c r="A3417" s="91"/>
      <c r="B3417" s="176"/>
      <c r="C3417" s="176"/>
      <c r="D3417" s="176"/>
      <c r="E3417" s="176"/>
      <c r="F3417" s="176"/>
      <c r="G3417" s="176"/>
      <c r="H3417" s="176"/>
      <c r="I3417" s="176"/>
      <c r="J3417" s="176"/>
      <c r="K3417" s="176"/>
      <c r="L3417" s="176"/>
      <c r="M3417" s="176"/>
      <c r="N3417" s="176"/>
      <c r="O3417" s="176"/>
      <c r="P3417" s="176"/>
      <c r="Q3417" s="176"/>
      <c r="R3417" s="176"/>
      <c r="S3417" s="176"/>
      <c r="T3417" s="176"/>
      <c r="U3417" s="176"/>
      <c r="V3417" s="176"/>
      <c r="W3417" s="176"/>
      <c r="X3417" s="176"/>
      <c r="Y3417" s="176"/>
    </row>
    <row r="3418" spans="1:25">
      <c r="A3418" s="91"/>
      <c r="B3418" s="176"/>
      <c r="C3418" s="176"/>
      <c r="D3418" s="176"/>
      <c r="E3418" s="176"/>
      <c r="F3418" s="176"/>
      <c r="G3418" s="176"/>
      <c r="H3418" s="176"/>
      <c r="I3418" s="176"/>
      <c r="J3418" s="176"/>
      <c r="K3418" s="176"/>
      <c r="L3418" s="176"/>
      <c r="M3418" s="176"/>
      <c r="N3418" s="176"/>
      <c r="O3418" s="176"/>
      <c r="P3418" s="176"/>
      <c r="Q3418" s="176"/>
      <c r="R3418" s="176"/>
      <c r="S3418" s="176"/>
      <c r="T3418" s="176"/>
      <c r="U3418" s="176"/>
      <c r="V3418" s="176"/>
      <c r="W3418" s="176"/>
      <c r="X3418" s="176"/>
      <c r="Y3418" s="176"/>
    </row>
    <row r="3419" spans="1:25">
      <c r="A3419" s="91"/>
      <c r="B3419" s="176"/>
      <c r="C3419" s="176"/>
      <c r="D3419" s="176"/>
      <c r="E3419" s="176"/>
      <c r="F3419" s="176"/>
      <c r="G3419" s="176"/>
      <c r="H3419" s="176"/>
      <c r="I3419" s="176"/>
      <c r="J3419" s="176"/>
      <c r="K3419" s="176"/>
      <c r="L3419" s="176"/>
      <c r="M3419" s="176"/>
      <c r="N3419" s="176"/>
      <c r="O3419" s="176"/>
      <c r="P3419" s="176"/>
      <c r="Q3419" s="176"/>
      <c r="R3419" s="176"/>
      <c r="S3419" s="176"/>
      <c r="T3419" s="176"/>
      <c r="U3419" s="176"/>
      <c r="V3419" s="176"/>
      <c r="W3419" s="176"/>
      <c r="X3419" s="176"/>
      <c r="Y3419" s="176"/>
    </row>
    <row r="3420" spans="1:25">
      <c r="A3420" s="91"/>
      <c r="B3420" s="176"/>
      <c r="C3420" s="176"/>
      <c r="D3420" s="176"/>
      <c r="E3420" s="176"/>
      <c r="F3420" s="176"/>
      <c r="G3420" s="176"/>
      <c r="H3420" s="176"/>
      <c r="I3420" s="176"/>
      <c r="J3420" s="176"/>
      <c r="K3420" s="176"/>
      <c r="L3420" s="176"/>
      <c r="M3420" s="176"/>
      <c r="N3420" s="176"/>
      <c r="O3420" s="176"/>
      <c r="P3420" s="176"/>
      <c r="Q3420" s="176"/>
      <c r="R3420" s="176"/>
      <c r="S3420" s="176"/>
      <c r="T3420" s="176"/>
      <c r="U3420" s="176"/>
      <c r="V3420" s="176"/>
      <c r="W3420" s="176"/>
      <c r="X3420" s="176"/>
      <c r="Y3420" s="176"/>
    </row>
    <row r="3421" spans="1:25">
      <c r="A3421" s="91"/>
      <c r="B3421" s="176"/>
      <c r="C3421" s="176"/>
      <c r="D3421" s="176"/>
      <c r="E3421" s="176"/>
      <c r="F3421" s="176"/>
      <c r="G3421" s="176"/>
      <c r="H3421" s="176"/>
      <c r="I3421" s="176"/>
      <c r="J3421" s="176"/>
      <c r="K3421" s="176"/>
      <c r="L3421" s="176"/>
      <c r="M3421" s="176"/>
      <c r="N3421" s="176"/>
      <c r="O3421" s="176"/>
      <c r="P3421" s="176"/>
      <c r="Q3421" s="176"/>
      <c r="R3421" s="176"/>
      <c r="S3421" s="176"/>
      <c r="T3421" s="176"/>
      <c r="U3421" s="176"/>
      <c r="V3421" s="176"/>
      <c r="W3421" s="176"/>
      <c r="X3421" s="176"/>
      <c r="Y3421" s="176"/>
    </row>
    <row r="3422" spans="1:25">
      <c r="A3422" s="91"/>
      <c r="B3422" s="176"/>
      <c r="C3422" s="176"/>
      <c r="D3422" s="176"/>
      <c r="E3422" s="176"/>
      <c r="F3422" s="176"/>
      <c r="G3422" s="176"/>
      <c r="H3422" s="176"/>
      <c r="I3422" s="176"/>
      <c r="J3422" s="176"/>
      <c r="K3422" s="176"/>
      <c r="L3422" s="176"/>
      <c r="M3422" s="176"/>
      <c r="N3422" s="176"/>
      <c r="O3422" s="176"/>
      <c r="P3422" s="176"/>
      <c r="Q3422" s="176"/>
      <c r="R3422" s="176"/>
      <c r="S3422" s="176"/>
      <c r="T3422" s="176"/>
      <c r="U3422" s="176"/>
      <c r="V3422" s="176"/>
      <c r="W3422" s="176"/>
      <c r="X3422" s="176"/>
      <c r="Y3422" s="176"/>
    </row>
    <row r="3423" spans="1:25">
      <c r="A3423" s="91"/>
      <c r="B3423" s="176"/>
      <c r="C3423" s="176"/>
      <c r="D3423" s="176"/>
      <c r="E3423" s="176"/>
      <c r="F3423" s="176"/>
      <c r="G3423" s="176"/>
      <c r="H3423" s="176"/>
      <c r="I3423" s="176"/>
      <c r="J3423" s="176"/>
      <c r="K3423" s="176"/>
      <c r="L3423" s="176"/>
      <c r="M3423" s="176"/>
      <c r="N3423" s="176"/>
      <c r="O3423" s="176"/>
      <c r="P3423" s="176"/>
      <c r="Q3423" s="176"/>
      <c r="R3423" s="176"/>
      <c r="S3423" s="176"/>
      <c r="T3423" s="176"/>
      <c r="U3423" s="176"/>
      <c r="V3423" s="176"/>
      <c r="W3423" s="176"/>
      <c r="X3423" s="176"/>
      <c r="Y3423" s="176"/>
    </row>
    <row r="3424" spans="1:25">
      <c r="A3424" s="91"/>
      <c r="B3424" s="176"/>
      <c r="C3424" s="176"/>
      <c r="D3424" s="176"/>
      <c r="E3424" s="176"/>
      <c r="F3424" s="176"/>
      <c r="G3424" s="176"/>
      <c r="H3424" s="176"/>
      <c r="I3424" s="176"/>
      <c r="J3424" s="176"/>
      <c r="K3424" s="176"/>
      <c r="L3424" s="176"/>
      <c r="M3424" s="176"/>
      <c r="N3424" s="176"/>
      <c r="O3424" s="176"/>
      <c r="P3424" s="176"/>
      <c r="Q3424" s="176"/>
      <c r="R3424" s="176"/>
      <c r="S3424" s="176"/>
      <c r="T3424" s="176"/>
      <c r="U3424" s="176"/>
      <c r="V3424" s="176"/>
      <c r="W3424" s="176"/>
      <c r="X3424" s="176"/>
      <c r="Y3424" s="176"/>
    </row>
    <row r="3425" spans="1:25">
      <c r="A3425" s="91"/>
      <c r="B3425" s="176"/>
      <c r="C3425" s="176"/>
      <c r="D3425" s="176"/>
      <c r="E3425" s="176"/>
      <c r="F3425" s="176"/>
      <c r="G3425" s="176"/>
      <c r="H3425" s="176"/>
      <c r="I3425" s="176"/>
      <c r="J3425" s="176"/>
      <c r="K3425" s="176"/>
      <c r="L3425" s="176"/>
      <c r="M3425" s="176"/>
      <c r="N3425" s="176"/>
      <c r="O3425" s="176"/>
      <c r="P3425" s="176"/>
      <c r="Q3425" s="176"/>
      <c r="R3425" s="176"/>
      <c r="S3425" s="176"/>
      <c r="T3425" s="176"/>
      <c r="U3425" s="176"/>
      <c r="V3425" s="176"/>
      <c r="W3425" s="176"/>
      <c r="X3425" s="176"/>
      <c r="Y3425" s="176"/>
    </row>
    <row r="3426" spans="1:25">
      <c r="A3426" s="91"/>
      <c r="B3426" s="176"/>
      <c r="C3426" s="176"/>
      <c r="D3426" s="176"/>
      <c r="E3426" s="176"/>
      <c r="F3426" s="176"/>
      <c r="G3426" s="176"/>
      <c r="H3426" s="176"/>
      <c r="I3426" s="176"/>
      <c r="J3426" s="176"/>
      <c r="K3426" s="176"/>
      <c r="L3426" s="176"/>
      <c r="M3426" s="176"/>
      <c r="N3426" s="176"/>
      <c r="O3426" s="176"/>
      <c r="P3426" s="176"/>
      <c r="Q3426" s="176"/>
      <c r="R3426" s="176"/>
      <c r="S3426" s="176"/>
      <c r="T3426" s="176"/>
      <c r="U3426" s="176"/>
      <c r="V3426" s="176"/>
      <c r="W3426" s="176"/>
      <c r="X3426" s="176"/>
      <c r="Y3426" s="176"/>
    </row>
    <row r="3427" spans="1:25">
      <c r="A3427" s="91"/>
      <c r="B3427" s="176"/>
      <c r="C3427" s="176"/>
      <c r="D3427" s="176"/>
      <c r="E3427" s="176"/>
      <c r="F3427" s="176"/>
      <c r="G3427" s="176"/>
      <c r="H3427" s="176"/>
      <c r="I3427" s="176"/>
      <c r="J3427" s="176"/>
      <c r="K3427" s="176"/>
      <c r="L3427" s="176"/>
      <c r="M3427" s="176"/>
      <c r="N3427" s="176"/>
      <c r="O3427" s="176"/>
      <c r="P3427" s="176"/>
      <c r="Q3427" s="176"/>
      <c r="R3427" s="176"/>
      <c r="S3427" s="176"/>
      <c r="T3427" s="176"/>
      <c r="U3427" s="176"/>
      <c r="V3427" s="176"/>
      <c r="W3427" s="176"/>
      <c r="X3427" s="176"/>
      <c r="Y3427" s="176"/>
    </row>
    <row r="3428" spans="1:25">
      <c r="A3428" s="91"/>
      <c r="B3428" s="176"/>
      <c r="C3428" s="176"/>
      <c r="D3428" s="176"/>
      <c r="E3428" s="176"/>
      <c r="F3428" s="176"/>
      <c r="G3428" s="176"/>
      <c r="H3428" s="176"/>
      <c r="I3428" s="176"/>
      <c r="J3428" s="176"/>
      <c r="K3428" s="176"/>
      <c r="L3428" s="176"/>
      <c r="M3428" s="176"/>
      <c r="N3428" s="176"/>
      <c r="O3428" s="176"/>
      <c r="P3428" s="176"/>
      <c r="Q3428" s="176"/>
      <c r="R3428" s="176"/>
      <c r="S3428" s="176"/>
      <c r="T3428" s="176"/>
      <c r="U3428" s="176"/>
      <c r="V3428" s="176"/>
      <c r="W3428" s="176"/>
      <c r="X3428" s="176"/>
      <c r="Y3428" s="176"/>
    </row>
    <row r="3429" spans="1:25">
      <c r="A3429" s="91"/>
      <c r="B3429" s="176"/>
      <c r="C3429" s="176"/>
      <c r="D3429" s="176"/>
      <c r="E3429" s="176"/>
      <c r="F3429" s="176"/>
      <c r="G3429" s="176"/>
      <c r="H3429" s="176"/>
      <c r="I3429" s="176"/>
      <c r="J3429" s="176"/>
      <c r="K3429" s="176"/>
      <c r="L3429" s="176"/>
      <c r="M3429" s="176"/>
      <c r="N3429" s="176"/>
      <c r="O3429" s="176"/>
      <c r="P3429" s="176"/>
      <c r="Q3429" s="176"/>
      <c r="R3429" s="176"/>
      <c r="S3429" s="176"/>
      <c r="T3429" s="176"/>
      <c r="U3429" s="176"/>
      <c r="V3429" s="176"/>
      <c r="W3429" s="176"/>
      <c r="X3429" s="176"/>
      <c r="Y3429" s="176"/>
    </row>
    <row r="3430" spans="1:25">
      <c r="A3430" s="91"/>
      <c r="B3430" s="176"/>
      <c r="C3430" s="176"/>
      <c r="D3430" s="176"/>
      <c r="E3430" s="176"/>
      <c r="F3430" s="176"/>
      <c r="G3430" s="176"/>
      <c r="H3430" s="176"/>
      <c r="I3430" s="176"/>
      <c r="J3430" s="176"/>
      <c r="K3430" s="176"/>
      <c r="L3430" s="176"/>
      <c r="M3430" s="176"/>
      <c r="N3430" s="176"/>
      <c r="O3430" s="176"/>
      <c r="P3430" s="176"/>
      <c r="Q3430" s="176"/>
      <c r="R3430" s="176"/>
      <c r="S3430" s="176"/>
      <c r="T3430" s="176"/>
      <c r="U3430" s="176"/>
      <c r="V3430" s="176"/>
      <c r="W3430" s="176"/>
      <c r="X3430" s="176"/>
      <c r="Y3430" s="176"/>
    </row>
    <row r="3431" spans="1:25">
      <c r="A3431" s="91"/>
      <c r="B3431" s="176"/>
      <c r="C3431" s="176"/>
      <c r="D3431" s="176"/>
      <c r="E3431" s="176"/>
      <c r="F3431" s="176"/>
      <c r="G3431" s="176"/>
      <c r="H3431" s="176"/>
      <c r="I3431" s="176"/>
      <c r="J3431" s="176"/>
      <c r="K3431" s="176"/>
      <c r="L3431" s="176"/>
      <c r="M3431" s="176"/>
      <c r="N3431" s="176"/>
      <c r="O3431" s="176"/>
      <c r="P3431" s="176"/>
      <c r="Q3431" s="176"/>
      <c r="R3431" s="176"/>
      <c r="S3431" s="176"/>
      <c r="T3431" s="176"/>
      <c r="U3431" s="176"/>
      <c r="V3431" s="176"/>
      <c r="W3431" s="176"/>
      <c r="X3431" s="176"/>
      <c r="Y3431" s="176"/>
    </row>
    <row r="3432" spans="1:25">
      <c r="A3432" s="91"/>
      <c r="B3432" s="176"/>
      <c r="C3432" s="176"/>
      <c r="D3432" s="176"/>
      <c r="E3432" s="176"/>
      <c r="F3432" s="176"/>
      <c r="G3432" s="176"/>
      <c r="H3432" s="176"/>
      <c r="I3432" s="176"/>
      <c r="J3432" s="176"/>
      <c r="K3432" s="176"/>
      <c r="L3432" s="176"/>
      <c r="M3432" s="176"/>
      <c r="N3432" s="176"/>
      <c r="O3432" s="176"/>
      <c r="P3432" s="176"/>
      <c r="Q3432" s="176"/>
      <c r="R3432" s="176"/>
      <c r="S3432" s="176"/>
      <c r="T3432" s="176"/>
      <c r="U3432" s="176"/>
      <c r="V3432" s="176"/>
      <c r="W3432" s="176"/>
      <c r="X3432" s="176"/>
      <c r="Y3432" s="176"/>
    </row>
    <row r="3433" spans="1:25">
      <c r="A3433" s="91"/>
      <c r="B3433" s="176"/>
      <c r="C3433" s="176"/>
      <c r="D3433" s="176"/>
      <c r="E3433" s="176"/>
      <c r="F3433" s="176"/>
      <c r="G3433" s="176"/>
      <c r="H3433" s="176"/>
      <c r="I3433" s="176"/>
      <c r="J3433" s="176"/>
      <c r="K3433" s="176"/>
      <c r="L3433" s="176"/>
      <c r="M3433" s="176"/>
      <c r="N3433" s="176"/>
      <c r="O3433" s="176"/>
      <c r="P3433" s="176"/>
      <c r="Q3433" s="176"/>
      <c r="R3433" s="176"/>
      <c r="S3433" s="176"/>
      <c r="T3433" s="176"/>
      <c r="U3433" s="176"/>
      <c r="V3433" s="176"/>
      <c r="W3433" s="176"/>
      <c r="X3433" s="176"/>
      <c r="Y3433" s="176"/>
    </row>
    <row r="3434" spans="1:25">
      <c r="A3434" s="91"/>
      <c r="B3434" s="176"/>
      <c r="C3434" s="176"/>
      <c r="D3434" s="176"/>
      <c r="E3434" s="176"/>
      <c r="F3434" s="176"/>
      <c r="G3434" s="176"/>
      <c r="H3434" s="176"/>
      <c r="I3434" s="176"/>
      <c r="J3434" s="176"/>
      <c r="K3434" s="176"/>
      <c r="L3434" s="176"/>
      <c r="M3434" s="176"/>
      <c r="N3434" s="176"/>
      <c r="O3434" s="176"/>
      <c r="P3434" s="176"/>
      <c r="Q3434" s="176"/>
      <c r="R3434" s="176"/>
      <c r="S3434" s="176"/>
      <c r="T3434" s="176"/>
      <c r="U3434" s="176"/>
      <c r="V3434" s="176"/>
      <c r="W3434" s="176"/>
      <c r="X3434" s="176"/>
      <c r="Y3434" s="176"/>
    </row>
    <row r="3435" spans="1:25">
      <c r="A3435" s="91"/>
      <c r="B3435" s="176"/>
      <c r="C3435" s="176"/>
      <c r="D3435" s="176"/>
      <c r="E3435" s="176"/>
      <c r="F3435" s="176"/>
      <c r="G3435" s="176"/>
      <c r="H3435" s="176"/>
      <c r="I3435" s="176"/>
      <c r="J3435" s="176"/>
      <c r="K3435" s="176"/>
      <c r="L3435" s="176"/>
      <c r="M3435" s="176"/>
      <c r="N3435" s="176"/>
      <c r="O3435" s="176"/>
      <c r="P3435" s="176"/>
      <c r="Q3435" s="176"/>
      <c r="R3435" s="176"/>
      <c r="S3435" s="176"/>
      <c r="T3435" s="176"/>
      <c r="U3435" s="176"/>
      <c r="V3435" s="176"/>
      <c r="W3435" s="176"/>
      <c r="X3435" s="176"/>
      <c r="Y3435" s="176"/>
    </row>
    <row r="3436" spans="1:25">
      <c r="A3436" s="91"/>
      <c r="B3436" s="176"/>
      <c r="C3436" s="176"/>
      <c r="D3436" s="176"/>
      <c r="E3436" s="176"/>
      <c r="F3436" s="176"/>
      <c r="G3436" s="176"/>
      <c r="H3436" s="176"/>
      <c r="I3436" s="176"/>
      <c r="J3436" s="176"/>
      <c r="K3436" s="176"/>
      <c r="L3436" s="176"/>
      <c r="M3436" s="176"/>
      <c r="N3436" s="176"/>
      <c r="O3436" s="176"/>
      <c r="P3436" s="176"/>
      <c r="Q3436" s="176"/>
      <c r="R3436" s="176"/>
      <c r="S3436" s="176"/>
      <c r="T3436" s="176"/>
      <c r="U3436" s="176"/>
      <c r="V3436" s="176"/>
      <c r="W3436" s="176"/>
      <c r="X3436" s="176"/>
      <c r="Y3436" s="176"/>
    </row>
    <row r="3437" spans="1:25">
      <c r="A3437" s="91"/>
      <c r="B3437" s="176"/>
      <c r="C3437" s="176"/>
      <c r="D3437" s="176"/>
      <c r="E3437" s="176"/>
      <c r="F3437" s="176"/>
      <c r="G3437" s="176"/>
      <c r="H3437" s="176"/>
      <c r="I3437" s="176"/>
      <c r="J3437" s="176"/>
      <c r="K3437" s="176"/>
      <c r="L3437" s="176"/>
      <c r="M3437" s="176"/>
      <c r="N3437" s="176"/>
      <c r="O3437" s="176"/>
      <c r="P3437" s="176"/>
      <c r="Q3437" s="176"/>
      <c r="R3437" s="176"/>
      <c r="S3437" s="176"/>
      <c r="T3437" s="176"/>
      <c r="U3437" s="176"/>
      <c r="V3437" s="176"/>
      <c r="W3437" s="176"/>
      <c r="X3437" s="176"/>
      <c r="Y3437" s="176"/>
    </row>
    <row r="3438" spans="1:25">
      <c r="A3438" s="91"/>
      <c r="B3438" s="176"/>
      <c r="C3438" s="176"/>
      <c r="D3438" s="176"/>
      <c r="E3438" s="176"/>
      <c r="F3438" s="176"/>
      <c r="G3438" s="176"/>
      <c r="H3438" s="176"/>
      <c r="I3438" s="176"/>
      <c r="J3438" s="176"/>
      <c r="K3438" s="176"/>
      <c r="L3438" s="176"/>
      <c r="M3438" s="176"/>
      <c r="N3438" s="176"/>
      <c r="O3438" s="176"/>
      <c r="P3438" s="176"/>
      <c r="Q3438" s="176"/>
      <c r="R3438" s="176"/>
      <c r="S3438" s="176"/>
      <c r="T3438" s="176"/>
      <c r="U3438" s="176"/>
      <c r="V3438" s="176"/>
      <c r="W3438" s="176"/>
      <c r="X3438" s="176"/>
      <c r="Y3438" s="176"/>
    </row>
    <row r="3439" spans="1:25">
      <c r="A3439" s="91"/>
      <c r="B3439" s="176"/>
      <c r="C3439" s="176"/>
      <c r="D3439" s="176"/>
      <c r="E3439" s="176"/>
      <c r="F3439" s="176"/>
      <c r="G3439" s="176"/>
      <c r="H3439" s="176"/>
      <c r="I3439" s="176"/>
      <c r="J3439" s="176"/>
      <c r="K3439" s="176"/>
      <c r="L3439" s="176"/>
      <c r="M3439" s="176"/>
      <c r="N3439" s="176"/>
      <c r="O3439" s="176"/>
      <c r="P3439" s="176"/>
      <c r="Q3439" s="176"/>
      <c r="R3439" s="176"/>
      <c r="S3439" s="176"/>
      <c r="T3439" s="176"/>
      <c r="U3439" s="176"/>
      <c r="V3439" s="176"/>
      <c r="W3439" s="176"/>
      <c r="X3439" s="176"/>
      <c r="Y3439" s="176"/>
    </row>
    <row r="3440" spans="1:25">
      <c r="A3440" s="91"/>
      <c r="B3440" s="176"/>
      <c r="C3440" s="176"/>
      <c r="D3440" s="176"/>
      <c r="E3440" s="176"/>
      <c r="F3440" s="176"/>
      <c r="G3440" s="176"/>
      <c r="H3440" s="176"/>
      <c r="I3440" s="176"/>
      <c r="J3440" s="176"/>
      <c r="K3440" s="176"/>
      <c r="L3440" s="176"/>
      <c r="M3440" s="176"/>
      <c r="N3440" s="176"/>
      <c r="O3440" s="176"/>
      <c r="P3440" s="176"/>
      <c r="Q3440" s="176"/>
      <c r="R3440" s="176"/>
      <c r="S3440" s="176"/>
      <c r="T3440" s="176"/>
      <c r="U3440" s="176"/>
      <c r="V3440" s="176"/>
      <c r="W3440" s="176"/>
      <c r="X3440" s="176"/>
      <c r="Y3440" s="176"/>
    </row>
    <row r="3441" spans="1:25">
      <c r="A3441" s="91"/>
      <c r="B3441" s="176"/>
      <c r="C3441" s="176"/>
      <c r="D3441" s="176"/>
      <c r="E3441" s="176"/>
      <c r="F3441" s="176"/>
      <c r="G3441" s="176"/>
      <c r="H3441" s="176"/>
      <c r="I3441" s="176"/>
      <c r="J3441" s="176"/>
      <c r="K3441" s="176"/>
      <c r="L3441" s="176"/>
      <c r="M3441" s="176"/>
      <c r="N3441" s="176"/>
      <c r="O3441" s="176"/>
      <c r="P3441" s="176"/>
      <c r="Q3441" s="176"/>
      <c r="R3441" s="176"/>
      <c r="S3441" s="176"/>
      <c r="T3441" s="176"/>
      <c r="U3441" s="176"/>
      <c r="V3441" s="176"/>
      <c r="W3441" s="176"/>
      <c r="X3441" s="176"/>
      <c r="Y3441" s="176"/>
    </row>
    <row r="3442" spans="1:25">
      <c r="A3442" s="91"/>
      <c r="B3442" s="176"/>
      <c r="C3442" s="176"/>
      <c r="D3442" s="176"/>
      <c r="E3442" s="176"/>
      <c r="F3442" s="176"/>
      <c r="G3442" s="176"/>
      <c r="H3442" s="176"/>
      <c r="I3442" s="176"/>
      <c r="J3442" s="176"/>
      <c r="K3442" s="176"/>
      <c r="L3442" s="176"/>
      <c r="M3442" s="176"/>
      <c r="N3442" s="176"/>
      <c r="O3442" s="176"/>
      <c r="P3442" s="176"/>
      <c r="Q3442" s="176"/>
      <c r="R3442" s="176"/>
      <c r="S3442" s="176"/>
      <c r="T3442" s="176"/>
      <c r="U3442" s="176"/>
      <c r="V3442" s="176"/>
      <c r="W3442" s="176"/>
      <c r="X3442" s="176"/>
      <c r="Y3442" s="176"/>
    </row>
    <row r="3443" spans="1:25">
      <c r="A3443" s="91"/>
      <c r="B3443" s="176"/>
      <c r="C3443" s="176"/>
      <c r="D3443" s="176"/>
      <c r="E3443" s="176"/>
      <c r="F3443" s="176"/>
      <c r="G3443" s="176"/>
      <c r="H3443" s="176"/>
      <c r="I3443" s="176"/>
      <c r="J3443" s="176"/>
      <c r="K3443" s="176"/>
      <c r="L3443" s="176"/>
      <c r="M3443" s="176"/>
      <c r="N3443" s="176"/>
      <c r="O3443" s="176"/>
      <c r="P3443" s="176"/>
      <c r="Q3443" s="176"/>
      <c r="R3443" s="176"/>
      <c r="S3443" s="176"/>
      <c r="T3443" s="176"/>
      <c r="U3443" s="176"/>
      <c r="V3443" s="176"/>
      <c r="W3443" s="176"/>
      <c r="X3443" s="176"/>
      <c r="Y3443" s="176"/>
    </row>
    <row r="3444" spans="1:25">
      <c r="A3444" s="91"/>
      <c r="B3444" s="176"/>
      <c r="C3444" s="176"/>
      <c r="D3444" s="176"/>
      <c r="E3444" s="176"/>
      <c r="F3444" s="176"/>
      <c r="G3444" s="176"/>
      <c r="H3444" s="176"/>
      <c r="I3444" s="176"/>
      <c r="J3444" s="176"/>
      <c r="K3444" s="176"/>
      <c r="L3444" s="176"/>
      <c r="M3444" s="176"/>
      <c r="N3444" s="176"/>
      <c r="O3444" s="176"/>
      <c r="P3444" s="176"/>
      <c r="Q3444" s="176"/>
      <c r="R3444" s="176"/>
      <c r="S3444" s="176"/>
      <c r="T3444" s="176"/>
      <c r="U3444" s="176"/>
      <c r="V3444" s="176"/>
      <c r="W3444" s="176"/>
      <c r="X3444" s="176"/>
      <c r="Y3444" s="176"/>
    </row>
    <row r="3445" spans="1:25">
      <c r="A3445" s="91"/>
      <c r="B3445" s="176"/>
      <c r="C3445" s="176"/>
      <c r="D3445" s="176"/>
      <c r="E3445" s="176"/>
      <c r="F3445" s="176"/>
      <c r="G3445" s="176"/>
      <c r="H3445" s="176"/>
      <c r="I3445" s="176"/>
      <c r="J3445" s="176"/>
      <c r="K3445" s="176"/>
      <c r="L3445" s="176"/>
      <c r="M3445" s="176"/>
      <c r="N3445" s="176"/>
      <c r="O3445" s="176"/>
      <c r="P3445" s="176"/>
      <c r="Q3445" s="176"/>
      <c r="R3445" s="176"/>
      <c r="S3445" s="176"/>
      <c r="T3445" s="176"/>
      <c r="U3445" s="176"/>
      <c r="V3445" s="176"/>
      <c r="W3445" s="176"/>
      <c r="X3445" s="176"/>
      <c r="Y3445" s="176"/>
    </row>
    <row r="3446" spans="1:25">
      <c r="A3446" s="91"/>
      <c r="B3446" s="176"/>
      <c r="C3446" s="176"/>
      <c r="D3446" s="176"/>
      <c r="E3446" s="176"/>
      <c r="F3446" s="176"/>
      <c r="G3446" s="176"/>
      <c r="H3446" s="176"/>
      <c r="I3446" s="176"/>
      <c r="J3446" s="176"/>
      <c r="K3446" s="176"/>
      <c r="L3446" s="176"/>
      <c r="M3446" s="176"/>
      <c r="N3446" s="176"/>
      <c r="O3446" s="176"/>
      <c r="P3446" s="176"/>
      <c r="Q3446" s="176"/>
      <c r="R3446" s="176"/>
      <c r="S3446" s="176"/>
      <c r="T3446" s="176"/>
      <c r="U3446" s="176"/>
      <c r="V3446" s="176"/>
      <c r="W3446" s="176"/>
      <c r="X3446" s="176"/>
      <c r="Y3446" s="176"/>
    </row>
    <row r="3447" spans="1:25">
      <c r="A3447" s="91"/>
      <c r="B3447" s="176"/>
      <c r="C3447" s="176"/>
      <c r="D3447" s="176"/>
      <c r="E3447" s="176"/>
      <c r="F3447" s="176"/>
      <c r="G3447" s="176"/>
      <c r="H3447" s="176"/>
      <c r="I3447" s="176"/>
      <c r="J3447" s="176"/>
      <c r="K3447" s="176"/>
      <c r="L3447" s="176"/>
      <c r="M3447" s="176"/>
      <c r="N3447" s="176"/>
      <c r="O3447" s="176"/>
      <c r="P3447" s="176"/>
      <c r="Q3447" s="176"/>
      <c r="R3447" s="176"/>
      <c r="S3447" s="176"/>
      <c r="T3447" s="176"/>
      <c r="U3447" s="176"/>
      <c r="V3447" s="176"/>
      <c r="W3447" s="176"/>
      <c r="X3447" s="176"/>
      <c r="Y3447" s="176"/>
    </row>
    <row r="3448" spans="1:25">
      <c r="A3448" s="91"/>
      <c r="B3448" s="176"/>
      <c r="C3448" s="176"/>
      <c r="D3448" s="176"/>
      <c r="E3448" s="176"/>
      <c r="F3448" s="176"/>
      <c r="G3448" s="176"/>
      <c r="H3448" s="176"/>
      <c r="I3448" s="176"/>
      <c r="J3448" s="176"/>
      <c r="K3448" s="176"/>
      <c r="L3448" s="176"/>
      <c r="M3448" s="176"/>
      <c r="N3448" s="176"/>
      <c r="O3448" s="176"/>
      <c r="P3448" s="176"/>
      <c r="Q3448" s="176"/>
      <c r="R3448" s="176"/>
      <c r="S3448" s="176"/>
      <c r="T3448" s="176"/>
      <c r="U3448" s="176"/>
      <c r="V3448" s="176"/>
      <c r="W3448" s="176"/>
      <c r="X3448" s="176"/>
      <c r="Y3448" s="176"/>
    </row>
    <row r="3449" spans="1:25">
      <c r="A3449" s="91"/>
      <c r="B3449" s="176"/>
      <c r="C3449" s="176"/>
      <c r="D3449" s="176"/>
      <c r="E3449" s="176"/>
      <c r="F3449" s="176"/>
      <c r="G3449" s="176"/>
      <c r="H3449" s="176"/>
      <c r="I3449" s="176"/>
      <c r="J3449" s="176"/>
      <c r="K3449" s="176"/>
      <c r="L3449" s="176"/>
      <c r="M3449" s="176"/>
      <c r="N3449" s="176"/>
      <c r="O3449" s="176"/>
      <c r="P3449" s="176"/>
      <c r="Q3449" s="176"/>
      <c r="R3449" s="176"/>
      <c r="S3449" s="176"/>
      <c r="T3449" s="176"/>
      <c r="U3449" s="176"/>
      <c r="V3449" s="176"/>
      <c r="W3449" s="176"/>
      <c r="X3449" s="176"/>
      <c r="Y3449" s="176"/>
    </row>
    <row r="3450" spans="1:25">
      <c r="A3450" s="91"/>
      <c r="B3450" s="176"/>
      <c r="C3450" s="176"/>
      <c r="D3450" s="176"/>
      <c r="E3450" s="176"/>
      <c r="F3450" s="176"/>
      <c r="G3450" s="176"/>
      <c r="H3450" s="176"/>
      <c r="I3450" s="176"/>
      <c r="J3450" s="176"/>
      <c r="K3450" s="176"/>
      <c r="L3450" s="176"/>
      <c r="M3450" s="176"/>
      <c r="N3450" s="176"/>
      <c r="O3450" s="176"/>
      <c r="P3450" s="176"/>
      <c r="Q3450" s="176"/>
      <c r="R3450" s="176"/>
      <c r="S3450" s="176"/>
      <c r="T3450" s="176"/>
      <c r="U3450" s="176"/>
      <c r="V3450" s="176"/>
      <c r="W3450" s="176"/>
      <c r="X3450" s="176"/>
      <c r="Y3450" s="176"/>
    </row>
    <row r="3451" spans="1:25">
      <c r="A3451" s="91"/>
      <c r="B3451" s="176"/>
      <c r="C3451" s="176"/>
      <c r="D3451" s="176"/>
      <c r="E3451" s="176"/>
      <c r="F3451" s="176"/>
      <c r="G3451" s="176"/>
      <c r="H3451" s="176"/>
      <c r="I3451" s="176"/>
      <c r="J3451" s="176"/>
      <c r="K3451" s="176"/>
      <c r="L3451" s="176"/>
      <c r="M3451" s="176"/>
      <c r="N3451" s="176"/>
      <c r="O3451" s="176"/>
      <c r="P3451" s="176"/>
      <c r="Q3451" s="176"/>
      <c r="R3451" s="176"/>
      <c r="S3451" s="176"/>
      <c r="T3451" s="176"/>
      <c r="U3451" s="176"/>
      <c r="V3451" s="176"/>
      <c r="W3451" s="176"/>
      <c r="X3451" s="176"/>
      <c r="Y3451" s="176"/>
    </row>
    <row r="3452" spans="1:25">
      <c r="A3452" s="91"/>
      <c r="B3452" s="176"/>
      <c r="C3452" s="176"/>
      <c r="D3452" s="176"/>
      <c r="E3452" s="176"/>
      <c r="F3452" s="176"/>
      <c r="G3452" s="176"/>
      <c r="H3452" s="176"/>
      <c r="I3452" s="176"/>
      <c r="J3452" s="176"/>
      <c r="K3452" s="176"/>
      <c r="L3452" s="176"/>
      <c r="M3452" s="176"/>
      <c r="N3452" s="176"/>
      <c r="O3452" s="176"/>
      <c r="P3452" s="176"/>
      <c r="Q3452" s="176"/>
      <c r="R3452" s="176"/>
      <c r="S3452" s="176"/>
      <c r="T3452" s="176"/>
      <c r="U3452" s="176"/>
      <c r="V3452" s="176"/>
      <c r="W3452" s="176"/>
      <c r="X3452" s="176"/>
      <c r="Y3452" s="176"/>
    </row>
    <row r="3453" spans="1:25">
      <c r="A3453" s="91"/>
      <c r="B3453" s="176"/>
      <c r="C3453" s="176"/>
      <c r="D3453" s="176"/>
      <c r="E3453" s="176"/>
      <c r="F3453" s="176"/>
      <c r="G3453" s="176"/>
      <c r="H3453" s="176"/>
      <c r="I3453" s="176"/>
      <c r="J3453" s="176"/>
      <c r="K3453" s="176"/>
      <c r="L3453" s="176"/>
      <c r="M3453" s="176"/>
      <c r="N3453" s="176"/>
      <c r="O3453" s="176"/>
      <c r="P3453" s="176"/>
      <c r="Q3453" s="176"/>
      <c r="R3453" s="176"/>
      <c r="S3453" s="176"/>
      <c r="T3453" s="176"/>
      <c r="U3453" s="176"/>
      <c r="V3453" s="176"/>
      <c r="W3453" s="176"/>
      <c r="X3453" s="176"/>
      <c r="Y3453" s="176"/>
    </row>
    <row r="3454" spans="1:25">
      <c r="A3454" s="91"/>
      <c r="B3454" s="176"/>
      <c r="C3454" s="176"/>
      <c r="D3454" s="176"/>
      <c r="E3454" s="176"/>
      <c r="F3454" s="176"/>
      <c r="G3454" s="176"/>
      <c r="H3454" s="176"/>
      <c r="I3454" s="176"/>
      <c r="J3454" s="176"/>
      <c r="K3454" s="176"/>
      <c r="L3454" s="176"/>
      <c r="M3454" s="176"/>
      <c r="N3454" s="176"/>
      <c r="O3454" s="176"/>
      <c r="P3454" s="176"/>
      <c r="Q3454" s="176"/>
      <c r="R3454" s="176"/>
      <c r="S3454" s="176"/>
      <c r="T3454" s="176"/>
      <c r="U3454" s="176"/>
      <c r="V3454" s="176"/>
      <c r="W3454" s="176"/>
      <c r="X3454" s="176"/>
      <c r="Y3454" s="176"/>
    </row>
    <row r="3455" spans="1:25">
      <c r="A3455" s="91"/>
      <c r="B3455" s="176"/>
      <c r="C3455" s="176"/>
      <c r="D3455" s="176"/>
      <c r="E3455" s="176"/>
      <c r="F3455" s="176"/>
      <c r="G3455" s="176"/>
      <c r="H3455" s="176"/>
      <c r="I3455" s="176"/>
      <c r="J3455" s="176"/>
      <c r="K3455" s="176"/>
      <c r="L3455" s="176"/>
      <c r="M3455" s="176"/>
      <c r="N3455" s="176"/>
      <c r="O3455" s="176"/>
      <c r="P3455" s="176"/>
      <c r="Q3455" s="176"/>
      <c r="R3455" s="176"/>
      <c r="S3455" s="176"/>
      <c r="T3455" s="176"/>
      <c r="U3455" s="176"/>
      <c r="V3455" s="176"/>
      <c r="W3455" s="176"/>
      <c r="X3455" s="176"/>
      <c r="Y3455" s="176"/>
    </row>
    <row r="3456" spans="1:25">
      <c r="A3456" s="91"/>
      <c r="B3456" s="176"/>
      <c r="C3456" s="176"/>
      <c r="D3456" s="176"/>
      <c r="E3456" s="176"/>
      <c r="F3456" s="176"/>
      <c r="G3456" s="176"/>
      <c r="H3456" s="176"/>
      <c r="I3456" s="176"/>
      <c r="J3456" s="176"/>
      <c r="K3456" s="176"/>
      <c r="L3456" s="176"/>
      <c r="M3456" s="176"/>
      <c r="N3456" s="176"/>
      <c r="O3456" s="176"/>
      <c r="P3456" s="176"/>
      <c r="Q3456" s="176"/>
      <c r="R3456" s="176"/>
      <c r="S3456" s="176"/>
      <c r="T3456" s="176"/>
      <c r="U3456" s="176"/>
      <c r="V3456" s="176"/>
      <c r="W3456" s="176"/>
      <c r="X3456" s="176"/>
      <c r="Y3456" s="176"/>
    </row>
    <row r="3457" spans="1:25">
      <c r="A3457" s="91"/>
      <c r="B3457" s="176"/>
      <c r="C3457" s="176"/>
      <c r="D3457" s="176"/>
      <c r="E3457" s="176"/>
      <c r="F3457" s="176"/>
      <c r="G3457" s="176"/>
      <c r="H3457" s="176"/>
      <c r="I3457" s="176"/>
      <c r="J3457" s="176"/>
      <c r="K3457" s="176"/>
      <c r="L3457" s="176"/>
      <c r="M3457" s="176"/>
      <c r="N3457" s="176"/>
      <c r="O3457" s="176"/>
      <c r="P3457" s="176"/>
      <c r="Q3457" s="176"/>
      <c r="R3457" s="176"/>
      <c r="S3457" s="176"/>
      <c r="T3457" s="176"/>
      <c r="U3457" s="176"/>
      <c r="V3457" s="176"/>
      <c r="W3457" s="176"/>
      <c r="X3457" s="176"/>
      <c r="Y3457" s="176"/>
    </row>
    <row r="3458" spans="1:25">
      <c r="A3458" s="91"/>
      <c r="B3458" s="176"/>
      <c r="C3458" s="176"/>
      <c r="D3458" s="176"/>
      <c r="E3458" s="176"/>
      <c r="F3458" s="176"/>
      <c r="G3458" s="176"/>
      <c r="H3458" s="176"/>
      <c r="I3458" s="176"/>
      <c r="J3458" s="176"/>
      <c r="K3458" s="176"/>
      <c r="L3458" s="176"/>
      <c r="M3458" s="176"/>
      <c r="N3458" s="176"/>
      <c r="O3458" s="176"/>
      <c r="P3458" s="176"/>
      <c r="Q3458" s="176"/>
      <c r="R3458" s="176"/>
      <c r="S3458" s="176"/>
      <c r="T3458" s="176"/>
      <c r="U3458" s="176"/>
      <c r="V3458" s="176"/>
      <c r="W3458" s="176"/>
      <c r="X3458" s="176"/>
      <c r="Y3458" s="176"/>
    </row>
    <row r="3459" spans="1:25">
      <c r="A3459" s="91"/>
      <c r="B3459" s="176"/>
      <c r="C3459" s="176"/>
      <c r="D3459" s="176"/>
      <c r="E3459" s="176"/>
      <c r="F3459" s="176"/>
      <c r="G3459" s="176"/>
      <c r="H3459" s="176"/>
      <c r="I3459" s="176"/>
      <c r="J3459" s="176"/>
      <c r="K3459" s="176"/>
      <c r="L3459" s="176"/>
      <c r="M3459" s="176"/>
      <c r="N3459" s="176"/>
      <c r="O3459" s="176"/>
      <c r="P3459" s="176"/>
      <c r="Q3459" s="176"/>
      <c r="R3459" s="176"/>
      <c r="S3459" s="176"/>
      <c r="T3459" s="176"/>
      <c r="U3459" s="176"/>
      <c r="V3459" s="176"/>
      <c r="W3459" s="176"/>
      <c r="X3459" s="176"/>
      <c r="Y3459" s="176"/>
    </row>
    <row r="3460" spans="1:25">
      <c r="A3460" s="91"/>
      <c r="B3460" s="176"/>
      <c r="C3460" s="176"/>
      <c r="D3460" s="176"/>
      <c r="E3460" s="176"/>
      <c r="F3460" s="176"/>
      <c r="G3460" s="176"/>
      <c r="H3460" s="176"/>
      <c r="I3460" s="176"/>
      <c r="J3460" s="176"/>
      <c r="K3460" s="176"/>
      <c r="L3460" s="176"/>
      <c r="M3460" s="176"/>
      <c r="N3460" s="176"/>
      <c r="O3460" s="176"/>
      <c r="P3460" s="176"/>
      <c r="Q3460" s="176"/>
      <c r="R3460" s="176"/>
      <c r="S3460" s="176"/>
      <c r="T3460" s="176"/>
      <c r="U3460" s="176"/>
      <c r="V3460" s="176"/>
      <c r="W3460" s="176"/>
      <c r="X3460" s="176"/>
      <c r="Y3460" s="176"/>
    </row>
    <row r="3461" spans="1:25">
      <c r="A3461" s="91"/>
      <c r="B3461" s="176"/>
      <c r="C3461" s="176"/>
      <c r="D3461" s="176"/>
      <c r="E3461" s="176"/>
      <c r="F3461" s="176"/>
      <c r="G3461" s="176"/>
      <c r="H3461" s="176"/>
      <c r="I3461" s="176"/>
      <c r="J3461" s="176"/>
      <c r="K3461" s="176"/>
      <c r="L3461" s="176"/>
      <c r="M3461" s="176"/>
      <c r="N3461" s="176"/>
      <c r="O3461" s="176"/>
      <c r="P3461" s="176"/>
      <c r="Q3461" s="176"/>
      <c r="R3461" s="176"/>
      <c r="S3461" s="176"/>
      <c r="T3461" s="176"/>
      <c r="U3461" s="176"/>
      <c r="V3461" s="176"/>
      <c r="W3461" s="176"/>
      <c r="X3461" s="176"/>
      <c r="Y3461" s="176"/>
    </row>
    <row r="3462" spans="1:25">
      <c r="A3462" s="91"/>
      <c r="B3462" s="176"/>
      <c r="C3462" s="176"/>
      <c r="D3462" s="176"/>
      <c r="E3462" s="176"/>
      <c r="F3462" s="176"/>
      <c r="G3462" s="176"/>
      <c r="H3462" s="176"/>
      <c r="I3462" s="176"/>
      <c r="J3462" s="176"/>
      <c r="K3462" s="176"/>
      <c r="L3462" s="176"/>
      <c r="M3462" s="176"/>
      <c r="N3462" s="176"/>
      <c r="O3462" s="176"/>
      <c r="P3462" s="176"/>
      <c r="Q3462" s="176"/>
      <c r="R3462" s="176"/>
      <c r="S3462" s="176"/>
      <c r="T3462" s="176"/>
      <c r="U3462" s="176"/>
      <c r="V3462" s="176"/>
      <c r="W3462" s="176"/>
      <c r="X3462" s="176"/>
      <c r="Y3462" s="176"/>
    </row>
    <row r="3463" spans="1:25">
      <c r="A3463" s="91"/>
      <c r="B3463" s="176"/>
      <c r="C3463" s="176"/>
      <c r="D3463" s="176"/>
      <c r="E3463" s="176"/>
      <c r="F3463" s="176"/>
      <c r="G3463" s="176"/>
      <c r="H3463" s="176"/>
      <c r="I3463" s="176"/>
      <c r="J3463" s="176"/>
      <c r="K3463" s="176"/>
      <c r="L3463" s="176"/>
      <c r="M3463" s="176"/>
      <c r="N3463" s="176"/>
      <c r="O3463" s="176"/>
      <c r="P3463" s="176"/>
      <c r="Q3463" s="176"/>
      <c r="R3463" s="176"/>
      <c r="S3463" s="176"/>
      <c r="T3463" s="176"/>
      <c r="U3463" s="176"/>
      <c r="V3463" s="176"/>
      <c r="W3463" s="176"/>
      <c r="X3463" s="176"/>
      <c r="Y3463" s="176"/>
    </row>
    <row r="3464" spans="1:25">
      <c r="A3464" s="91"/>
      <c r="B3464" s="176"/>
      <c r="C3464" s="176"/>
      <c r="D3464" s="176"/>
      <c r="E3464" s="176"/>
      <c r="F3464" s="176"/>
      <c r="G3464" s="176"/>
      <c r="H3464" s="176"/>
      <c r="I3464" s="176"/>
      <c r="J3464" s="176"/>
      <c r="K3464" s="176"/>
      <c r="L3464" s="176"/>
      <c r="M3464" s="176"/>
      <c r="N3464" s="176"/>
      <c r="O3464" s="176"/>
      <c r="P3464" s="176"/>
      <c r="Q3464" s="176"/>
      <c r="R3464" s="176"/>
      <c r="S3464" s="176"/>
      <c r="T3464" s="176"/>
      <c r="U3464" s="176"/>
      <c r="V3464" s="176"/>
      <c r="W3464" s="176"/>
      <c r="X3464" s="176"/>
      <c r="Y3464" s="176"/>
    </row>
    <row r="3465" spans="1:25">
      <c r="A3465" s="91"/>
      <c r="B3465" s="176"/>
      <c r="C3465" s="176"/>
      <c r="D3465" s="176"/>
      <c r="E3465" s="176"/>
      <c r="F3465" s="176"/>
      <c r="G3465" s="176"/>
      <c r="H3465" s="176"/>
      <c r="I3465" s="176"/>
      <c r="J3465" s="176"/>
      <c r="K3465" s="176"/>
      <c r="L3465" s="176"/>
      <c r="M3465" s="176"/>
      <c r="N3465" s="176"/>
      <c r="O3465" s="176"/>
      <c r="P3465" s="176"/>
      <c r="Q3465" s="176"/>
      <c r="R3465" s="176"/>
      <c r="S3465" s="176"/>
      <c r="T3465" s="176"/>
      <c r="U3465" s="176"/>
      <c r="V3465" s="176"/>
      <c r="W3465" s="176"/>
      <c r="X3465" s="176"/>
      <c r="Y3465" s="176"/>
    </row>
    <row r="3466" spans="1:25">
      <c r="A3466" s="91"/>
      <c r="B3466" s="176"/>
      <c r="C3466" s="176"/>
      <c r="D3466" s="176"/>
      <c r="E3466" s="176"/>
      <c r="F3466" s="176"/>
      <c r="G3466" s="176"/>
      <c r="H3466" s="176"/>
      <c r="I3466" s="176"/>
      <c r="J3466" s="176"/>
      <c r="K3466" s="176"/>
      <c r="L3466" s="176"/>
      <c r="M3466" s="176"/>
      <c r="N3466" s="176"/>
      <c r="O3466" s="176"/>
      <c r="P3466" s="176"/>
      <c r="Q3466" s="176"/>
      <c r="R3466" s="176"/>
      <c r="S3466" s="176"/>
      <c r="T3466" s="176"/>
      <c r="U3466" s="176"/>
      <c r="V3466" s="176"/>
      <c r="W3466" s="176"/>
      <c r="X3466" s="176"/>
      <c r="Y3466" s="176"/>
    </row>
    <row r="3467" spans="1:25">
      <c r="A3467" s="91"/>
      <c r="B3467" s="176"/>
      <c r="C3467" s="176"/>
      <c r="D3467" s="176"/>
      <c r="E3467" s="176"/>
      <c r="F3467" s="176"/>
      <c r="G3467" s="176"/>
      <c r="H3467" s="176"/>
      <c r="I3467" s="176"/>
      <c r="J3467" s="176"/>
      <c r="K3467" s="176"/>
      <c r="L3467" s="176"/>
      <c r="M3467" s="176"/>
      <c r="N3467" s="176"/>
      <c r="O3467" s="176"/>
      <c r="P3467" s="176"/>
      <c r="Q3467" s="176"/>
      <c r="R3467" s="176"/>
      <c r="S3467" s="176"/>
      <c r="T3467" s="176"/>
      <c r="U3467" s="176"/>
      <c r="V3467" s="176"/>
      <c r="W3467" s="176"/>
      <c r="X3467" s="176"/>
      <c r="Y3467" s="176"/>
    </row>
    <row r="3468" spans="1:25">
      <c r="A3468" s="91"/>
      <c r="B3468" s="176"/>
      <c r="C3468" s="176"/>
      <c r="D3468" s="176"/>
      <c r="E3468" s="176"/>
      <c r="F3468" s="176"/>
      <c r="G3468" s="176"/>
      <c r="H3468" s="176"/>
      <c r="I3468" s="176"/>
      <c r="J3468" s="176"/>
      <c r="K3468" s="176"/>
      <c r="L3468" s="176"/>
      <c r="M3468" s="176"/>
      <c r="N3468" s="176"/>
      <c r="O3468" s="176"/>
      <c r="P3468" s="176"/>
      <c r="Q3468" s="176"/>
      <c r="R3468" s="176"/>
      <c r="S3468" s="176"/>
      <c r="T3468" s="176"/>
      <c r="U3468" s="176"/>
      <c r="V3468" s="176"/>
      <c r="W3468" s="176"/>
      <c r="X3468" s="176"/>
      <c r="Y3468" s="176"/>
    </row>
    <row r="3469" spans="1:25">
      <c r="A3469" s="91"/>
      <c r="B3469" s="176"/>
      <c r="C3469" s="176"/>
      <c r="D3469" s="176"/>
      <c r="E3469" s="176"/>
      <c r="F3469" s="176"/>
      <c r="G3469" s="176"/>
      <c r="H3469" s="176"/>
      <c r="I3469" s="176"/>
      <c r="J3469" s="176"/>
      <c r="K3469" s="176"/>
      <c r="L3469" s="176"/>
      <c r="M3469" s="176"/>
      <c r="N3469" s="176"/>
      <c r="O3469" s="176"/>
      <c r="P3469" s="176"/>
      <c r="Q3469" s="176"/>
      <c r="R3469" s="176"/>
      <c r="S3469" s="176"/>
      <c r="T3469" s="176"/>
      <c r="U3469" s="176"/>
      <c r="V3469" s="176"/>
      <c r="W3469" s="176"/>
      <c r="X3469" s="176"/>
      <c r="Y3469" s="176"/>
    </row>
    <row r="3470" spans="1:25">
      <c r="A3470" s="91"/>
      <c r="B3470" s="176"/>
      <c r="C3470" s="176"/>
      <c r="D3470" s="176"/>
      <c r="E3470" s="176"/>
      <c r="F3470" s="176"/>
      <c r="G3470" s="176"/>
      <c r="H3470" s="176"/>
      <c r="I3470" s="176"/>
      <c r="J3470" s="176"/>
      <c r="K3470" s="176"/>
      <c r="L3470" s="176"/>
      <c r="M3470" s="176"/>
      <c r="N3470" s="176"/>
      <c r="O3470" s="176"/>
      <c r="P3470" s="176"/>
      <c r="Q3470" s="176"/>
      <c r="R3470" s="176"/>
      <c r="S3470" s="176"/>
      <c r="T3470" s="176"/>
      <c r="U3470" s="176"/>
      <c r="V3470" s="176"/>
      <c r="W3470" s="176"/>
      <c r="X3470" s="176"/>
      <c r="Y3470" s="176"/>
    </row>
    <row r="3471" spans="1:25">
      <c r="A3471" s="91"/>
      <c r="B3471" s="176"/>
      <c r="C3471" s="176"/>
      <c r="D3471" s="176"/>
      <c r="E3471" s="176"/>
      <c r="F3471" s="176"/>
      <c r="G3471" s="176"/>
      <c r="H3471" s="176"/>
      <c r="I3471" s="176"/>
      <c r="J3471" s="176"/>
      <c r="K3471" s="176"/>
      <c r="L3471" s="176"/>
      <c r="M3471" s="176"/>
      <c r="N3471" s="176"/>
      <c r="O3471" s="176"/>
      <c r="P3471" s="176"/>
      <c r="Q3471" s="176"/>
      <c r="R3471" s="176"/>
      <c r="S3471" s="176"/>
      <c r="T3471" s="176"/>
      <c r="U3471" s="176"/>
      <c r="V3471" s="176"/>
      <c r="W3471" s="176"/>
      <c r="X3471" s="176"/>
      <c r="Y3471" s="176"/>
    </row>
    <row r="3472" spans="1:25">
      <c r="A3472" s="91"/>
      <c r="B3472" s="176"/>
      <c r="C3472" s="176"/>
      <c r="D3472" s="176"/>
      <c r="E3472" s="176"/>
      <c r="F3472" s="176"/>
      <c r="G3472" s="176"/>
      <c r="H3472" s="176"/>
      <c r="I3472" s="176"/>
      <c r="J3472" s="176"/>
      <c r="K3472" s="176"/>
      <c r="L3472" s="176"/>
      <c r="M3472" s="176"/>
      <c r="N3472" s="176"/>
      <c r="O3472" s="176"/>
      <c r="P3472" s="176"/>
      <c r="Q3472" s="176"/>
      <c r="R3472" s="176"/>
      <c r="S3472" s="176"/>
      <c r="T3472" s="176"/>
      <c r="U3472" s="176"/>
      <c r="V3472" s="176"/>
      <c r="W3472" s="176"/>
      <c r="X3472" s="176"/>
      <c r="Y3472" s="176"/>
    </row>
    <row r="3473" spans="1:25">
      <c r="A3473" s="91"/>
      <c r="B3473" s="176"/>
      <c r="C3473" s="176"/>
      <c r="D3473" s="176"/>
      <c r="E3473" s="176"/>
      <c r="F3473" s="176"/>
      <c r="G3473" s="176"/>
      <c r="H3473" s="176"/>
      <c r="I3473" s="176"/>
      <c r="J3473" s="176"/>
      <c r="K3473" s="176"/>
      <c r="L3473" s="176"/>
      <c r="M3473" s="176"/>
      <c r="N3473" s="176"/>
      <c r="O3473" s="176"/>
      <c r="P3473" s="176"/>
      <c r="Q3473" s="176"/>
      <c r="R3473" s="176"/>
      <c r="S3473" s="176"/>
      <c r="T3473" s="176"/>
      <c r="U3473" s="176"/>
      <c r="V3473" s="176"/>
      <c r="W3473" s="176"/>
      <c r="X3473" s="176"/>
      <c r="Y3473" s="176"/>
    </row>
    <row r="3474" spans="1:25">
      <c r="A3474" s="91"/>
      <c r="B3474" s="176"/>
      <c r="C3474" s="176"/>
      <c r="D3474" s="176"/>
      <c r="E3474" s="176"/>
      <c r="F3474" s="176"/>
      <c r="G3474" s="176"/>
      <c r="H3474" s="176"/>
      <c r="I3474" s="176"/>
      <c r="J3474" s="176"/>
      <c r="K3474" s="176"/>
      <c r="L3474" s="176"/>
      <c r="M3474" s="176"/>
      <c r="N3474" s="176"/>
      <c r="O3474" s="176"/>
      <c r="P3474" s="176"/>
      <c r="Q3474" s="176"/>
      <c r="R3474" s="176"/>
      <c r="S3474" s="176"/>
      <c r="T3474" s="176"/>
      <c r="U3474" s="176"/>
      <c r="V3474" s="176"/>
      <c r="W3474" s="176"/>
      <c r="X3474" s="176"/>
      <c r="Y3474" s="176"/>
    </row>
    <row r="3475" spans="1:25">
      <c r="A3475" s="91"/>
      <c r="B3475" s="176"/>
      <c r="C3475" s="176"/>
      <c r="D3475" s="176"/>
      <c r="E3475" s="176"/>
      <c r="F3475" s="176"/>
      <c r="G3475" s="176"/>
      <c r="H3475" s="176"/>
      <c r="I3475" s="176"/>
      <c r="J3475" s="176"/>
      <c r="K3475" s="176"/>
      <c r="L3475" s="176"/>
      <c r="M3475" s="176"/>
      <c r="N3475" s="176"/>
      <c r="O3475" s="176"/>
      <c r="P3475" s="176"/>
      <c r="Q3475" s="176"/>
      <c r="R3475" s="176"/>
      <c r="S3475" s="176"/>
      <c r="T3475" s="176"/>
      <c r="U3475" s="176"/>
      <c r="V3475" s="176"/>
      <c r="W3475" s="176"/>
      <c r="X3475" s="176"/>
      <c r="Y3475" s="176"/>
    </row>
    <row r="3476" spans="1:25">
      <c r="A3476" s="91"/>
      <c r="B3476" s="176"/>
      <c r="C3476" s="176"/>
      <c r="D3476" s="176"/>
      <c r="E3476" s="176"/>
      <c r="F3476" s="176"/>
      <c r="G3476" s="176"/>
      <c r="H3476" s="176"/>
      <c r="I3476" s="176"/>
      <c r="J3476" s="176"/>
      <c r="K3476" s="176"/>
      <c r="L3476" s="176"/>
      <c r="M3476" s="176"/>
      <c r="N3476" s="176"/>
      <c r="O3476" s="176"/>
      <c r="P3476" s="176"/>
      <c r="Q3476" s="176"/>
      <c r="R3476" s="176"/>
      <c r="S3476" s="176"/>
      <c r="T3476" s="176"/>
      <c r="U3476" s="176"/>
      <c r="V3476" s="176"/>
      <c r="W3476" s="176"/>
      <c r="X3476" s="176"/>
      <c r="Y3476" s="176"/>
    </row>
    <row r="3477" spans="1:25">
      <c r="A3477" s="91"/>
      <c r="B3477" s="176"/>
      <c r="C3477" s="176"/>
      <c r="D3477" s="176"/>
      <c r="E3477" s="176"/>
      <c r="F3477" s="176"/>
      <c r="G3477" s="176"/>
      <c r="H3477" s="176"/>
      <c r="I3477" s="176"/>
      <c r="J3477" s="176"/>
      <c r="K3477" s="176"/>
      <c r="L3477" s="176"/>
      <c r="M3477" s="176"/>
      <c r="N3477" s="176"/>
      <c r="O3477" s="176"/>
      <c r="P3477" s="176"/>
      <c r="Q3477" s="176"/>
      <c r="R3477" s="176"/>
      <c r="S3477" s="176"/>
      <c r="T3477" s="176"/>
      <c r="U3477" s="176"/>
      <c r="V3477" s="176"/>
      <c r="W3477" s="176"/>
      <c r="X3477" s="176"/>
      <c r="Y3477" s="176"/>
    </row>
    <row r="3478" spans="1:25">
      <c r="A3478" s="91"/>
      <c r="B3478" s="176"/>
      <c r="C3478" s="176"/>
      <c r="D3478" s="176"/>
      <c r="E3478" s="176"/>
      <c r="F3478" s="176"/>
      <c r="G3478" s="176"/>
      <c r="H3478" s="176"/>
      <c r="I3478" s="176"/>
      <c r="J3478" s="176"/>
      <c r="K3478" s="176"/>
      <c r="L3478" s="176"/>
      <c r="M3478" s="176"/>
      <c r="N3478" s="176"/>
      <c r="O3478" s="176"/>
      <c r="P3478" s="176"/>
      <c r="Q3478" s="176"/>
      <c r="R3478" s="176"/>
      <c r="S3478" s="176"/>
      <c r="T3478" s="176"/>
      <c r="U3478" s="176"/>
      <c r="V3478" s="176"/>
      <c r="W3478" s="176"/>
      <c r="X3478" s="176"/>
      <c r="Y3478" s="176"/>
    </row>
    <row r="3479" spans="1:25">
      <c r="A3479" s="91"/>
      <c r="B3479" s="176"/>
      <c r="C3479" s="176"/>
      <c r="D3479" s="176"/>
      <c r="E3479" s="176"/>
      <c r="F3479" s="176"/>
      <c r="G3479" s="176"/>
      <c r="H3479" s="176"/>
      <c r="I3479" s="176"/>
      <c r="J3479" s="176"/>
      <c r="K3479" s="176"/>
      <c r="L3479" s="176"/>
      <c r="M3479" s="176"/>
      <c r="N3479" s="176"/>
      <c r="O3479" s="176"/>
      <c r="P3479" s="176"/>
      <c r="Q3479" s="176"/>
      <c r="R3479" s="176"/>
      <c r="S3479" s="176"/>
      <c r="T3479" s="176"/>
      <c r="U3479" s="176"/>
      <c r="V3479" s="176"/>
      <c r="W3479" s="176"/>
      <c r="X3479" s="176"/>
      <c r="Y3479" s="176"/>
    </row>
    <row r="3480" spans="1:25">
      <c r="A3480" s="91"/>
      <c r="B3480" s="176"/>
      <c r="C3480" s="176"/>
      <c r="D3480" s="176"/>
      <c r="E3480" s="176"/>
      <c r="F3480" s="176"/>
      <c r="G3480" s="176"/>
      <c r="H3480" s="176"/>
      <c r="I3480" s="176"/>
      <c r="J3480" s="176"/>
      <c r="K3480" s="176"/>
      <c r="L3480" s="176"/>
      <c r="M3480" s="176"/>
      <c r="N3480" s="176"/>
      <c r="O3480" s="176"/>
      <c r="P3480" s="176"/>
      <c r="Q3480" s="176"/>
      <c r="R3480" s="176"/>
      <c r="S3480" s="176"/>
      <c r="T3480" s="176"/>
      <c r="U3480" s="176"/>
      <c r="V3480" s="176"/>
      <c r="W3480" s="176"/>
      <c r="X3480" s="176"/>
      <c r="Y3480" s="176"/>
    </row>
    <row r="3481" spans="1:25">
      <c r="A3481" s="91"/>
      <c r="B3481" s="176"/>
      <c r="C3481" s="176"/>
      <c r="D3481" s="176"/>
      <c r="E3481" s="176"/>
      <c r="F3481" s="176"/>
      <c r="G3481" s="176"/>
      <c r="H3481" s="176"/>
      <c r="I3481" s="176"/>
      <c r="J3481" s="176"/>
      <c r="K3481" s="176"/>
      <c r="L3481" s="176"/>
      <c r="M3481" s="176"/>
      <c r="N3481" s="176"/>
      <c r="O3481" s="176"/>
      <c r="P3481" s="176"/>
      <c r="Q3481" s="176"/>
      <c r="R3481" s="176"/>
      <c r="S3481" s="176"/>
      <c r="T3481" s="176"/>
      <c r="U3481" s="176"/>
      <c r="V3481" s="176"/>
      <c r="W3481" s="176"/>
      <c r="X3481" s="176"/>
      <c r="Y3481" s="176"/>
    </row>
    <row r="3482" spans="1:25">
      <c r="A3482" s="91"/>
      <c r="B3482" s="176"/>
      <c r="C3482" s="176"/>
      <c r="D3482" s="176"/>
      <c r="E3482" s="176"/>
      <c r="F3482" s="176"/>
      <c r="G3482" s="176"/>
      <c r="H3482" s="176"/>
      <c r="I3482" s="176"/>
      <c r="J3482" s="176"/>
      <c r="K3482" s="176"/>
      <c r="L3482" s="176"/>
      <c r="M3482" s="176"/>
      <c r="N3482" s="176"/>
      <c r="O3482" s="176"/>
      <c r="P3482" s="176"/>
      <c r="Q3482" s="176"/>
      <c r="R3482" s="176"/>
      <c r="S3482" s="176"/>
      <c r="T3482" s="176"/>
      <c r="U3482" s="176"/>
      <c r="V3482" s="176"/>
      <c r="W3482" s="176"/>
      <c r="X3482" s="176"/>
      <c r="Y3482" s="176"/>
    </row>
    <row r="3483" spans="1:25">
      <c r="A3483" s="91"/>
      <c r="B3483" s="176"/>
      <c r="C3483" s="176"/>
      <c r="D3483" s="176"/>
      <c r="E3483" s="176"/>
      <c r="F3483" s="176"/>
      <c r="G3483" s="176"/>
      <c r="H3483" s="176"/>
      <c r="I3483" s="176"/>
      <c r="J3483" s="176"/>
      <c r="K3483" s="176"/>
      <c r="L3483" s="176"/>
      <c r="M3483" s="176"/>
      <c r="N3483" s="176"/>
      <c r="O3483" s="176"/>
      <c r="P3483" s="176"/>
      <c r="Q3483" s="176"/>
      <c r="R3483" s="176"/>
      <c r="S3483" s="176"/>
      <c r="T3483" s="176"/>
      <c r="U3483" s="176"/>
      <c r="V3483" s="176"/>
      <c r="W3483" s="176"/>
      <c r="X3483" s="176"/>
      <c r="Y3483" s="176"/>
    </row>
    <row r="3484" spans="1:25">
      <c r="A3484" s="91"/>
      <c r="B3484" s="176"/>
      <c r="C3484" s="176"/>
      <c r="D3484" s="176"/>
      <c r="E3484" s="176"/>
      <c r="F3484" s="176"/>
      <c r="G3484" s="176"/>
      <c r="H3484" s="176"/>
      <c r="I3484" s="176"/>
      <c r="J3484" s="176"/>
      <c r="K3484" s="176"/>
      <c r="L3484" s="176"/>
      <c r="M3484" s="176"/>
      <c r="N3484" s="176"/>
      <c r="O3484" s="176"/>
      <c r="P3484" s="176"/>
      <c r="Q3484" s="176"/>
      <c r="R3484" s="176"/>
      <c r="S3484" s="176"/>
      <c r="T3484" s="176"/>
      <c r="U3484" s="176"/>
      <c r="V3484" s="176"/>
      <c r="W3484" s="176"/>
      <c r="X3484" s="176"/>
      <c r="Y3484" s="176"/>
    </row>
    <row r="3485" spans="1:25">
      <c r="A3485" s="91"/>
      <c r="B3485" s="176"/>
      <c r="C3485" s="176"/>
      <c r="D3485" s="176"/>
      <c r="E3485" s="176"/>
      <c r="F3485" s="176"/>
      <c r="G3485" s="176"/>
      <c r="H3485" s="176"/>
      <c r="I3485" s="176"/>
      <c r="J3485" s="176"/>
      <c r="K3485" s="176"/>
      <c r="L3485" s="176"/>
      <c r="M3485" s="176"/>
      <c r="N3485" s="176"/>
      <c r="O3485" s="176"/>
      <c r="P3485" s="176"/>
      <c r="Q3485" s="176"/>
      <c r="R3485" s="176"/>
      <c r="S3485" s="176"/>
      <c r="T3485" s="176"/>
      <c r="U3485" s="176"/>
      <c r="V3485" s="176"/>
      <c r="W3485" s="176"/>
      <c r="X3485" s="176"/>
      <c r="Y3485" s="176"/>
    </row>
    <row r="3486" spans="1:25">
      <c r="A3486" s="91"/>
      <c r="B3486" s="176"/>
      <c r="C3486" s="176"/>
      <c r="D3486" s="176"/>
      <c r="E3486" s="176"/>
      <c r="F3486" s="176"/>
      <c r="G3486" s="176"/>
      <c r="H3486" s="176"/>
      <c r="I3486" s="176"/>
      <c r="J3486" s="176"/>
      <c r="K3486" s="176"/>
      <c r="L3486" s="176"/>
      <c r="M3486" s="176"/>
      <c r="N3486" s="176"/>
      <c r="O3486" s="176"/>
      <c r="P3486" s="176"/>
      <c r="Q3486" s="176"/>
      <c r="R3486" s="176"/>
      <c r="S3486" s="176"/>
      <c r="T3486" s="176"/>
      <c r="U3486" s="176"/>
      <c r="V3486" s="176"/>
      <c r="W3486" s="176"/>
      <c r="X3486" s="176"/>
      <c r="Y3486" s="176"/>
    </row>
    <row r="3487" spans="1:25">
      <c r="A3487" s="91"/>
      <c r="B3487" s="176"/>
      <c r="C3487" s="176"/>
      <c r="D3487" s="176"/>
      <c r="E3487" s="176"/>
      <c r="F3487" s="176"/>
      <c r="G3487" s="176"/>
      <c r="H3487" s="176"/>
      <c r="I3487" s="176"/>
      <c r="J3487" s="176"/>
      <c r="K3487" s="176"/>
      <c r="L3487" s="176"/>
      <c r="M3487" s="176"/>
      <c r="N3487" s="176"/>
      <c r="O3487" s="176"/>
      <c r="P3487" s="176"/>
      <c r="Q3487" s="176"/>
      <c r="R3487" s="176"/>
      <c r="S3487" s="176"/>
      <c r="T3487" s="176"/>
      <c r="U3487" s="176"/>
      <c r="V3487" s="176"/>
      <c r="W3487" s="176"/>
      <c r="X3487" s="176"/>
      <c r="Y3487" s="176"/>
    </row>
    <row r="3488" spans="1:25">
      <c r="A3488" s="91"/>
      <c r="B3488" s="176"/>
      <c r="C3488" s="176"/>
      <c r="D3488" s="176"/>
      <c r="E3488" s="176"/>
      <c r="F3488" s="176"/>
      <c r="G3488" s="176"/>
      <c r="H3488" s="176"/>
      <c r="I3488" s="176"/>
      <c r="J3488" s="176"/>
      <c r="K3488" s="176"/>
      <c r="L3488" s="176"/>
      <c r="M3488" s="176"/>
      <c r="N3488" s="176"/>
      <c r="O3488" s="176"/>
      <c r="P3488" s="176"/>
      <c r="Q3488" s="176"/>
      <c r="R3488" s="176"/>
      <c r="S3488" s="176"/>
      <c r="T3488" s="176"/>
      <c r="U3488" s="176"/>
      <c r="V3488" s="176"/>
      <c r="W3488" s="176"/>
      <c r="X3488" s="176"/>
      <c r="Y3488" s="176"/>
    </row>
    <row r="3489" spans="1:25">
      <c r="A3489" s="91"/>
      <c r="B3489" s="176"/>
      <c r="C3489" s="176"/>
      <c r="D3489" s="176"/>
      <c r="E3489" s="176"/>
      <c r="F3489" s="176"/>
      <c r="G3489" s="176"/>
      <c r="H3489" s="176"/>
      <c r="I3489" s="176"/>
      <c r="J3489" s="176"/>
      <c r="K3489" s="176"/>
      <c r="L3489" s="176"/>
      <c r="M3489" s="176"/>
      <c r="N3489" s="176"/>
      <c r="O3489" s="176"/>
      <c r="P3489" s="176"/>
      <c r="Q3489" s="176"/>
      <c r="R3489" s="176"/>
      <c r="S3489" s="176"/>
      <c r="T3489" s="176"/>
      <c r="U3489" s="176"/>
      <c r="V3489" s="176"/>
      <c r="W3489" s="176"/>
      <c r="X3489" s="176"/>
      <c r="Y3489" s="176"/>
    </row>
    <row r="3490" spans="1:25">
      <c r="A3490" s="91"/>
      <c r="B3490" s="176"/>
      <c r="C3490" s="176"/>
      <c r="D3490" s="176"/>
      <c r="E3490" s="176"/>
      <c r="F3490" s="176"/>
      <c r="G3490" s="176"/>
      <c r="H3490" s="176"/>
      <c r="I3490" s="176"/>
      <c r="J3490" s="176"/>
      <c r="K3490" s="176"/>
      <c r="L3490" s="176"/>
      <c r="M3490" s="176"/>
      <c r="N3490" s="176"/>
      <c r="O3490" s="176"/>
      <c r="P3490" s="176"/>
      <c r="Q3490" s="176"/>
      <c r="R3490" s="176"/>
      <c r="S3490" s="176"/>
      <c r="T3490" s="176"/>
      <c r="U3490" s="176"/>
      <c r="V3490" s="176"/>
      <c r="W3490" s="176"/>
      <c r="X3490" s="176"/>
      <c r="Y3490" s="176"/>
    </row>
    <row r="3491" spans="1:25">
      <c r="A3491" s="91"/>
      <c r="B3491" s="176"/>
      <c r="C3491" s="176"/>
      <c r="D3491" s="176"/>
      <c r="E3491" s="176"/>
      <c r="F3491" s="176"/>
      <c r="G3491" s="176"/>
      <c r="H3491" s="176"/>
      <c r="I3491" s="176"/>
      <c r="J3491" s="176"/>
      <c r="K3491" s="176"/>
      <c r="L3491" s="176"/>
      <c r="M3491" s="176"/>
      <c r="N3491" s="176"/>
      <c r="O3491" s="176"/>
      <c r="P3491" s="176"/>
      <c r="Q3491" s="176"/>
      <c r="R3491" s="176"/>
      <c r="S3491" s="176"/>
      <c r="T3491" s="176"/>
      <c r="U3491" s="176"/>
      <c r="V3491" s="176"/>
      <c r="W3491" s="176"/>
      <c r="X3491" s="176"/>
      <c r="Y3491" s="176"/>
    </row>
    <row r="3492" spans="1:25">
      <c r="A3492" s="91"/>
      <c r="B3492" s="176"/>
      <c r="C3492" s="176"/>
      <c r="D3492" s="176"/>
      <c r="E3492" s="176"/>
      <c r="F3492" s="176"/>
      <c r="G3492" s="176"/>
      <c r="H3492" s="176"/>
      <c r="I3492" s="176"/>
      <c r="J3492" s="176"/>
      <c r="K3492" s="176"/>
      <c r="L3492" s="176"/>
      <c r="M3492" s="176"/>
      <c r="N3492" s="176"/>
      <c r="O3492" s="176"/>
      <c r="P3492" s="176"/>
      <c r="Q3492" s="176"/>
      <c r="R3492" s="176"/>
      <c r="S3492" s="176"/>
      <c r="T3492" s="176"/>
      <c r="U3492" s="176"/>
      <c r="V3492" s="176"/>
      <c r="W3492" s="176"/>
      <c r="X3492" s="176"/>
      <c r="Y3492" s="176"/>
    </row>
    <row r="3493" spans="1:25">
      <c r="A3493" s="91"/>
      <c r="B3493" s="176"/>
      <c r="C3493" s="176"/>
      <c r="D3493" s="176"/>
      <c r="E3493" s="176"/>
      <c r="F3493" s="176"/>
      <c r="G3493" s="176"/>
      <c r="H3493" s="176"/>
      <c r="I3493" s="176"/>
      <c r="J3493" s="176"/>
      <c r="K3493" s="176"/>
      <c r="L3493" s="176"/>
      <c r="M3493" s="176"/>
      <c r="N3493" s="176"/>
      <c r="O3493" s="176"/>
      <c r="P3493" s="176"/>
      <c r="Q3493" s="176"/>
      <c r="R3493" s="176"/>
      <c r="S3493" s="176"/>
      <c r="T3493" s="176"/>
      <c r="U3493" s="176"/>
      <c r="V3493" s="176"/>
      <c r="W3493" s="176"/>
      <c r="X3493" s="176"/>
      <c r="Y3493" s="176"/>
    </row>
    <row r="3494" spans="1:25">
      <c r="A3494" s="91"/>
      <c r="B3494" s="176"/>
      <c r="C3494" s="176"/>
      <c r="D3494" s="176"/>
      <c r="E3494" s="176"/>
      <c r="F3494" s="176"/>
      <c r="G3494" s="176"/>
      <c r="H3494" s="176"/>
      <c r="I3494" s="176"/>
      <c r="J3494" s="176"/>
      <c r="K3494" s="176"/>
      <c r="L3494" s="176"/>
      <c r="M3494" s="176"/>
      <c r="N3494" s="176"/>
      <c r="O3494" s="176"/>
      <c r="P3494" s="176"/>
      <c r="Q3494" s="176"/>
      <c r="R3494" s="176"/>
      <c r="S3494" s="176"/>
      <c r="T3494" s="176"/>
      <c r="U3494" s="176"/>
      <c r="V3494" s="176"/>
      <c r="W3494" s="176"/>
      <c r="X3494" s="176"/>
      <c r="Y3494" s="176"/>
    </row>
    <row r="3495" spans="1:25">
      <c r="A3495" s="91"/>
      <c r="B3495" s="176"/>
      <c r="C3495" s="176"/>
      <c r="D3495" s="176"/>
      <c r="E3495" s="176"/>
      <c r="F3495" s="176"/>
      <c r="G3495" s="176"/>
      <c r="H3495" s="176"/>
      <c r="I3495" s="176"/>
      <c r="J3495" s="176"/>
      <c r="K3495" s="176"/>
      <c r="L3495" s="176"/>
      <c r="M3495" s="176"/>
      <c r="N3495" s="176"/>
      <c r="O3495" s="176"/>
      <c r="P3495" s="176"/>
      <c r="Q3495" s="176"/>
      <c r="R3495" s="176"/>
      <c r="S3495" s="176"/>
      <c r="T3495" s="176"/>
      <c r="U3495" s="176"/>
      <c r="V3495" s="176"/>
      <c r="W3495" s="176"/>
      <c r="X3495" s="176"/>
      <c r="Y3495" s="176"/>
    </row>
    <row r="3496" spans="1:25">
      <c r="A3496" s="91"/>
      <c r="B3496" s="176"/>
      <c r="C3496" s="176"/>
      <c r="D3496" s="176"/>
      <c r="E3496" s="176"/>
      <c r="F3496" s="176"/>
      <c r="G3496" s="176"/>
      <c r="H3496" s="176"/>
      <c r="I3496" s="176"/>
      <c r="J3496" s="176"/>
      <c r="K3496" s="176"/>
      <c r="L3496" s="176"/>
      <c r="M3496" s="176"/>
      <c r="N3496" s="176"/>
      <c r="O3496" s="176"/>
      <c r="P3496" s="176"/>
      <c r="Q3496" s="176"/>
      <c r="R3496" s="176"/>
      <c r="S3496" s="176"/>
      <c r="T3496" s="176"/>
      <c r="U3496" s="176"/>
      <c r="V3496" s="176"/>
      <c r="W3496" s="176"/>
      <c r="X3496" s="176"/>
      <c r="Y3496" s="176"/>
    </row>
    <row r="3497" spans="1:25">
      <c r="A3497" s="91"/>
      <c r="B3497" s="176"/>
      <c r="C3497" s="176"/>
      <c r="D3497" s="176"/>
      <c r="E3497" s="176"/>
      <c r="F3497" s="176"/>
      <c r="G3497" s="176"/>
      <c r="H3497" s="176"/>
      <c r="I3497" s="176"/>
      <c r="J3497" s="176"/>
      <c r="K3497" s="176"/>
      <c r="L3497" s="176"/>
      <c r="M3497" s="176"/>
      <c r="N3497" s="176"/>
      <c r="O3497" s="176"/>
      <c r="P3497" s="176"/>
      <c r="Q3497" s="176"/>
      <c r="R3497" s="176"/>
      <c r="S3497" s="176"/>
      <c r="T3497" s="176"/>
      <c r="U3497" s="176"/>
      <c r="V3497" s="176"/>
      <c r="W3497" s="176"/>
      <c r="X3497" s="176"/>
      <c r="Y3497" s="176"/>
    </row>
    <row r="3498" spans="1:25">
      <c r="A3498" s="91"/>
      <c r="B3498" s="176"/>
      <c r="C3498" s="176"/>
      <c r="D3498" s="176"/>
      <c r="E3498" s="176"/>
      <c r="F3498" s="176"/>
      <c r="G3498" s="176"/>
      <c r="H3498" s="176"/>
      <c r="I3498" s="176"/>
      <c r="J3498" s="176"/>
      <c r="K3498" s="176"/>
      <c r="L3498" s="176"/>
      <c r="M3498" s="176"/>
      <c r="N3498" s="176"/>
      <c r="O3498" s="176"/>
      <c r="P3498" s="176"/>
      <c r="Q3498" s="176"/>
      <c r="R3498" s="176"/>
      <c r="S3498" s="176"/>
      <c r="T3498" s="176"/>
      <c r="U3498" s="176"/>
      <c r="V3498" s="176"/>
      <c r="W3498" s="176"/>
      <c r="X3498" s="176"/>
      <c r="Y3498" s="176"/>
    </row>
    <row r="3499" spans="1:25">
      <c r="A3499" s="91"/>
      <c r="B3499" s="176"/>
      <c r="C3499" s="176"/>
      <c r="D3499" s="176"/>
      <c r="E3499" s="176"/>
      <c r="F3499" s="176"/>
      <c r="G3499" s="176"/>
      <c r="H3499" s="176"/>
      <c r="I3499" s="176"/>
      <c r="J3499" s="176"/>
      <c r="K3499" s="176"/>
      <c r="L3499" s="176"/>
      <c r="M3499" s="176"/>
      <c r="N3499" s="176"/>
      <c r="O3499" s="176"/>
      <c r="P3499" s="176"/>
      <c r="Q3499" s="176"/>
      <c r="R3499" s="176"/>
      <c r="S3499" s="176"/>
      <c r="T3499" s="176"/>
      <c r="U3499" s="176"/>
      <c r="V3499" s="176"/>
      <c r="W3499" s="176"/>
      <c r="X3499" s="176"/>
      <c r="Y3499" s="176"/>
    </row>
    <row r="3500" spans="1:25">
      <c r="A3500" s="91"/>
      <c r="B3500" s="176"/>
      <c r="C3500" s="176"/>
      <c r="D3500" s="176"/>
      <c r="E3500" s="176"/>
      <c r="F3500" s="176"/>
      <c r="G3500" s="176"/>
      <c r="H3500" s="176"/>
      <c r="I3500" s="176"/>
      <c r="J3500" s="176"/>
      <c r="K3500" s="176"/>
      <c r="L3500" s="176"/>
      <c r="M3500" s="176"/>
      <c r="N3500" s="176"/>
      <c r="O3500" s="176"/>
      <c r="P3500" s="176"/>
      <c r="Q3500" s="176"/>
      <c r="R3500" s="176"/>
      <c r="S3500" s="176"/>
      <c r="T3500" s="176"/>
      <c r="U3500" s="176"/>
      <c r="V3500" s="176"/>
      <c r="W3500" s="176"/>
      <c r="X3500" s="176"/>
      <c r="Y3500" s="176"/>
    </row>
    <row r="3501" spans="1:25">
      <c r="A3501" s="91"/>
      <c r="B3501" s="176"/>
      <c r="C3501" s="176"/>
      <c r="D3501" s="176"/>
      <c r="E3501" s="176"/>
      <c r="F3501" s="176"/>
      <c r="G3501" s="176"/>
      <c r="H3501" s="176"/>
      <c r="I3501" s="176"/>
      <c r="J3501" s="176"/>
      <c r="K3501" s="176"/>
      <c r="L3501" s="176"/>
      <c r="M3501" s="176"/>
      <c r="N3501" s="176"/>
      <c r="O3501" s="176"/>
      <c r="P3501" s="176"/>
      <c r="Q3501" s="176"/>
      <c r="R3501" s="176"/>
      <c r="S3501" s="176"/>
      <c r="T3501" s="176"/>
      <c r="U3501" s="176"/>
      <c r="V3501" s="176"/>
      <c r="W3501" s="176"/>
      <c r="X3501" s="176"/>
      <c r="Y3501" s="176"/>
    </row>
    <row r="3502" spans="1:25">
      <c r="A3502" s="91"/>
      <c r="B3502" s="176"/>
      <c r="C3502" s="176"/>
      <c r="D3502" s="176"/>
      <c r="E3502" s="176"/>
      <c r="F3502" s="176"/>
      <c r="G3502" s="176"/>
      <c r="H3502" s="176"/>
      <c r="I3502" s="176"/>
      <c r="J3502" s="176"/>
      <c r="K3502" s="176"/>
      <c r="L3502" s="176"/>
      <c r="M3502" s="176"/>
      <c r="N3502" s="176"/>
      <c r="O3502" s="176"/>
      <c r="P3502" s="176"/>
      <c r="Q3502" s="176"/>
      <c r="R3502" s="176"/>
      <c r="S3502" s="176"/>
      <c r="T3502" s="176"/>
      <c r="U3502" s="176"/>
      <c r="V3502" s="176"/>
      <c r="W3502" s="176"/>
      <c r="X3502" s="176"/>
      <c r="Y3502" s="176"/>
    </row>
    <row r="3503" spans="1:25">
      <c r="A3503" s="91"/>
      <c r="B3503" s="176"/>
      <c r="C3503" s="176"/>
      <c r="D3503" s="176"/>
      <c r="E3503" s="176"/>
      <c r="F3503" s="176"/>
      <c r="G3503" s="176"/>
      <c r="H3503" s="176"/>
      <c r="I3503" s="176"/>
      <c r="J3503" s="176"/>
      <c r="K3503" s="176"/>
      <c r="L3503" s="176"/>
      <c r="M3503" s="176"/>
      <c r="N3503" s="176"/>
      <c r="O3503" s="176"/>
      <c r="P3503" s="176"/>
      <c r="Q3503" s="176"/>
      <c r="R3503" s="176"/>
      <c r="S3503" s="176"/>
      <c r="T3503" s="176"/>
      <c r="U3503" s="176"/>
      <c r="V3503" s="176"/>
      <c r="W3503" s="176"/>
      <c r="X3503" s="176"/>
      <c r="Y3503" s="176"/>
    </row>
    <row r="3504" spans="1:25">
      <c r="A3504" s="91"/>
      <c r="B3504" s="176"/>
      <c r="C3504" s="176"/>
      <c r="D3504" s="176"/>
      <c r="E3504" s="176"/>
      <c r="F3504" s="176"/>
      <c r="G3504" s="176"/>
      <c r="H3504" s="176"/>
      <c r="I3504" s="176"/>
      <c r="J3504" s="176"/>
      <c r="K3504" s="176"/>
      <c r="L3504" s="176"/>
      <c r="M3504" s="176"/>
      <c r="N3504" s="176"/>
      <c r="O3504" s="176"/>
      <c r="P3504" s="176"/>
      <c r="Q3504" s="176"/>
      <c r="R3504" s="176"/>
      <c r="S3504" s="176"/>
      <c r="T3504" s="176"/>
      <c r="U3504" s="176"/>
      <c r="V3504" s="176"/>
      <c r="W3504" s="176"/>
      <c r="X3504" s="176"/>
      <c r="Y3504" s="176"/>
    </row>
    <row r="3505" spans="1:25">
      <c r="A3505" s="91"/>
      <c r="B3505" s="176"/>
      <c r="C3505" s="176"/>
      <c r="D3505" s="176"/>
      <c r="E3505" s="176"/>
      <c r="F3505" s="176"/>
      <c r="G3505" s="176"/>
      <c r="H3505" s="176"/>
      <c r="I3505" s="176"/>
      <c r="J3505" s="176"/>
      <c r="K3505" s="176"/>
      <c r="L3505" s="176"/>
      <c r="M3505" s="176"/>
      <c r="N3505" s="176"/>
      <c r="O3505" s="176"/>
      <c r="P3505" s="176"/>
      <c r="Q3505" s="176"/>
      <c r="R3505" s="176"/>
      <c r="S3505" s="176"/>
      <c r="T3505" s="176"/>
      <c r="U3505" s="176"/>
      <c r="V3505" s="176"/>
      <c r="W3505" s="176"/>
      <c r="X3505" s="176"/>
      <c r="Y3505" s="176"/>
    </row>
    <row r="3506" spans="1:25">
      <c r="A3506" s="91"/>
      <c r="B3506" s="176"/>
      <c r="C3506" s="176"/>
      <c r="D3506" s="176"/>
      <c r="E3506" s="176"/>
      <c r="F3506" s="176"/>
      <c r="G3506" s="176"/>
      <c r="H3506" s="176"/>
      <c r="I3506" s="176"/>
      <c r="J3506" s="176"/>
      <c r="K3506" s="176"/>
      <c r="L3506" s="176"/>
      <c r="M3506" s="176"/>
      <c r="N3506" s="176"/>
      <c r="O3506" s="176"/>
      <c r="P3506" s="176"/>
      <c r="Q3506" s="176"/>
      <c r="R3506" s="176"/>
      <c r="S3506" s="176"/>
      <c r="T3506" s="176"/>
      <c r="U3506" s="176"/>
      <c r="V3506" s="176"/>
      <c r="W3506" s="176"/>
      <c r="X3506" s="176"/>
      <c r="Y3506" s="176"/>
    </row>
    <row r="3507" spans="1:25">
      <c r="A3507" s="91"/>
      <c r="B3507" s="176"/>
      <c r="C3507" s="176"/>
      <c r="D3507" s="176"/>
      <c r="E3507" s="176"/>
      <c r="F3507" s="176"/>
      <c r="G3507" s="176"/>
      <c r="H3507" s="176"/>
      <c r="I3507" s="176"/>
      <c r="J3507" s="176"/>
      <c r="K3507" s="176"/>
      <c r="L3507" s="176"/>
      <c r="M3507" s="176"/>
      <c r="N3507" s="176"/>
      <c r="O3507" s="176"/>
      <c r="P3507" s="176"/>
      <c r="Q3507" s="176"/>
      <c r="R3507" s="176"/>
      <c r="S3507" s="176"/>
      <c r="T3507" s="176"/>
      <c r="U3507" s="176"/>
      <c r="V3507" s="176"/>
      <c r="W3507" s="176"/>
      <c r="X3507" s="176"/>
      <c r="Y3507" s="176"/>
    </row>
    <row r="3508" spans="1:25">
      <c r="A3508" s="91"/>
      <c r="B3508" s="176"/>
      <c r="C3508" s="176"/>
      <c r="D3508" s="176"/>
      <c r="E3508" s="176"/>
      <c r="F3508" s="176"/>
      <c r="G3508" s="176"/>
      <c r="H3508" s="176"/>
      <c r="I3508" s="176"/>
      <c r="J3508" s="176"/>
      <c r="K3508" s="176"/>
      <c r="L3508" s="176"/>
      <c r="M3508" s="176"/>
      <c r="N3508" s="176"/>
      <c r="O3508" s="176"/>
      <c r="P3508" s="176"/>
      <c r="Q3508" s="176"/>
      <c r="R3508" s="176"/>
      <c r="S3508" s="176"/>
      <c r="T3508" s="176"/>
      <c r="U3508" s="176"/>
      <c r="V3508" s="176"/>
      <c r="W3508" s="176"/>
      <c r="X3508" s="176"/>
      <c r="Y3508" s="176"/>
    </row>
    <row r="3509" spans="1:25">
      <c r="A3509" s="91"/>
      <c r="B3509" s="176"/>
      <c r="C3509" s="176"/>
      <c r="D3509" s="176"/>
      <c r="E3509" s="176"/>
      <c r="F3509" s="176"/>
      <c r="G3509" s="176"/>
      <c r="H3509" s="176"/>
      <c r="I3509" s="176"/>
      <c r="J3509" s="176"/>
      <c r="K3509" s="176"/>
      <c r="L3509" s="176"/>
      <c r="M3509" s="176"/>
      <c r="N3509" s="176"/>
      <c r="O3509" s="176"/>
      <c r="P3509" s="176"/>
      <c r="Q3509" s="176"/>
      <c r="R3509" s="176"/>
      <c r="S3509" s="176"/>
      <c r="T3509" s="176"/>
      <c r="U3509" s="176"/>
      <c r="V3509" s="176"/>
      <c r="W3509" s="176"/>
      <c r="X3509" s="176"/>
      <c r="Y3509" s="176"/>
    </row>
    <row r="3510" spans="1:25">
      <c r="A3510" s="91"/>
      <c r="B3510" s="176"/>
      <c r="C3510" s="176"/>
      <c r="D3510" s="176"/>
      <c r="E3510" s="176"/>
      <c r="F3510" s="176"/>
      <c r="G3510" s="176"/>
      <c r="H3510" s="176"/>
      <c r="I3510" s="176"/>
      <c r="J3510" s="176"/>
      <c r="K3510" s="176"/>
      <c r="L3510" s="176"/>
      <c r="M3510" s="176"/>
      <c r="N3510" s="176"/>
      <c r="O3510" s="176"/>
      <c r="P3510" s="176"/>
      <c r="Q3510" s="176"/>
      <c r="R3510" s="176"/>
      <c r="S3510" s="176"/>
      <c r="T3510" s="176"/>
      <c r="U3510" s="176"/>
      <c r="V3510" s="176"/>
      <c r="W3510" s="176"/>
      <c r="X3510" s="176"/>
      <c r="Y3510" s="176"/>
    </row>
    <row r="3511" spans="1:25">
      <c r="A3511" s="91"/>
      <c r="B3511" s="176"/>
      <c r="C3511" s="176"/>
      <c r="D3511" s="176"/>
      <c r="E3511" s="176"/>
      <c r="F3511" s="176"/>
      <c r="G3511" s="176"/>
      <c r="H3511" s="176"/>
      <c r="I3511" s="176"/>
      <c r="J3511" s="176"/>
      <c r="K3511" s="176"/>
      <c r="L3511" s="176"/>
      <c r="M3511" s="176"/>
      <c r="N3511" s="176"/>
      <c r="O3511" s="176"/>
      <c r="P3511" s="176"/>
      <c r="Q3511" s="176"/>
      <c r="R3511" s="176"/>
      <c r="S3511" s="176"/>
      <c r="T3511" s="176"/>
      <c r="U3511" s="176"/>
      <c r="V3511" s="176"/>
      <c r="W3511" s="176"/>
      <c r="X3511" s="176"/>
      <c r="Y3511" s="176"/>
    </row>
    <row r="3512" spans="1:25">
      <c r="A3512" s="91"/>
      <c r="B3512" s="176"/>
      <c r="C3512" s="176"/>
      <c r="D3512" s="176"/>
      <c r="E3512" s="176"/>
      <c r="F3512" s="176"/>
      <c r="G3512" s="176"/>
      <c r="H3512" s="176"/>
      <c r="I3512" s="176"/>
      <c r="J3512" s="176"/>
      <c r="K3512" s="176"/>
      <c r="L3512" s="176"/>
      <c r="M3512" s="176"/>
      <c r="N3512" s="176"/>
      <c r="O3512" s="176"/>
      <c r="P3512" s="176"/>
      <c r="Q3512" s="176"/>
      <c r="R3512" s="176"/>
      <c r="S3512" s="176"/>
      <c r="T3512" s="176"/>
      <c r="U3512" s="176"/>
      <c r="V3512" s="176"/>
      <c r="W3512" s="176"/>
      <c r="X3512" s="176"/>
      <c r="Y3512" s="176"/>
    </row>
    <row r="3513" spans="1:25">
      <c r="A3513" s="91"/>
      <c r="B3513" s="176"/>
      <c r="C3513" s="176"/>
      <c r="D3513" s="176"/>
      <c r="E3513" s="176"/>
      <c r="F3513" s="176"/>
      <c r="G3513" s="176"/>
      <c r="H3513" s="176"/>
      <c r="I3513" s="176"/>
      <c r="J3513" s="176"/>
      <c r="K3513" s="176"/>
      <c r="L3513" s="176"/>
      <c r="M3513" s="176"/>
      <c r="N3513" s="176"/>
      <c r="O3513" s="176"/>
      <c r="P3513" s="176"/>
      <c r="Q3513" s="176"/>
      <c r="R3513" s="176"/>
      <c r="S3513" s="176"/>
      <c r="T3513" s="176"/>
      <c r="U3513" s="176"/>
      <c r="V3513" s="176"/>
      <c r="W3513" s="176"/>
      <c r="X3513" s="176"/>
      <c r="Y3513" s="176"/>
    </row>
    <row r="3514" spans="1:25">
      <c r="A3514" s="91"/>
      <c r="B3514" s="176"/>
      <c r="C3514" s="176"/>
      <c r="D3514" s="176"/>
      <c r="E3514" s="176"/>
      <c r="F3514" s="176"/>
      <c r="G3514" s="176"/>
      <c r="H3514" s="176"/>
      <c r="I3514" s="176"/>
      <c r="J3514" s="176"/>
      <c r="K3514" s="176"/>
      <c r="L3514" s="176"/>
      <c r="M3514" s="176"/>
      <c r="N3514" s="176"/>
      <c r="O3514" s="176"/>
      <c r="P3514" s="176"/>
      <c r="Q3514" s="176"/>
      <c r="R3514" s="176"/>
      <c r="S3514" s="176"/>
      <c r="T3514" s="176"/>
      <c r="U3514" s="176"/>
      <c r="V3514" s="176"/>
      <c r="W3514" s="176"/>
      <c r="X3514" s="176"/>
      <c r="Y3514" s="176"/>
    </row>
    <row r="3515" spans="1:25">
      <c r="A3515" s="91"/>
      <c r="B3515" s="176"/>
      <c r="C3515" s="176"/>
      <c r="D3515" s="176"/>
      <c r="E3515" s="176"/>
      <c r="F3515" s="176"/>
      <c r="G3515" s="176"/>
      <c r="H3515" s="176"/>
      <c r="I3515" s="176"/>
      <c r="J3515" s="176"/>
      <c r="K3515" s="176"/>
      <c r="L3515" s="176"/>
      <c r="M3515" s="176"/>
      <c r="N3515" s="176"/>
      <c r="O3515" s="176"/>
      <c r="P3515" s="176"/>
      <c r="Q3515" s="176"/>
      <c r="R3515" s="176"/>
      <c r="S3515" s="176"/>
      <c r="T3515" s="176"/>
      <c r="U3515" s="176"/>
      <c r="V3515" s="176"/>
      <c r="W3515" s="176"/>
      <c r="X3515" s="176"/>
      <c r="Y3515" s="176"/>
    </row>
    <row r="3516" spans="1:25">
      <c r="A3516" s="91"/>
      <c r="B3516" s="176"/>
      <c r="C3516" s="176"/>
      <c r="D3516" s="176"/>
      <c r="E3516" s="176"/>
      <c r="F3516" s="176"/>
      <c r="G3516" s="176"/>
      <c r="H3516" s="176"/>
      <c r="I3516" s="176"/>
      <c r="J3516" s="176"/>
      <c r="K3516" s="176"/>
      <c r="L3516" s="176"/>
      <c r="M3516" s="176"/>
      <c r="N3516" s="176"/>
      <c r="O3516" s="176"/>
      <c r="P3516" s="176"/>
      <c r="Q3516" s="176"/>
      <c r="R3516" s="176"/>
      <c r="S3516" s="176"/>
      <c r="T3516" s="176"/>
      <c r="U3516" s="176"/>
      <c r="V3516" s="176"/>
      <c r="W3516" s="176"/>
      <c r="X3516" s="176"/>
      <c r="Y3516" s="176"/>
    </row>
    <row r="3517" spans="1:25">
      <c r="A3517" s="91"/>
      <c r="B3517" s="176"/>
      <c r="C3517" s="176"/>
      <c r="D3517" s="176"/>
      <c r="E3517" s="176"/>
      <c r="F3517" s="176"/>
      <c r="G3517" s="176"/>
      <c r="H3517" s="176"/>
      <c r="I3517" s="176"/>
      <c r="J3517" s="176"/>
      <c r="K3517" s="176"/>
      <c r="L3517" s="176"/>
      <c r="M3517" s="176"/>
      <c r="N3517" s="176"/>
      <c r="O3517" s="176"/>
      <c r="P3517" s="176"/>
      <c r="Q3517" s="176"/>
      <c r="R3517" s="176"/>
      <c r="S3517" s="176"/>
      <c r="T3517" s="176"/>
      <c r="U3517" s="176"/>
      <c r="V3517" s="176"/>
      <c r="W3517" s="176"/>
      <c r="X3517" s="176"/>
      <c r="Y3517" s="176"/>
    </row>
    <row r="3518" spans="1:25">
      <c r="A3518" s="91"/>
      <c r="B3518" s="176"/>
      <c r="C3518" s="176"/>
      <c r="D3518" s="176"/>
      <c r="E3518" s="176"/>
      <c r="F3518" s="176"/>
      <c r="G3518" s="176"/>
      <c r="H3518" s="176"/>
      <c r="I3518" s="176"/>
      <c r="J3518" s="176"/>
      <c r="K3518" s="176"/>
      <c r="L3518" s="176"/>
      <c r="M3518" s="176"/>
      <c r="N3518" s="176"/>
      <c r="O3518" s="176"/>
      <c r="P3518" s="176"/>
      <c r="Q3518" s="176"/>
      <c r="R3518" s="176"/>
      <c r="S3518" s="176"/>
      <c r="T3518" s="176"/>
      <c r="U3518" s="176"/>
      <c r="V3518" s="176"/>
      <c r="W3518" s="176"/>
      <c r="X3518" s="176"/>
      <c r="Y3518" s="176"/>
    </row>
    <row r="3519" spans="1:25">
      <c r="A3519" s="91"/>
      <c r="B3519" s="176"/>
      <c r="C3519" s="176"/>
      <c r="D3519" s="176"/>
      <c r="E3519" s="176"/>
      <c r="F3519" s="176"/>
      <c r="G3519" s="176"/>
      <c r="H3519" s="176"/>
      <c r="I3519" s="176"/>
      <c r="J3519" s="176"/>
      <c r="K3519" s="176"/>
      <c r="L3519" s="176"/>
      <c r="M3519" s="176"/>
      <c r="N3519" s="176"/>
      <c r="O3519" s="176"/>
      <c r="P3519" s="176"/>
      <c r="Q3519" s="176"/>
      <c r="R3519" s="176"/>
      <c r="S3519" s="176"/>
      <c r="T3519" s="176"/>
      <c r="U3519" s="176"/>
      <c r="V3519" s="176"/>
      <c r="W3519" s="176"/>
      <c r="X3519" s="176"/>
      <c r="Y3519" s="176"/>
    </row>
    <row r="3520" spans="1:25">
      <c r="A3520" s="91"/>
      <c r="B3520" s="176"/>
      <c r="C3520" s="176"/>
      <c r="D3520" s="176"/>
      <c r="E3520" s="176"/>
      <c r="F3520" s="176"/>
      <c r="G3520" s="176"/>
      <c r="H3520" s="176"/>
      <c r="I3520" s="176"/>
      <c r="J3520" s="176"/>
      <c r="K3520" s="176"/>
      <c r="L3520" s="176"/>
      <c r="M3520" s="176"/>
      <c r="N3520" s="176"/>
      <c r="O3520" s="176"/>
      <c r="P3520" s="176"/>
      <c r="Q3520" s="176"/>
      <c r="R3520" s="176"/>
      <c r="S3520" s="176"/>
      <c r="T3520" s="176"/>
      <c r="U3520" s="176"/>
      <c r="V3520" s="176"/>
      <c r="W3520" s="176"/>
      <c r="X3520" s="176"/>
      <c r="Y3520" s="176"/>
    </row>
    <row r="3521" spans="1:25">
      <c r="A3521" s="91"/>
      <c r="B3521" s="176"/>
      <c r="C3521" s="176"/>
      <c r="D3521" s="176"/>
      <c r="E3521" s="176"/>
      <c r="F3521" s="176"/>
      <c r="G3521" s="176"/>
      <c r="H3521" s="176"/>
      <c r="I3521" s="176"/>
      <c r="J3521" s="176"/>
      <c r="K3521" s="176"/>
      <c r="L3521" s="176"/>
      <c r="M3521" s="176"/>
      <c r="N3521" s="176"/>
      <c r="O3521" s="176"/>
      <c r="P3521" s="176"/>
      <c r="Q3521" s="176"/>
      <c r="R3521" s="176"/>
      <c r="S3521" s="176"/>
      <c r="T3521" s="176"/>
      <c r="U3521" s="176"/>
      <c r="V3521" s="176"/>
      <c r="W3521" s="176"/>
      <c r="X3521" s="176"/>
      <c r="Y3521" s="176"/>
    </row>
    <row r="3522" spans="1:25">
      <c r="A3522" s="91"/>
      <c r="B3522" s="176"/>
      <c r="C3522" s="176"/>
      <c r="D3522" s="176"/>
      <c r="E3522" s="176"/>
      <c r="F3522" s="176"/>
      <c r="G3522" s="176"/>
      <c r="H3522" s="176"/>
      <c r="I3522" s="176"/>
      <c r="J3522" s="176"/>
      <c r="K3522" s="176"/>
      <c r="L3522" s="176"/>
      <c r="M3522" s="176"/>
      <c r="N3522" s="176"/>
      <c r="O3522" s="176"/>
      <c r="P3522" s="176"/>
      <c r="Q3522" s="176"/>
      <c r="R3522" s="176"/>
      <c r="S3522" s="176"/>
      <c r="T3522" s="176"/>
      <c r="U3522" s="176"/>
      <c r="V3522" s="176"/>
      <c r="W3522" s="176"/>
      <c r="X3522" s="176"/>
      <c r="Y3522" s="176"/>
    </row>
    <row r="3523" spans="1:25">
      <c r="A3523" s="91"/>
      <c r="B3523" s="176"/>
      <c r="C3523" s="176"/>
      <c r="D3523" s="176"/>
      <c r="E3523" s="176"/>
      <c r="F3523" s="176"/>
      <c r="G3523" s="176"/>
      <c r="H3523" s="176"/>
      <c r="I3523" s="176"/>
      <c r="J3523" s="176"/>
      <c r="K3523" s="176"/>
      <c r="L3523" s="176"/>
      <c r="M3523" s="176"/>
      <c r="N3523" s="176"/>
      <c r="O3523" s="176"/>
      <c r="P3523" s="176"/>
      <c r="Q3523" s="176"/>
      <c r="R3523" s="176"/>
      <c r="S3523" s="176"/>
      <c r="T3523" s="176"/>
      <c r="U3523" s="176"/>
      <c r="V3523" s="176"/>
      <c r="W3523" s="176"/>
      <c r="X3523" s="176"/>
      <c r="Y3523" s="176"/>
    </row>
    <row r="3524" spans="1:25">
      <c r="A3524" s="91"/>
      <c r="B3524" s="176"/>
      <c r="C3524" s="176"/>
      <c r="D3524" s="176"/>
      <c r="E3524" s="176"/>
      <c r="F3524" s="176"/>
      <c r="G3524" s="176"/>
      <c r="H3524" s="176"/>
      <c r="I3524" s="176"/>
      <c r="J3524" s="176"/>
      <c r="K3524" s="176"/>
      <c r="L3524" s="176"/>
      <c r="M3524" s="176"/>
      <c r="N3524" s="176"/>
      <c r="O3524" s="176"/>
      <c r="P3524" s="176"/>
      <c r="Q3524" s="176"/>
      <c r="R3524" s="176"/>
      <c r="S3524" s="176"/>
      <c r="T3524" s="176"/>
      <c r="U3524" s="176"/>
      <c r="V3524" s="176"/>
      <c r="W3524" s="176"/>
      <c r="X3524" s="176"/>
      <c r="Y3524" s="176"/>
    </row>
    <row r="3525" spans="1:25">
      <c r="A3525" s="91"/>
      <c r="B3525" s="176"/>
      <c r="C3525" s="176"/>
      <c r="D3525" s="176"/>
      <c r="E3525" s="176"/>
      <c r="F3525" s="176"/>
      <c r="G3525" s="176"/>
      <c r="H3525" s="176"/>
      <c r="I3525" s="176"/>
      <c r="J3525" s="176"/>
      <c r="K3525" s="176"/>
      <c r="L3525" s="176"/>
      <c r="M3525" s="176"/>
      <c r="N3525" s="176"/>
      <c r="O3525" s="176"/>
      <c r="P3525" s="176"/>
      <c r="Q3525" s="176"/>
      <c r="R3525" s="176"/>
      <c r="S3525" s="176"/>
      <c r="T3525" s="176"/>
      <c r="U3525" s="176"/>
      <c r="V3525" s="176"/>
      <c r="W3525" s="176"/>
      <c r="X3525" s="176"/>
      <c r="Y3525" s="176"/>
    </row>
    <row r="3526" spans="1:25">
      <c r="A3526" s="91"/>
      <c r="B3526" s="176"/>
      <c r="C3526" s="176"/>
      <c r="D3526" s="176"/>
      <c r="E3526" s="176"/>
      <c r="F3526" s="176"/>
      <c r="G3526" s="176"/>
      <c r="H3526" s="176"/>
      <c r="I3526" s="176"/>
      <c r="J3526" s="176"/>
      <c r="K3526" s="176"/>
      <c r="L3526" s="176"/>
      <c r="M3526" s="176"/>
      <c r="N3526" s="176"/>
      <c r="O3526" s="176"/>
      <c r="P3526" s="176"/>
      <c r="Q3526" s="176"/>
      <c r="R3526" s="176"/>
      <c r="S3526" s="176"/>
      <c r="T3526" s="176"/>
      <c r="U3526" s="176"/>
      <c r="V3526" s="176"/>
      <c r="W3526" s="176"/>
      <c r="X3526" s="176"/>
      <c r="Y3526" s="176"/>
    </row>
    <row r="3527" spans="1:25">
      <c r="A3527" s="91"/>
      <c r="B3527" s="176"/>
      <c r="C3527" s="176"/>
      <c r="D3527" s="176"/>
      <c r="E3527" s="176"/>
      <c r="F3527" s="176"/>
      <c r="G3527" s="176"/>
      <c r="H3527" s="176"/>
      <c r="I3527" s="176"/>
      <c r="J3527" s="176"/>
      <c r="K3527" s="176"/>
      <c r="L3527" s="176"/>
      <c r="M3527" s="176"/>
      <c r="N3527" s="176"/>
      <c r="O3527" s="176"/>
      <c r="P3527" s="176"/>
      <c r="Q3527" s="176"/>
      <c r="R3527" s="176"/>
      <c r="S3527" s="176"/>
      <c r="T3527" s="176"/>
      <c r="U3527" s="176"/>
      <c r="V3527" s="176"/>
      <c r="W3527" s="176"/>
      <c r="X3527" s="176"/>
      <c r="Y3527" s="176"/>
    </row>
    <row r="3528" spans="1:25">
      <c r="A3528" s="91"/>
      <c r="B3528" s="176"/>
      <c r="C3528" s="176"/>
      <c r="D3528" s="176"/>
      <c r="E3528" s="176"/>
      <c r="F3528" s="176"/>
      <c r="G3528" s="176"/>
      <c r="H3528" s="176"/>
      <c r="I3528" s="176"/>
      <c r="J3528" s="176"/>
      <c r="K3528" s="176"/>
      <c r="L3528" s="176"/>
      <c r="M3528" s="176"/>
      <c r="N3528" s="176"/>
      <c r="O3528" s="176"/>
      <c r="P3528" s="176"/>
      <c r="Q3528" s="176"/>
      <c r="R3528" s="176"/>
      <c r="S3528" s="176"/>
      <c r="T3528" s="176"/>
      <c r="U3528" s="176"/>
      <c r="V3528" s="176"/>
      <c r="W3528" s="176"/>
      <c r="X3528" s="176"/>
      <c r="Y3528" s="176"/>
    </row>
    <row r="3529" spans="1:25">
      <c r="A3529" s="91"/>
      <c r="B3529" s="176"/>
      <c r="C3529" s="176"/>
      <c r="D3529" s="176"/>
      <c r="E3529" s="176"/>
      <c r="F3529" s="176"/>
      <c r="G3529" s="176"/>
      <c r="H3529" s="176"/>
      <c r="I3529" s="176"/>
      <c r="J3529" s="176"/>
      <c r="K3529" s="176"/>
      <c r="L3529" s="176"/>
      <c r="M3529" s="176"/>
      <c r="N3529" s="176"/>
      <c r="O3529" s="176"/>
      <c r="P3529" s="176"/>
      <c r="Q3529" s="176"/>
      <c r="R3529" s="176"/>
      <c r="S3529" s="176"/>
      <c r="T3529" s="176"/>
      <c r="U3529" s="176"/>
      <c r="V3529" s="176"/>
      <c r="W3529" s="176"/>
      <c r="X3529" s="176"/>
      <c r="Y3529" s="176"/>
    </row>
    <row r="3530" spans="1:25">
      <c r="A3530" s="91"/>
      <c r="B3530" s="176"/>
      <c r="C3530" s="176"/>
      <c r="D3530" s="176"/>
      <c r="E3530" s="176"/>
      <c r="F3530" s="176"/>
      <c r="G3530" s="176"/>
      <c r="H3530" s="176"/>
      <c r="I3530" s="176"/>
      <c r="J3530" s="176"/>
      <c r="K3530" s="176"/>
      <c r="L3530" s="176"/>
      <c r="M3530" s="176"/>
      <c r="N3530" s="176"/>
      <c r="O3530" s="176"/>
      <c r="P3530" s="176"/>
      <c r="Q3530" s="176"/>
      <c r="R3530" s="176"/>
      <c r="S3530" s="176"/>
      <c r="T3530" s="176"/>
      <c r="U3530" s="176"/>
      <c r="V3530" s="176"/>
      <c r="W3530" s="176"/>
      <c r="X3530" s="176"/>
      <c r="Y3530" s="176"/>
    </row>
    <row r="3531" spans="1:25">
      <c r="A3531" s="91"/>
      <c r="B3531" s="176"/>
      <c r="C3531" s="176"/>
      <c r="D3531" s="176"/>
      <c r="E3531" s="176"/>
      <c r="F3531" s="176"/>
      <c r="G3531" s="176"/>
      <c r="H3531" s="176"/>
      <c r="I3531" s="176"/>
      <c r="J3531" s="176"/>
      <c r="K3531" s="176"/>
      <c r="L3531" s="176"/>
      <c r="M3531" s="176"/>
      <c r="N3531" s="176"/>
      <c r="O3531" s="176"/>
      <c r="P3531" s="176"/>
      <c r="Q3531" s="176"/>
      <c r="R3531" s="176"/>
      <c r="S3531" s="176"/>
      <c r="T3531" s="176"/>
      <c r="U3531" s="176"/>
      <c r="V3531" s="176"/>
      <c r="W3531" s="176"/>
      <c r="X3531" s="176"/>
      <c r="Y3531" s="176"/>
    </row>
    <row r="3532" spans="1:25">
      <c r="A3532" s="91"/>
      <c r="B3532" s="176"/>
      <c r="C3532" s="176"/>
      <c r="D3532" s="176"/>
      <c r="E3532" s="176"/>
      <c r="F3532" s="176"/>
      <c r="G3532" s="176"/>
      <c r="H3532" s="176"/>
      <c r="I3532" s="176"/>
      <c r="J3532" s="176"/>
      <c r="K3532" s="176"/>
      <c r="L3532" s="176"/>
      <c r="M3532" s="176"/>
      <c r="N3532" s="176"/>
      <c r="O3532" s="176"/>
      <c r="P3532" s="176"/>
      <c r="Q3532" s="176"/>
      <c r="R3532" s="176"/>
      <c r="S3532" s="176"/>
      <c r="T3532" s="176"/>
      <c r="U3532" s="176"/>
      <c r="V3532" s="176"/>
      <c r="W3532" s="176"/>
      <c r="X3532" s="176"/>
      <c r="Y3532" s="176"/>
    </row>
    <row r="3533" spans="1:25">
      <c r="A3533" s="91"/>
      <c r="B3533" s="176"/>
      <c r="C3533" s="176"/>
      <c r="D3533" s="176"/>
      <c r="E3533" s="176"/>
      <c r="F3533" s="176"/>
      <c r="G3533" s="176"/>
      <c r="H3533" s="176"/>
      <c r="I3533" s="176"/>
      <c r="J3533" s="176"/>
      <c r="K3533" s="176"/>
      <c r="L3533" s="176"/>
      <c r="M3533" s="176"/>
      <c r="N3533" s="176"/>
      <c r="O3533" s="176"/>
      <c r="P3533" s="176"/>
      <c r="Q3533" s="176"/>
      <c r="R3533" s="176"/>
      <c r="S3533" s="176"/>
      <c r="T3533" s="176"/>
      <c r="U3533" s="176"/>
      <c r="V3533" s="176"/>
      <c r="W3533" s="176"/>
      <c r="X3533" s="176"/>
      <c r="Y3533" s="176"/>
    </row>
    <row r="3534" spans="1:25">
      <c r="A3534" s="91"/>
      <c r="B3534" s="176"/>
      <c r="C3534" s="176"/>
      <c r="D3534" s="176"/>
      <c r="E3534" s="176"/>
      <c r="F3534" s="176"/>
      <c r="G3534" s="176"/>
      <c r="H3534" s="176"/>
      <c r="I3534" s="176"/>
      <c r="J3534" s="176"/>
      <c r="K3534" s="176"/>
      <c r="L3534" s="176"/>
      <c r="M3534" s="176"/>
      <c r="N3534" s="176"/>
      <c r="O3534" s="176"/>
      <c r="P3534" s="176"/>
      <c r="Q3534" s="176"/>
      <c r="R3534" s="176"/>
      <c r="S3534" s="176"/>
      <c r="T3534" s="176"/>
      <c r="U3534" s="176"/>
      <c r="V3534" s="176"/>
      <c r="W3534" s="176"/>
      <c r="X3534" s="176"/>
      <c r="Y3534" s="176"/>
    </row>
    <row r="3535" spans="1:25">
      <c r="A3535" s="91"/>
      <c r="B3535" s="176"/>
      <c r="C3535" s="176"/>
      <c r="D3535" s="176"/>
      <c r="E3535" s="176"/>
      <c r="F3535" s="176"/>
      <c r="G3535" s="176"/>
      <c r="H3535" s="176"/>
      <c r="I3535" s="176"/>
      <c r="J3535" s="176"/>
      <c r="K3535" s="176"/>
      <c r="L3535" s="176"/>
      <c r="M3535" s="176"/>
      <c r="N3535" s="176"/>
      <c r="O3535" s="176"/>
      <c r="P3535" s="176"/>
      <c r="Q3535" s="176"/>
      <c r="R3535" s="176"/>
      <c r="S3535" s="176"/>
      <c r="T3535" s="176"/>
      <c r="U3535" s="176"/>
      <c r="V3535" s="176"/>
      <c r="W3535" s="176"/>
      <c r="X3535" s="176"/>
      <c r="Y3535" s="176"/>
    </row>
    <row r="3536" spans="1:25">
      <c r="A3536" s="91"/>
      <c r="B3536" s="176"/>
      <c r="C3536" s="176"/>
      <c r="D3536" s="176"/>
      <c r="E3536" s="176"/>
      <c r="F3536" s="176"/>
      <c r="G3536" s="176"/>
      <c r="H3536" s="176"/>
      <c r="I3536" s="176"/>
      <c r="J3536" s="176"/>
      <c r="K3536" s="176"/>
      <c r="L3536" s="176"/>
      <c r="M3536" s="176"/>
      <c r="N3536" s="176"/>
      <c r="O3536" s="176"/>
      <c r="P3536" s="176"/>
      <c r="Q3536" s="176"/>
      <c r="R3536" s="176"/>
      <c r="S3536" s="176"/>
      <c r="T3536" s="176"/>
      <c r="U3536" s="176"/>
      <c r="V3536" s="176"/>
      <c r="W3536" s="176"/>
      <c r="X3536" s="176"/>
      <c r="Y3536" s="176"/>
    </row>
    <row r="3537" spans="1:25">
      <c r="A3537" s="91"/>
      <c r="B3537" s="176"/>
      <c r="C3537" s="176"/>
      <c r="D3537" s="176"/>
      <c r="E3537" s="176"/>
      <c r="F3537" s="176"/>
      <c r="G3537" s="176"/>
      <c r="H3537" s="176"/>
      <c r="I3537" s="176"/>
      <c r="J3537" s="176"/>
      <c r="K3537" s="176"/>
      <c r="L3537" s="176"/>
      <c r="M3537" s="176"/>
      <c r="N3537" s="176"/>
      <c r="O3537" s="176"/>
      <c r="P3537" s="176"/>
      <c r="Q3537" s="176"/>
      <c r="R3537" s="176"/>
      <c r="S3537" s="176"/>
      <c r="T3537" s="176"/>
      <c r="U3537" s="176"/>
      <c r="V3537" s="176"/>
      <c r="W3537" s="176"/>
      <c r="X3537" s="176"/>
      <c r="Y3537" s="176"/>
    </row>
    <row r="3538" spans="1:25">
      <c r="A3538" s="91"/>
      <c r="B3538" s="176"/>
      <c r="C3538" s="176"/>
      <c r="D3538" s="176"/>
      <c r="E3538" s="176"/>
      <c r="F3538" s="176"/>
      <c r="G3538" s="176"/>
      <c r="H3538" s="176"/>
      <c r="I3538" s="176"/>
      <c r="J3538" s="176"/>
      <c r="K3538" s="176"/>
      <c r="L3538" s="176"/>
      <c r="M3538" s="176"/>
      <c r="N3538" s="176"/>
      <c r="O3538" s="176"/>
      <c r="P3538" s="176"/>
      <c r="Q3538" s="176"/>
      <c r="R3538" s="176"/>
      <c r="S3538" s="176"/>
      <c r="T3538" s="176"/>
      <c r="U3538" s="176"/>
      <c r="V3538" s="176"/>
      <c r="W3538" s="176"/>
      <c r="X3538" s="176"/>
      <c r="Y3538" s="176"/>
    </row>
    <row r="3539" spans="1:25">
      <c r="A3539" s="91"/>
      <c r="B3539" s="176"/>
      <c r="C3539" s="176"/>
      <c r="D3539" s="176"/>
      <c r="E3539" s="176"/>
      <c r="F3539" s="176"/>
      <c r="G3539" s="176"/>
      <c r="H3539" s="176"/>
      <c r="I3539" s="176"/>
      <c r="J3539" s="176"/>
      <c r="K3539" s="176"/>
      <c r="L3539" s="176"/>
      <c r="M3539" s="176"/>
      <c r="N3539" s="176"/>
      <c r="O3539" s="176"/>
      <c r="P3539" s="176"/>
      <c r="Q3539" s="176"/>
      <c r="R3539" s="176"/>
      <c r="S3539" s="176"/>
      <c r="T3539" s="176"/>
      <c r="U3539" s="176"/>
      <c r="V3539" s="176"/>
      <c r="W3539" s="176"/>
      <c r="X3539" s="176"/>
      <c r="Y3539" s="176"/>
    </row>
    <row r="3540" spans="1:25">
      <c r="A3540" s="91"/>
      <c r="B3540" s="176"/>
      <c r="C3540" s="176"/>
      <c r="D3540" s="176"/>
      <c r="E3540" s="176"/>
      <c r="F3540" s="176"/>
      <c r="G3540" s="176"/>
      <c r="H3540" s="176"/>
      <c r="I3540" s="176"/>
      <c r="J3540" s="176"/>
      <c r="K3540" s="176"/>
      <c r="L3540" s="176"/>
      <c r="M3540" s="176"/>
      <c r="N3540" s="176"/>
      <c r="O3540" s="176"/>
      <c r="P3540" s="176"/>
      <c r="Q3540" s="176"/>
      <c r="R3540" s="176"/>
      <c r="S3540" s="176"/>
      <c r="T3540" s="176"/>
      <c r="U3540" s="176"/>
      <c r="V3540" s="176"/>
      <c r="W3540" s="176"/>
      <c r="X3540" s="176"/>
      <c r="Y3540" s="176"/>
    </row>
    <row r="3541" spans="1:25">
      <c r="A3541" s="91"/>
      <c r="B3541" s="176"/>
      <c r="C3541" s="176"/>
      <c r="D3541" s="176"/>
      <c r="E3541" s="176"/>
      <c r="F3541" s="176"/>
      <c r="G3541" s="176"/>
      <c r="H3541" s="176"/>
      <c r="I3541" s="176"/>
      <c r="J3541" s="176"/>
      <c r="K3541" s="176"/>
      <c r="L3541" s="176"/>
      <c r="M3541" s="176"/>
      <c r="N3541" s="176"/>
      <c r="O3541" s="176"/>
      <c r="P3541" s="176"/>
      <c r="Q3541" s="176"/>
      <c r="R3541" s="176"/>
      <c r="S3541" s="176"/>
      <c r="T3541" s="176"/>
      <c r="U3541" s="176"/>
      <c r="V3541" s="176"/>
      <c r="W3541" s="176"/>
      <c r="X3541" s="176"/>
      <c r="Y3541" s="176"/>
    </row>
    <row r="3542" spans="1:25">
      <c r="A3542" s="91"/>
      <c r="B3542" s="176"/>
      <c r="C3542" s="176"/>
      <c r="D3542" s="176"/>
      <c r="E3542" s="176"/>
      <c r="F3542" s="176"/>
      <c r="G3542" s="176"/>
      <c r="H3542" s="176"/>
      <c r="I3542" s="176"/>
      <c r="J3542" s="176"/>
      <c r="K3542" s="176"/>
      <c r="L3542" s="176"/>
      <c r="M3542" s="176"/>
      <c r="N3542" s="176"/>
      <c r="O3542" s="176"/>
      <c r="P3542" s="176"/>
      <c r="Q3542" s="176"/>
      <c r="R3542" s="176"/>
      <c r="S3542" s="176"/>
      <c r="T3542" s="176"/>
      <c r="U3542" s="176"/>
      <c r="V3542" s="176"/>
      <c r="W3542" s="176"/>
      <c r="X3542" s="176"/>
      <c r="Y3542" s="176"/>
    </row>
    <row r="3543" spans="1:25">
      <c r="A3543" s="91"/>
      <c r="B3543" s="176"/>
      <c r="C3543" s="176"/>
      <c r="D3543" s="176"/>
      <c r="E3543" s="176"/>
      <c r="F3543" s="176"/>
      <c r="G3543" s="176"/>
      <c r="H3543" s="176"/>
      <c r="I3543" s="176"/>
      <c r="J3543" s="176"/>
      <c r="K3543" s="176"/>
      <c r="L3543" s="176"/>
      <c r="M3543" s="176"/>
      <c r="N3543" s="176"/>
      <c r="O3543" s="176"/>
      <c r="P3543" s="176"/>
      <c r="Q3543" s="176"/>
      <c r="R3543" s="176"/>
      <c r="S3543" s="176"/>
      <c r="T3543" s="176"/>
      <c r="U3543" s="176"/>
      <c r="V3543" s="176"/>
      <c r="W3543" s="176"/>
      <c r="X3543" s="176"/>
      <c r="Y3543" s="176"/>
    </row>
    <row r="3544" spans="1:25">
      <c r="A3544" s="91"/>
      <c r="B3544" s="176"/>
      <c r="C3544" s="176"/>
      <c r="D3544" s="176"/>
      <c r="E3544" s="176"/>
      <c r="F3544" s="176"/>
      <c r="G3544" s="176"/>
      <c r="H3544" s="176"/>
      <c r="I3544" s="176"/>
      <c r="J3544" s="176"/>
      <c r="K3544" s="176"/>
      <c r="L3544" s="176"/>
      <c r="M3544" s="176"/>
      <c r="N3544" s="176"/>
      <c r="O3544" s="176"/>
      <c r="P3544" s="176"/>
      <c r="Q3544" s="176"/>
      <c r="R3544" s="176"/>
      <c r="S3544" s="176"/>
      <c r="T3544" s="176"/>
      <c r="U3544" s="176"/>
      <c r="V3544" s="176"/>
      <c r="W3544" s="176"/>
      <c r="X3544" s="176"/>
      <c r="Y3544" s="176"/>
    </row>
    <row r="3545" spans="1:25">
      <c r="A3545" s="91"/>
      <c r="B3545" s="176"/>
      <c r="C3545" s="176"/>
      <c r="D3545" s="176"/>
      <c r="E3545" s="176"/>
      <c r="F3545" s="176"/>
      <c r="G3545" s="176"/>
      <c r="H3545" s="176"/>
      <c r="I3545" s="176"/>
      <c r="J3545" s="176"/>
      <c r="K3545" s="176"/>
      <c r="L3545" s="176"/>
      <c r="M3545" s="176"/>
      <c r="N3545" s="176"/>
      <c r="O3545" s="176"/>
      <c r="P3545" s="176"/>
      <c r="Q3545" s="176"/>
      <c r="R3545" s="176"/>
      <c r="S3545" s="176"/>
      <c r="T3545" s="176"/>
      <c r="U3545" s="176"/>
      <c r="V3545" s="176"/>
      <c r="W3545" s="176"/>
      <c r="X3545" s="176"/>
      <c r="Y3545" s="176"/>
    </row>
    <row r="3546" spans="1:25">
      <c r="A3546" s="91"/>
      <c r="B3546" s="176"/>
      <c r="C3546" s="176"/>
      <c r="D3546" s="176"/>
      <c r="E3546" s="176"/>
      <c r="F3546" s="176"/>
      <c r="G3546" s="176"/>
      <c r="H3546" s="176"/>
      <c r="I3546" s="176"/>
      <c r="J3546" s="176"/>
      <c r="K3546" s="176"/>
      <c r="L3546" s="176"/>
      <c r="M3546" s="176"/>
      <c r="N3546" s="176"/>
      <c r="O3546" s="176"/>
      <c r="P3546" s="176"/>
      <c r="Q3546" s="176"/>
      <c r="R3546" s="176"/>
      <c r="S3546" s="176"/>
      <c r="T3546" s="176"/>
      <c r="U3546" s="176"/>
      <c r="V3546" s="176"/>
      <c r="W3546" s="176"/>
      <c r="X3546" s="176"/>
      <c r="Y3546" s="176"/>
    </row>
    <row r="3547" spans="1:25">
      <c r="A3547" s="91"/>
      <c r="B3547" s="176"/>
      <c r="C3547" s="176"/>
      <c r="D3547" s="176"/>
      <c r="E3547" s="176"/>
      <c r="F3547" s="176"/>
      <c r="G3547" s="176"/>
      <c r="H3547" s="176"/>
      <c r="I3547" s="176"/>
      <c r="J3547" s="176"/>
      <c r="K3547" s="176"/>
      <c r="L3547" s="176"/>
      <c r="M3547" s="176"/>
      <c r="N3547" s="176"/>
      <c r="O3547" s="176"/>
      <c r="P3547" s="176"/>
      <c r="Q3547" s="176"/>
      <c r="R3547" s="176"/>
      <c r="S3547" s="176"/>
      <c r="T3547" s="176"/>
      <c r="U3547" s="176"/>
      <c r="V3547" s="176"/>
      <c r="W3547" s="176"/>
      <c r="X3547" s="176"/>
      <c r="Y3547" s="176"/>
    </row>
    <row r="3548" spans="1:25">
      <c r="A3548" s="91"/>
      <c r="B3548" s="176"/>
      <c r="C3548" s="176"/>
      <c r="D3548" s="176"/>
      <c r="E3548" s="176"/>
      <c r="F3548" s="176"/>
      <c r="G3548" s="176"/>
      <c r="H3548" s="176"/>
      <c r="I3548" s="176"/>
      <c r="J3548" s="176"/>
      <c r="K3548" s="176"/>
      <c r="L3548" s="176"/>
      <c r="M3548" s="176"/>
      <c r="N3548" s="176"/>
      <c r="O3548" s="176"/>
      <c r="P3548" s="176"/>
      <c r="Q3548" s="176"/>
      <c r="R3548" s="176"/>
      <c r="S3548" s="176"/>
      <c r="T3548" s="176"/>
      <c r="U3548" s="176"/>
      <c r="V3548" s="176"/>
      <c r="W3548" s="176"/>
      <c r="X3548" s="176"/>
      <c r="Y3548" s="176"/>
    </row>
    <row r="3549" spans="1:25">
      <c r="A3549" s="91"/>
      <c r="B3549" s="176"/>
      <c r="C3549" s="176"/>
      <c r="D3549" s="176"/>
      <c r="E3549" s="176"/>
      <c r="F3549" s="176"/>
      <c r="G3549" s="176"/>
      <c r="H3549" s="176"/>
      <c r="I3549" s="176"/>
      <c r="J3549" s="176"/>
      <c r="K3549" s="176"/>
      <c r="L3549" s="176"/>
      <c r="M3549" s="176"/>
      <c r="N3549" s="176"/>
      <c r="O3549" s="176"/>
      <c r="P3549" s="176"/>
      <c r="Q3549" s="176"/>
      <c r="R3549" s="176"/>
      <c r="S3549" s="176"/>
      <c r="T3549" s="176"/>
      <c r="U3549" s="176"/>
      <c r="V3549" s="176"/>
      <c r="W3549" s="176"/>
      <c r="X3549" s="176"/>
      <c r="Y3549" s="176"/>
    </row>
    <row r="3550" spans="1:25">
      <c r="A3550" s="91"/>
      <c r="B3550" s="176"/>
      <c r="C3550" s="176"/>
      <c r="D3550" s="176"/>
      <c r="E3550" s="176"/>
      <c r="F3550" s="176"/>
      <c r="G3550" s="176"/>
      <c r="H3550" s="176"/>
      <c r="I3550" s="176"/>
      <c r="J3550" s="176"/>
      <c r="K3550" s="176"/>
      <c r="L3550" s="176"/>
      <c r="M3550" s="176"/>
      <c r="N3550" s="176"/>
      <c r="O3550" s="176"/>
      <c r="P3550" s="176"/>
      <c r="Q3550" s="176"/>
      <c r="R3550" s="176"/>
      <c r="S3550" s="176"/>
      <c r="T3550" s="176"/>
      <c r="U3550" s="176"/>
      <c r="V3550" s="176"/>
      <c r="W3550" s="176"/>
      <c r="X3550" s="176"/>
      <c r="Y3550" s="176"/>
    </row>
    <row r="3551" spans="1:25">
      <c r="A3551" s="91"/>
      <c r="B3551" s="176"/>
      <c r="C3551" s="176"/>
      <c r="D3551" s="176"/>
      <c r="E3551" s="176"/>
      <c r="F3551" s="176"/>
      <c r="G3551" s="176"/>
      <c r="H3551" s="176"/>
      <c r="I3551" s="176"/>
      <c r="J3551" s="176"/>
      <c r="K3551" s="176"/>
      <c r="L3551" s="176"/>
      <c r="M3551" s="176"/>
      <c r="N3551" s="176"/>
      <c r="O3551" s="176"/>
      <c r="P3551" s="176"/>
      <c r="Q3551" s="176"/>
      <c r="R3551" s="176"/>
      <c r="S3551" s="176"/>
      <c r="T3551" s="176"/>
      <c r="U3551" s="176"/>
      <c r="V3551" s="176"/>
      <c r="W3551" s="176"/>
      <c r="X3551" s="176"/>
      <c r="Y3551" s="176"/>
    </row>
    <row r="3552" spans="1:25">
      <c r="A3552" s="91"/>
      <c r="B3552" s="176"/>
      <c r="C3552" s="176"/>
      <c r="D3552" s="176"/>
      <c r="E3552" s="176"/>
      <c r="F3552" s="176"/>
      <c r="G3552" s="176"/>
      <c r="H3552" s="176"/>
      <c r="I3552" s="176"/>
      <c r="J3552" s="176"/>
      <c r="K3552" s="176"/>
      <c r="L3552" s="176"/>
      <c r="M3552" s="176"/>
      <c r="N3552" s="176"/>
      <c r="O3552" s="176"/>
      <c r="P3552" s="176"/>
      <c r="Q3552" s="176"/>
      <c r="R3552" s="176"/>
      <c r="S3552" s="176"/>
      <c r="T3552" s="176"/>
      <c r="U3552" s="176"/>
      <c r="V3552" s="176"/>
      <c r="W3552" s="176"/>
      <c r="X3552" s="176"/>
      <c r="Y3552" s="176"/>
    </row>
    <row r="3553" spans="1:25">
      <c r="A3553" s="91"/>
      <c r="B3553" s="176"/>
      <c r="C3553" s="176"/>
      <c r="D3553" s="176"/>
      <c r="E3553" s="176"/>
      <c r="F3553" s="176"/>
      <c r="G3553" s="176"/>
      <c r="H3553" s="176"/>
      <c r="I3553" s="176"/>
      <c r="J3553" s="176"/>
      <c r="K3553" s="176"/>
      <c r="L3553" s="176"/>
      <c r="M3553" s="176"/>
      <c r="N3553" s="176"/>
      <c r="O3553" s="176"/>
      <c r="P3553" s="176"/>
      <c r="Q3553" s="176"/>
      <c r="R3553" s="176"/>
      <c r="S3553" s="176"/>
      <c r="T3553" s="176"/>
      <c r="U3553" s="176"/>
      <c r="V3553" s="176"/>
      <c r="W3553" s="176"/>
      <c r="X3553" s="176"/>
      <c r="Y3553" s="176"/>
    </row>
    <row r="3554" spans="1:25">
      <c r="A3554" s="91"/>
      <c r="B3554" s="176"/>
      <c r="C3554" s="176"/>
      <c r="D3554" s="176"/>
      <c r="E3554" s="176"/>
      <c r="F3554" s="176"/>
      <c r="G3554" s="176"/>
      <c r="H3554" s="176"/>
      <c r="I3554" s="176"/>
      <c r="J3554" s="176"/>
      <c r="K3554" s="176"/>
      <c r="L3554" s="176"/>
      <c r="M3554" s="176"/>
      <c r="N3554" s="176"/>
      <c r="O3554" s="176"/>
      <c r="P3554" s="176"/>
      <c r="Q3554" s="176"/>
      <c r="R3554" s="176"/>
      <c r="S3554" s="176"/>
      <c r="T3554" s="176"/>
      <c r="U3554" s="176"/>
      <c r="V3554" s="176"/>
      <c r="W3554" s="176"/>
      <c r="X3554" s="176"/>
      <c r="Y3554" s="176"/>
    </row>
    <row r="3555" spans="1:25">
      <c r="A3555" s="91"/>
      <c r="B3555" s="176"/>
      <c r="C3555" s="176"/>
      <c r="D3555" s="176"/>
      <c r="E3555" s="176"/>
      <c r="F3555" s="176"/>
      <c r="G3555" s="176"/>
      <c r="H3555" s="176"/>
      <c r="I3555" s="176"/>
      <c r="J3555" s="176"/>
      <c r="K3555" s="176"/>
      <c r="L3555" s="176"/>
      <c r="M3555" s="176"/>
      <c r="N3555" s="176"/>
      <c r="O3555" s="176"/>
      <c r="P3555" s="176"/>
      <c r="Q3555" s="176"/>
      <c r="R3555" s="176"/>
      <c r="S3555" s="176"/>
      <c r="T3555" s="176"/>
      <c r="U3555" s="176"/>
      <c r="V3555" s="176"/>
      <c r="W3555" s="176"/>
      <c r="X3555" s="176"/>
      <c r="Y3555" s="176"/>
    </row>
    <row r="3556" spans="1:25">
      <c r="A3556" s="91"/>
      <c r="B3556" s="176"/>
      <c r="C3556" s="176"/>
      <c r="D3556" s="176"/>
      <c r="E3556" s="176"/>
      <c r="F3556" s="176"/>
      <c r="G3556" s="176"/>
      <c r="H3556" s="176"/>
      <c r="I3556" s="176"/>
      <c r="J3556" s="176"/>
      <c r="K3556" s="176"/>
      <c r="L3556" s="176"/>
      <c r="M3556" s="176"/>
      <c r="N3556" s="176"/>
      <c r="O3556" s="176"/>
      <c r="P3556" s="176"/>
      <c r="Q3556" s="176"/>
      <c r="R3556" s="176"/>
      <c r="S3556" s="176"/>
      <c r="T3556" s="176"/>
      <c r="U3556" s="176"/>
      <c r="V3556" s="176"/>
      <c r="W3556" s="176"/>
      <c r="X3556" s="176"/>
      <c r="Y3556" s="176"/>
    </row>
    <row r="3557" spans="1:25">
      <c r="A3557" s="91"/>
      <c r="B3557" s="176"/>
      <c r="C3557" s="176"/>
      <c r="D3557" s="176"/>
      <c r="E3557" s="176"/>
      <c r="F3557" s="176"/>
      <c r="G3557" s="176"/>
      <c r="H3557" s="176"/>
      <c r="I3557" s="176"/>
      <c r="J3557" s="176"/>
      <c r="K3557" s="176"/>
      <c r="L3557" s="176"/>
      <c r="M3557" s="176"/>
      <c r="N3557" s="176"/>
      <c r="O3557" s="176"/>
      <c r="P3557" s="176"/>
      <c r="Q3557" s="176"/>
      <c r="R3557" s="176"/>
      <c r="S3557" s="176"/>
      <c r="T3557" s="176"/>
      <c r="U3557" s="176"/>
      <c r="V3557" s="176"/>
      <c r="W3557" s="176"/>
      <c r="X3557" s="176"/>
      <c r="Y3557" s="176"/>
    </row>
    <row r="3558" spans="1:25">
      <c r="A3558" s="91"/>
      <c r="B3558" s="176"/>
      <c r="C3558" s="176"/>
      <c r="D3558" s="176"/>
      <c r="E3558" s="176"/>
      <c r="F3558" s="176"/>
      <c r="G3558" s="176"/>
      <c r="H3558" s="176"/>
      <c r="I3558" s="176"/>
      <c r="J3558" s="176"/>
      <c r="K3558" s="176"/>
      <c r="L3558" s="176"/>
      <c r="M3558" s="176"/>
      <c r="N3558" s="176"/>
      <c r="O3558" s="176"/>
      <c r="P3558" s="176"/>
      <c r="Q3558" s="176"/>
      <c r="R3558" s="176"/>
      <c r="S3558" s="176"/>
      <c r="T3558" s="176"/>
      <c r="U3558" s="176"/>
      <c r="V3558" s="176"/>
      <c r="W3558" s="176"/>
      <c r="X3558" s="176"/>
      <c r="Y3558" s="176"/>
    </row>
    <row r="3559" spans="1:25">
      <c r="A3559" s="91"/>
      <c r="B3559" s="176"/>
      <c r="C3559" s="176"/>
      <c r="D3559" s="176"/>
      <c r="E3559" s="176"/>
      <c r="F3559" s="176"/>
      <c r="G3559" s="176"/>
      <c r="H3559" s="176"/>
      <c r="I3559" s="176"/>
      <c r="J3559" s="176"/>
      <c r="K3559" s="176"/>
      <c r="L3559" s="176"/>
      <c r="M3559" s="176"/>
      <c r="N3559" s="176"/>
      <c r="O3559" s="176"/>
      <c r="P3559" s="176"/>
      <c r="Q3559" s="176"/>
      <c r="R3559" s="176"/>
      <c r="S3559" s="176"/>
      <c r="T3559" s="176"/>
      <c r="U3559" s="176"/>
      <c r="V3559" s="176"/>
      <c r="W3559" s="176"/>
      <c r="X3559" s="176"/>
      <c r="Y3559" s="176"/>
    </row>
    <row r="3560" spans="1:25">
      <c r="A3560" s="91"/>
      <c r="B3560" s="176"/>
      <c r="C3560" s="176"/>
      <c r="D3560" s="176"/>
      <c r="E3560" s="176"/>
      <c r="F3560" s="176"/>
      <c r="G3560" s="176"/>
      <c r="H3560" s="176"/>
      <c r="I3560" s="176"/>
      <c r="J3560" s="176"/>
      <c r="K3560" s="176"/>
      <c r="L3560" s="176"/>
      <c r="M3560" s="176"/>
      <c r="N3560" s="176"/>
      <c r="O3560" s="176"/>
      <c r="P3560" s="176"/>
      <c r="Q3560" s="176"/>
      <c r="R3560" s="176"/>
      <c r="S3560" s="176"/>
      <c r="T3560" s="176"/>
      <c r="U3560" s="176"/>
      <c r="V3560" s="176"/>
      <c r="W3560" s="176"/>
      <c r="X3560" s="176"/>
      <c r="Y3560" s="176"/>
    </row>
    <row r="3561" spans="1:25">
      <c r="A3561" s="91"/>
      <c r="B3561" s="176"/>
      <c r="C3561" s="176"/>
      <c r="D3561" s="176"/>
      <c r="E3561" s="176"/>
      <c r="F3561" s="176"/>
      <c r="G3561" s="176"/>
      <c r="H3561" s="176"/>
      <c r="I3561" s="176"/>
      <c r="J3561" s="176"/>
      <c r="K3561" s="176"/>
      <c r="L3561" s="176"/>
      <c r="M3561" s="176"/>
      <c r="N3561" s="176"/>
      <c r="O3561" s="176"/>
      <c r="P3561" s="176"/>
      <c r="Q3561" s="176"/>
      <c r="R3561" s="176"/>
      <c r="S3561" s="176"/>
      <c r="T3561" s="176"/>
      <c r="U3561" s="176"/>
      <c r="V3561" s="176"/>
      <c r="W3561" s="176"/>
      <c r="X3561" s="176"/>
      <c r="Y3561" s="176"/>
    </row>
    <row r="3562" spans="1:25">
      <c r="A3562" s="91"/>
      <c r="B3562" s="176"/>
      <c r="C3562" s="176"/>
      <c r="D3562" s="176"/>
      <c r="E3562" s="176"/>
      <c r="F3562" s="176"/>
      <c r="G3562" s="176"/>
      <c r="H3562" s="176"/>
      <c r="I3562" s="176"/>
      <c r="J3562" s="176"/>
      <c r="K3562" s="176"/>
      <c r="L3562" s="176"/>
      <c r="M3562" s="176"/>
      <c r="N3562" s="176"/>
      <c r="O3562" s="176"/>
      <c r="P3562" s="176"/>
      <c r="Q3562" s="176"/>
      <c r="R3562" s="176"/>
      <c r="S3562" s="176"/>
      <c r="T3562" s="176"/>
      <c r="U3562" s="176"/>
      <c r="V3562" s="176"/>
      <c r="W3562" s="176"/>
      <c r="X3562" s="176"/>
      <c r="Y3562" s="176"/>
    </row>
    <row r="3563" spans="1:25">
      <c r="A3563" s="91"/>
      <c r="B3563" s="176"/>
      <c r="C3563" s="176"/>
      <c r="D3563" s="176"/>
      <c r="E3563" s="176"/>
      <c r="F3563" s="176"/>
      <c r="G3563" s="176"/>
      <c r="H3563" s="176"/>
      <c r="I3563" s="176"/>
      <c r="J3563" s="176"/>
      <c r="K3563" s="176"/>
      <c r="L3563" s="176"/>
      <c r="M3563" s="176"/>
      <c r="N3563" s="176"/>
      <c r="O3563" s="176"/>
      <c r="P3563" s="176"/>
      <c r="Q3563" s="176"/>
      <c r="R3563" s="176"/>
      <c r="S3563" s="176"/>
      <c r="T3563" s="176"/>
      <c r="U3563" s="176"/>
      <c r="V3563" s="176"/>
      <c r="W3563" s="176"/>
      <c r="X3563" s="176"/>
      <c r="Y3563" s="176"/>
    </row>
    <row r="3564" spans="1:25">
      <c r="A3564" s="91"/>
      <c r="B3564" s="176"/>
      <c r="C3564" s="176"/>
      <c r="D3564" s="176"/>
      <c r="E3564" s="176"/>
      <c r="F3564" s="176"/>
      <c r="G3564" s="176"/>
      <c r="H3564" s="176"/>
      <c r="I3564" s="176"/>
      <c r="J3564" s="176"/>
      <c r="K3564" s="176"/>
      <c r="L3564" s="176"/>
      <c r="M3564" s="176"/>
      <c r="N3564" s="176"/>
      <c r="O3564" s="176"/>
      <c r="P3564" s="176"/>
      <c r="Q3564" s="176"/>
      <c r="R3564" s="176"/>
      <c r="S3564" s="176"/>
      <c r="T3564" s="176"/>
      <c r="U3564" s="176"/>
      <c r="V3564" s="176"/>
      <c r="W3564" s="176"/>
      <c r="X3564" s="176"/>
      <c r="Y3564" s="176"/>
    </row>
    <row r="3565" spans="1:25">
      <c r="A3565" s="91"/>
      <c r="B3565" s="176"/>
      <c r="C3565" s="176"/>
      <c r="D3565" s="176"/>
      <c r="E3565" s="176"/>
      <c r="F3565" s="176"/>
      <c r="G3565" s="176"/>
      <c r="H3565" s="176"/>
      <c r="I3565" s="176"/>
      <c r="J3565" s="176"/>
      <c r="K3565" s="176"/>
      <c r="L3565" s="176"/>
      <c r="M3565" s="176"/>
      <c r="N3565" s="176"/>
      <c r="O3565" s="176"/>
      <c r="P3565" s="176"/>
      <c r="Q3565" s="176"/>
      <c r="R3565" s="176"/>
      <c r="S3565" s="176"/>
      <c r="T3565" s="176"/>
      <c r="U3565" s="176"/>
      <c r="V3565" s="176"/>
      <c r="W3565" s="176"/>
      <c r="X3565" s="176"/>
      <c r="Y3565" s="176"/>
    </row>
    <row r="3566" spans="1:25">
      <c r="A3566" s="91"/>
      <c r="B3566" s="176"/>
      <c r="C3566" s="176"/>
      <c r="D3566" s="176"/>
      <c r="E3566" s="176"/>
      <c r="F3566" s="176"/>
      <c r="G3566" s="176"/>
      <c r="H3566" s="176"/>
      <c r="I3566" s="176"/>
      <c r="J3566" s="176"/>
      <c r="K3566" s="176"/>
      <c r="L3566" s="176"/>
      <c r="M3566" s="176"/>
      <c r="N3566" s="176"/>
      <c r="O3566" s="176"/>
      <c r="P3566" s="176"/>
      <c r="Q3566" s="176"/>
      <c r="R3566" s="176"/>
      <c r="S3566" s="176"/>
      <c r="T3566" s="176"/>
      <c r="U3566" s="176"/>
      <c r="V3566" s="176"/>
      <c r="W3566" s="176"/>
      <c r="X3566" s="176"/>
      <c r="Y3566" s="176"/>
    </row>
    <row r="3567" spans="1:25">
      <c r="A3567" s="91"/>
      <c r="B3567" s="176"/>
      <c r="C3567" s="176"/>
      <c r="D3567" s="176"/>
      <c r="E3567" s="176"/>
      <c r="F3567" s="176"/>
      <c r="G3567" s="176"/>
      <c r="H3567" s="176"/>
      <c r="I3567" s="176"/>
      <c r="J3567" s="176"/>
      <c r="K3567" s="176"/>
      <c r="L3567" s="176"/>
      <c r="M3567" s="176"/>
      <c r="N3567" s="176"/>
      <c r="O3567" s="176"/>
      <c r="P3567" s="176"/>
      <c r="Q3567" s="176"/>
      <c r="R3567" s="176"/>
      <c r="S3567" s="176"/>
      <c r="T3567" s="176"/>
      <c r="U3567" s="176"/>
      <c r="V3567" s="176"/>
      <c r="W3567" s="176"/>
      <c r="X3567" s="176"/>
      <c r="Y3567" s="176"/>
    </row>
    <row r="3568" spans="1:25">
      <c r="A3568" s="91"/>
      <c r="B3568" s="176"/>
      <c r="C3568" s="176"/>
      <c r="D3568" s="176"/>
      <c r="E3568" s="176"/>
      <c r="F3568" s="176"/>
      <c r="G3568" s="176"/>
      <c r="H3568" s="176"/>
      <c r="I3568" s="176"/>
      <c r="J3568" s="176"/>
      <c r="K3568" s="176"/>
      <c r="L3568" s="176"/>
      <c r="M3568" s="176"/>
      <c r="N3568" s="176"/>
      <c r="O3568" s="176"/>
      <c r="P3568" s="176"/>
      <c r="Q3568" s="176"/>
      <c r="R3568" s="176"/>
      <c r="S3568" s="176"/>
      <c r="T3568" s="176"/>
      <c r="U3568" s="176"/>
      <c r="V3568" s="176"/>
      <c r="W3568" s="176"/>
      <c r="X3568" s="176"/>
      <c r="Y3568" s="176"/>
    </row>
    <row r="3569" spans="1:25">
      <c r="A3569" s="91"/>
      <c r="B3569" s="176"/>
      <c r="C3569" s="176"/>
      <c r="D3569" s="176"/>
      <c r="E3569" s="176"/>
      <c r="F3569" s="176"/>
      <c r="G3569" s="176"/>
      <c r="H3569" s="176"/>
      <c r="I3569" s="176"/>
      <c r="J3569" s="176"/>
      <c r="K3569" s="176"/>
      <c r="L3569" s="176"/>
      <c r="M3569" s="176"/>
      <c r="N3569" s="176"/>
      <c r="O3569" s="176"/>
      <c r="P3569" s="176"/>
      <c r="Q3569" s="176"/>
      <c r="R3569" s="176"/>
      <c r="S3569" s="176"/>
      <c r="T3569" s="176"/>
      <c r="U3569" s="176"/>
      <c r="V3569" s="176"/>
      <c r="W3569" s="176"/>
      <c r="X3569" s="176"/>
      <c r="Y3569" s="176"/>
    </row>
    <row r="3570" spans="1:25">
      <c r="A3570" s="91"/>
      <c r="B3570" s="176"/>
      <c r="C3570" s="176"/>
      <c r="D3570" s="176"/>
      <c r="E3570" s="176"/>
      <c r="F3570" s="176"/>
      <c r="G3570" s="176"/>
      <c r="H3570" s="176"/>
      <c r="I3570" s="176"/>
      <c r="J3570" s="176"/>
      <c r="K3570" s="176"/>
      <c r="L3570" s="176"/>
      <c r="M3570" s="176"/>
      <c r="N3570" s="176"/>
      <c r="O3570" s="176"/>
      <c r="P3570" s="176"/>
      <c r="Q3570" s="176"/>
      <c r="R3570" s="176"/>
      <c r="S3570" s="176"/>
      <c r="T3570" s="176"/>
      <c r="U3570" s="176"/>
      <c r="V3570" s="176"/>
      <c r="W3570" s="176"/>
      <c r="X3570" s="176"/>
      <c r="Y3570" s="176"/>
    </row>
    <row r="3571" spans="1:25">
      <c r="A3571" s="91"/>
      <c r="B3571" s="176"/>
      <c r="C3571" s="176"/>
      <c r="D3571" s="176"/>
      <c r="E3571" s="176"/>
      <c r="F3571" s="176"/>
      <c r="G3571" s="176"/>
      <c r="H3571" s="176"/>
      <c r="I3571" s="176"/>
      <c r="J3571" s="176"/>
      <c r="K3571" s="176"/>
      <c r="L3571" s="176"/>
      <c r="M3571" s="176"/>
      <c r="N3571" s="176"/>
      <c r="O3571" s="176"/>
      <c r="P3571" s="176"/>
      <c r="Q3571" s="176"/>
      <c r="R3571" s="176"/>
      <c r="S3571" s="176"/>
      <c r="T3571" s="176"/>
      <c r="U3571" s="176"/>
      <c r="V3571" s="176"/>
      <c r="W3571" s="176"/>
      <c r="X3571" s="176"/>
      <c r="Y3571" s="176"/>
    </row>
    <row r="3572" spans="1:25">
      <c r="A3572" s="91"/>
      <c r="B3572" s="176"/>
      <c r="C3572" s="176"/>
      <c r="D3572" s="176"/>
      <c r="E3572" s="176"/>
      <c r="F3572" s="176"/>
      <c r="G3572" s="176"/>
      <c r="H3572" s="176"/>
      <c r="I3572" s="176"/>
      <c r="J3572" s="176"/>
      <c r="K3572" s="176"/>
      <c r="L3572" s="176"/>
      <c r="M3572" s="176"/>
      <c r="N3572" s="176"/>
      <c r="O3572" s="176"/>
      <c r="P3572" s="176"/>
      <c r="Q3572" s="176"/>
      <c r="R3572" s="176"/>
      <c r="S3572" s="176"/>
      <c r="T3572" s="176"/>
      <c r="U3572" s="176"/>
      <c r="V3572" s="176"/>
      <c r="W3572" s="176"/>
      <c r="X3572" s="176"/>
      <c r="Y3572" s="176"/>
    </row>
    <row r="3573" spans="1:25">
      <c r="A3573" s="91"/>
      <c r="B3573" s="176"/>
      <c r="C3573" s="176"/>
      <c r="D3573" s="176"/>
      <c r="E3573" s="176"/>
      <c r="F3573" s="176"/>
      <c r="G3573" s="176"/>
      <c r="H3573" s="176"/>
      <c r="I3573" s="176"/>
      <c r="J3573" s="176"/>
      <c r="K3573" s="176"/>
      <c r="L3573" s="176"/>
      <c r="M3573" s="176"/>
      <c r="N3573" s="176"/>
      <c r="O3573" s="176"/>
      <c r="P3573" s="176"/>
      <c r="Q3573" s="176"/>
      <c r="R3573" s="176"/>
      <c r="S3573" s="176"/>
      <c r="T3573" s="176"/>
      <c r="U3573" s="176"/>
      <c r="V3573" s="176"/>
      <c r="W3573" s="176"/>
      <c r="X3573" s="176"/>
      <c r="Y3573" s="176"/>
    </row>
    <row r="3574" spans="1:25">
      <c r="A3574" s="91"/>
      <c r="B3574" s="176"/>
      <c r="C3574" s="176"/>
      <c r="D3574" s="176"/>
      <c r="E3574" s="176"/>
      <c r="F3574" s="176"/>
      <c r="G3574" s="176"/>
      <c r="H3574" s="176"/>
      <c r="I3574" s="176"/>
      <c r="J3574" s="176"/>
      <c r="K3574" s="176"/>
      <c r="L3574" s="176"/>
      <c r="M3574" s="176"/>
      <c r="N3574" s="176"/>
      <c r="O3574" s="176"/>
      <c r="P3574" s="176"/>
      <c r="Q3574" s="176"/>
      <c r="R3574" s="176"/>
      <c r="S3574" s="176"/>
      <c r="T3574" s="176"/>
      <c r="U3574" s="176"/>
      <c r="V3574" s="176"/>
      <c r="W3574" s="176"/>
      <c r="X3574" s="176"/>
      <c r="Y3574" s="176"/>
    </row>
    <row r="3575" spans="1:25">
      <c r="A3575" s="91"/>
      <c r="B3575" s="176"/>
      <c r="C3575" s="176"/>
      <c r="D3575" s="176"/>
      <c r="E3575" s="176"/>
      <c r="F3575" s="176"/>
      <c r="G3575" s="176"/>
      <c r="H3575" s="176"/>
      <c r="I3575" s="176"/>
      <c r="J3575" s="176"/>
      <c r="K3575" s="176"/>
      <c r="L3575" s="176"/>
      <c r="M3575" s="176"/>
      <c r="N3575" s="176"/>
      <c r="O3575" s="176"/>
      <c r="P3575" s="176"/>
      <c r="Q3575" s="176"/>
      <c r="R3575" s="176"/>
      <c r="S3575" s="176"/>
      <c r="T3575" s="176"/>
      <c r="U3575" s="176"/>
      <c r="V3575" s="176"/>
      <c r="W3575" s="176"/>
      <c r="X3575" s="176"/>
      <c r="Y3575" s="176"/>
    </row>
    <row r="3576" spans="1:25">
      <c r="A3576" s="91"/>
      <c r="B3576" s="176"/>
      <c r="C3576" s="176"/>
      <c r="D3576" s="176"/>
      <c r="E3576" s="176"/>
      <c r="F3576" s="176"/>
      <c r="G3576" s="176"/>
      <c r="H3576" s="176"/>
      <c r="I3576" s="176"/>
      <c r="J3576" s="176"/>
      <c r="K3576" s="176"/>
      <c r="L3576" s="176"/>
      <c r="M3576" s="176"/>
      <c r="N3576" s="176"/>
      <c r="O3576" s="176"/>
      <c r="P3576" s="176"/>
      <c r="Q3576" s="176"/>
      <c r="R3576" s="176"/>
      <c r="S3576" s="176"/>
      <c r="T3576" s="176"/>
      <c r="U3576" s="176"/>
      <c r="V3576" s="176"/>
      <c r="W3576" s="176"/>
      <c r="X3576" s="176"/>
      <c r="Y3576" s="176"/>
    </row>
    <row r="3577" spans="1:25">
      <c r="A3577" s="91"/>
      <c r="B3577" s="176"/>
      <c r="C3577" s="176"/>
      <c r="D3577" s="176"/>
      <c r="E3577" s="176"/>
      <c r="F3577" s="176"/>
      <c r="G3577" s="176"/>
      <c r="H3577" s="176"/>
      <c r="I3577" s="176"/>
      <c r="J3577" s="176"/>
      <c r="K3577" s="176"/>
      <c r="L3577" s="176"/>
      <c r="M3577" s="176"/>
      <c r="N3577" s="176"/>
      <c r="O3577" s="176"/>
      <c r="P3577" s="176"/>
      <c r="Q3577" s="176"/>
      <c r="R3577" s="176"/>
      <c r="S3577" s="176"/>
      <c r="T3577" s="176"/>
      <c r="U3577" s="176"/>
      <c r="V3577" s="176"/>
      <c r="W3577" s="176"/>
      <c r="X3577" s="176"/>
      <c r="Y3577" s="176"/>
    </row>
    <row r="3578" spans="1:25">
      <c r="A3578" s="91"/>
      <c r="B3578" s="176"/>
      <c r="C3578" s="176"/>
      <c r="D3578" s="176"/>
      <c r="E3578" s="176"/>
      <c r="F3578" s="176"/>
      <c r="G3578" s="176"/>
      <c r="H3578" s="176"/>
      <c r="I3578" s="176"/>
      <c r="J3578" s="176"/>
      <c r="K3578" s="176"/>
      <c r="L3578" s="176"/>
      <c r="M3578" s="176"/>
      <c r="N3578" s="176"/>
      <c r="O3578" s="176"/>
      <c r="P3578" s="176"/>
      <c r="Q3578" s="176"/>
      <c r="R3578" s="176"/>
      <c r="S3578" s="176"/>
      <c r="T3578" s="176"/>
      <c r="U3578" s="176"/>
      <c r="V3578" s="176"/>
      <c r="W3578" s="176"/>
      <c r="X3578" s="176"/>
      <c r="Y3578" s="176"/>
    </row>
    <row r="3579" spans="1:25">
      <c r="A3579" s="91"/>
      <c r="B3579" s="176"/>
      <c r="C3579" s="176"/>
      <c r="D3579" s="176"/>
      <c r="E3579" s="176"/>
      <c r="F3579" s="176"/>
      <c r="G3579" s="176"/>
      <c r="H3579" s="176"/>
      <c r="I3579" s="176"/>
      <c r="J3579" s="176"/>
      <c r="K3579" s="176"/>
      <c r="L3579" s="176"/>
      <c r="M3579" s="176"/>
      <c r="N3579" s="176"/>
      <c r="O3579" s="176"/>
      <c r="P3579" s="176"/>
      <c r="Q3579" s="176"/>
      <c r="R3579" s="176"/>
      <c r="S3579" s="176"/>
      <c r="T3579" s="176"/>
      <c r="U3579" s="176"/>
      <c r="V3579" s="176"/>
      <c r="W3579" s="176"/>
      <c r="X3579" s="176"/>
      <c r="Y3579" s="176"/>
    </row>
    <row r="3580" spans="1:25">
      <c r="A3580" s="91"/>
      <c r="B3580" s="176"/>
      <c r="C3580" s="176"/>
      <c r="D3580" s="176"/>
      <c r="E3580" s="176"/>
      <c r="F3580" s="176"/>
      <c r="G3580" s="176"/>
      <c r="H3580" s="176"/>
      <c r="I3580" s="176"/>
      <c r="J3580" s="176"/>
      <c r="K3580" s="176"/>
      <c r="L3580" s="176"/>
      <c r="M3580" s="176"/>
      <c r="N3580" s="176"/>
      <c r="O3580" s="176"/>
      <c r="P3580" s="176"/>
      <c r="Q3580" s="176"/>
      <c r="R3580" s="176"/>
      <c r="S3580" s="176"/>
      <c r="T3580" s="176"/>
      <c r="U3580" s="176"/>
      <c r="V3580" s="176"/>
      <c r="W3580" s="176"/>
      <c r="X3580" s="176"/>
      <c r="Y3580" s="176"/>
    </row>
    <row r="3581" spans="1:25">
      <c r="A3581" s="91"/>
      <c r="B3581" s="176"/>
      <c r="C3581" s="176"/>
      <c r="D3581" s="176"/>
      <c r="E3581" s="176"/>
      <c r="F3581" s="176"/>
      <c r="G3581" s="176"/>
      <c r="H3581" s="176"/>
      <c r="I3581" s="176"/>
      <c r="J3581" s="176"/>
      <c r="K3581" s="176"/>
      <c r="L3581" s="176"/>
      <c r="M3581" s="176"/>
      <c r="N3581" s="176"/>
      <c r="O3581" s="176"/>
      <c r="P3581" s="176"/>
      <c r="Q3581" s="176"/>
      <c r="R3581" s="176"/>
      <c r="S3581" s="176"/>
      <c r="T3581" s="176"/>
      <c r="U3581" s="176"/>
      <c r="V3581" s="176"/>
      <c r="W3581" s="176"/>
      <c r="X3581" s="176"/>
      <c r="Y3581" s="176"/>
    </row>
    <row r="3582" spans="1:25">
      <c r="A3582" s="91"/>
      <c r="B3582" s="176"/>
      <c r="C3582" s="176"/>
      <c r="D3582" s="176"/>
      <c r="E3582" s="176"/>
      <c r="F3582" s="176"/>
      <c r="G3582" s="176"/>
      <c r="H3582" s="176"/>
      <c r="I3582" s="176"/>
      <c r="J3582" s="176"/>
      <c r="K3582" s="176"/>
      <c r="L3582" s="176"/>
      <c r="M3582" s="176"/>
      <c r="N3582" s="176"/>
      <c r="O3582" s="176"/>
      <c r="P3582" s="176"/>
      <c r="Q3582" s="176"/>
      <c r="R3582" s="176"/>
      <c r="S3582" s="176"/>
      <c r="T3582" s="176"/>
      <c r="U3582" s="176"/>
      <c r="V3582" s="176"/>
      <c r="W3582" s="176"/>
      <c r="X3582" s="176"/>
      <c r="Y3582" s="176"/>
    </row>
    <row r="3583" spans="1:25">
      <c r="A3583" s="91"/>
      <c r="B3583" s="176"/>
      <c r="C3583" s="176"/>
      <c r="D3583" s="176"/>
      <c r="E3583" s="176"/>
      <c r="F3583" s="176"/>
      <c r="G3583" s="176"/>
      <c r="H3583" s="176"/>
      <c r="I3583" s="176"/>
      <c r="J3583" s="176"/>
      <c r="K3583" s="176"/>
      <c r="L3583" s="176"/>
      <c r="M3583" s="176"/>
      <c r="N3583" s="176"/>
      <c r="O3583" s="176"/>
      <c r="P3583" s="176"/>
      <c r="Q3583" s="176"/>
      <c r="R3583" s="176"/>
      <c r="S3583" s="176"/>
      <c r="T3583" s="176"/>
      <c r="U3583" s="176"/>
      <c r="V3583" s="176"/>
      <c r="W3583" s="176"/>
      <c r="X3583" s="176"/>
      <c r="Y3583" s="176"/>
    </row>
    <row r="3584" spans="1:25">
      <c r="A3584" s="91"/>
      <c r="B3584" s="176"/>
      <c r="C3584" s="176"/>
      <c r="D3584" s="176"/>
      <c r="E3584" s="176"/>
      <c r="F3584" s="176"/>
      <c r="G3584" s="176"/>
      <c r="H3584" s="176"/>
      <c r="I3584" s="176"/>
      <c r="J3584" s="176"/>
      <c r="K3584" s="176"/>
      <c r="L3584" s="176"/>
      <c r="M3584" s="176"/>
      <c r="N3584" s="176"/>
      <c r="O3584" s="176"/>
      <c r="P3584" s="176"/>
      <c r="Q3584" s="176"/>
      <c r="R3584" s="176"/>
      <c r="S3584" s="176"/>
      <c r="T3584" s="176"/>
      <c r="U3584" s="176"/>
      <c r="V3584" s="176"/>
      <c r="W3584" s="176"/>
      <c r="X3584" s="176"/>
      <c r="Y3584" s="176"/>
    </row>
    <row r="3585" spans="1:25">
      <c r="A3585" s="91"/>
      <c r="B3585" s="176"/>
      <c r="C3585" s="176"/>
      <c r="D3585" s="176"/>
      <c r="E3585" s="176"/>
      <c r="F3585" s="176"/>
      <c r="G3585" s="176"/>
      <c r="H3585" s="176"/>
      <c r="I3585" s="176"/>
      <c r="J3585" s="176"/>
      <c r="K3585" s="176"/>
      <c r="L3585" s="176"/>
      <c r="M3585" s="176"/>
      <c r="N3585" s="176"/>
      <c r="O3585" s="176"/>
      <c r="P3585" s="176"/>
      <c r="Q3585" s="176"/>
      <c r="R3585" s="176"/>
      <c r="S3585" s="176"/>
      <c r="T3585" s="176"/>
      <c r="U3585" s="176"/>
      <c r="V3585" s="176"/>
      <c r="W3585" s="176"/>
      <c r="X3585" s="176"/>
      <c r="Y3585" s="176"/>
    </row>
    <row r="3586" spans="1:25">
      <c r="A3586" s="91"/>
      <c r="B3586" s="176"/>
      <c r="C3586" s="176"/>
      <c r="D3586" s="176"/>
      <c r="E3586" s="176"/>
      <c r="F3586" s="176"/>
      <c r="G3586" s="176"/>
      <c r="H3586" s="176"/>
      <c r="I3586" s="176"/>
      <c r="J3586" s="176"/>
      <c r="K3586" s="176"/>
      <c r="L3586" s="176"/>
      <c r="M3586" s="176"/>
      <c r="N3586" s="176"/>
      <c r="O3586" s="176"/>
      <c r="P3586" s="176"/>
      <c r="Q3586" s="176"/>
      <c r="R3586" s="176"/>
      <c r="S3586" s="176"/>
      <c r="T3586" s="176"/>
      <c r="U3586" s="176"/>
      <c r="V3586" s="176"/>
      <c r="W3586" s="176"/>
      <c r="X3586" s="176"/>
      <c r="Y3586" s="176"/>
    </row>
    <row r="3587" spans="1:25">
      <c r="A3587" s="91"/>
      <c r="B3587" s="176"/>
      <c r="C3587" s="176"/>
      <c r="D3587" s="176"/>
      <c r="E3587" s="176"/>
      <c r="F3587" s="176"/>
      <c r="G3587" s="176"/>
      <c r="H3587" s="176"/>
      <c r="I3587" s="176"/>
      <c r="J3587" s="176"/>
      <c r="K3587" s="176"/>
      <c r="L3587" s="176"/>
      <c r="M3587" s="176"/>
      <c r="N3587" s="176"/>
      <c r="O3587" s="176"/>
      <c r="P3587" s="176"/>
      <c r="Q3587" s="176"/>
      <c r="R3587" s="176"/>
      <c r="S3587" s="176"/>
      <c r="T3587" s="176"/>
      <c r="U3587" s="176"/>
      <c r="V3587" s="176"/>
      <c r="W3587" s="176"/>
      <c r="X3587" s="176"/>
      <c r="Y3587" s="176"/>
    </row>
    <row r="3588" spans="1:25">
      <c r="A3588" s="91"/>
      <c r="B3588" s="176"/>
      <c r="C3588" s="176"/>
      <c r="D3588" s="176"/>
      <c r="E3588" s="176"/>
      <c r="F3588" s="176"/>
      <c r="G3588" s="176"/>
      <c r="H3588" s="176"/>
      <c r="I3588" s="176"/>
      <c r="J3588" s="176"/>
      <c r="K3588" s="176"/>
      <c r="L3588" s="176"/>
      <c r="M3588" s="176"/>
      <c r="N3588" s="176"/>
      <c r="O3588" s="176"/>
      <c r="P3588" s="176"/>
      <c r="Q3588" s="176"/>
      <c r="R3588" s="176"/>
      <c r="S3588" s="176"/>
      <c r="T3588" s="176"/>
      <c r="U3588" s="176"/>
      <c r="V3588" s="176"/>
      <c r="W3588" s="176"/>
      <c r="X3588" s="176"/>
      <c r="Y3588" s="176"/>
    </row>
    <row r="3589" spans="1:25">
      <c r="A3589" s="91"/>
      <c r="B3589" s="176"/>
      <c r="C3589" s="176"/>
      <c r="D3589" s="176"/>
      <c r="E3589" s="176"/>
      <c r="F3589" s="176"/>
      <c r="G3589" s="176"/>
      <c r="H3589" s="176"/>
      <c r="I3589" s="176"/>
      <c r="J3589" s="176"/>
      <c r="K3589" s="176"/>
      <c r="L3589" s="176"/>
      <c r="M3589" s="176"/>
      <c r="N3589" s="176"/>
      <c r="O3589" s="176"/>
      <c r="P3589" s="176"/>
      <c r="Q3589" s="176"/>
      <c r="R3589" s="176"/>
      <c r="S3589" s="176"/>
      <c r="T3589" s="176"/>
      <c r="U3589" s="176"/>
      <c r="V3589" s="176"/>
      <c r="W3589" s="176"/>
      <c r="X3589" s="176"/>
      <c r="Y3589" s="176"/>
    </row>
    <row r="3590" spans="1:25">
      <c r="A3590" s="91"/>
      <c r="B3590" s="176"/>
      <c r="C3590" s="176"/>
      <c r="D3590" s="176"/>
      <c r="E3590" s="176"/>
      <c r="F3590" s="176"/>
      <c r="G3590" s="176"/>
      <c r="H3590" s="176"/>
      <c r="I3590" s="176"/>
      <c r="J3590" s="176"/>
      <c r="K3590" s="176"/>
      <c r="L3590" s="176"/>
      <c r="M3590" s="176"/>
      <c r="N3590" s="176"/>
      <c r="O3590" s="176"/>
      <c r="P3590" s="176"/>
      <c r="Q3590" s="176"/>
      <c r="R3590" s="176"/>
      <c r="S3590" s="176"/>
      <c r="T3590" s="176"/>
      <c r="U3590" s="176"/>
      <c r="V3590" s="176"/>
      <c r="W3590" s="176"/>
      <c r="X3590" s="176"/>
      <c r="Y3590" s="176"/>
    </row>
    <row r="3591" spans="1:25">
      <c r="A3591" s="91"/>
      <c r="B3591" s="176"/>
      <c r="C3591" s="176"/>
      <c r="D3591" s="176"/>
      <c r="E3591" s="176"/>
      <c r="F3591" s="176"/>
      <c r="G3591" s="176"/>
      <c r="H3591" s="176"/>
      <c r="I3591" s="176"/>
      <c r="J3591" s="176"/>
      <c r="K3591" s="176"/>
      <c r="L3591" s="176"/>
      <c r="M3591" s="176"/>
      <c r="N3591" s="176"/>
      <c r="O3591" s="176"/>
      <c r="P3591" s="176"/>
      <c r="Q3591" s="176"/>
      <c r="R3591" s="176"/>
      <c r="S3591" s="176"/>
      <c r="T3591" s="176"/>
      <c r="U3591" s="176"/>
      <c r="V3591" s="176"/>
      <c r="W3591" s="176"/>
      <c r="X3591" s="176"/>
      <c r="Y3591" s="176"/>
    </row>
    <row r="3592" spans="1:25">
      <c r="A3592" s="91"/>
      <c r="B3592" s="176"/>
      <c r="C3592" s="176"/>
      <c r="D3592" s="176"/>
      <c r="E3592" s="176"/>
      <c r="F3592" s="176"/>
      <c r="G3592" s="176"/>
      <c r="H3592" s="176"/>
      <c r="I3592" s="176"/>
      <c r="J3592" s="176"/>
      <c r="K3592" s="176"/>
      <c r="L3592" s="176"/>
      <c r="M3592" s="176"/>
      <c r="N3592" s="176"/>
      <c r="O3592" s="176"/>
      <c r="P3592" s="176"/>
      <c r="Q3592" s="176"/>
      <c r="R3592" s="176"/>
      <c r="S3592" s="176"/>
      <c r="T3592" s="176"/>
      <c r="U3592" s="176"/>
      <c r="V3592" s="176"/>
      <c r="W3592" s="176"/>
      <c r="X3592" s="176"/>
      <c r="Y3592" s="176"/>
    </row>
    <row r="3593" spans="1:25">
      <c r="A3593" s="91"/>
      <c r="B3593" s="176"/>
      <c r="C3593" s="176"/>
      <c r="D3593" s="176"/>
      <c r="E3593" s="176"/>
      <c r="F3593" s="176"/>
      <c r="G3593" s="176"/>
      <c r="H3593" s="176"/>
      <c r="I3593" s="176"/>
      <c r="J3593" s="176"/>
      <c r="K3593" s="176"/>
      <c r="L3593" s="176"/>
      <c r="M3593" s="176"/>
      <c r="N3593" s="176"/>
      <c r="O3593" s="176"/>
      <c r="P3593" s="176"/>
      <c r="Q3593" s="176"/>
      <c r="R3593" s="176"/>
      <c r="S3593" s="176"/>
      <c r="T3593" s="176"/>
      <c r="U3593" s="176"/>
      <c r="V3593" s="176"/>
      <c r="W3593" s="176"/>
      <c r="X3593" s="176"/>
      <c r="Y3593" s="176"/>
    </row>
    <row r="3594" spans="1:25">
      <c r="A3594" s="91"/>
      <c r="B3594" s="176"/>
      <c r="C3594" s="176"/>
      <c r="D3594" s="176"/>
      <c r="E3594" s="176"/>
      <c r="F3594" s="176"/>
      <c r="G3594" s="176"/>
      <c r="H3594" s="176"/>
      <c r="I3594" s="176"/>
      <c r="J3594" s="176"/>
      <c r="K3594" s="176"/>
      <c r="L3594" s="176"/>
      <c r="M3594" s="176"/>
      <c r="N3594" s="176"/>
      <c r="O3594" s="176"/>
      <c r="P3594" s="176"/>
      <c r="Q3594" s="176"/>
      <c r="R3594" s="176"/>
      <c r="S3594" s="176"/>
      <c r="T3594" s="176"/>
      <c r="U3594" s="176"/>
      <c r="V3594" s="176"/>
      <c r="W3594" s="176"/>
      <c r="X3594" s="176"/>
      <c r="Y3594" s="176"/>
    </row>
    <row r="3595" spans="1:25">
      <c r="A3595" s="91"/>
      <c r="B3595" s="176"/>
      <c r="C3595" s="176"/>
      <c r="D3595" s="176"/>
      <c r="E3595" s="176"/>
      <c r="F3595" s="176"/>
      <c r="G3595" s="176"/>
      <c r="H3595" s="176"/>
      <c r="I3595" s="176"/>
      <c r="J3595" s="176"/>
      <c r="K3595" s="176"/>
      <c r="L3595" s="176"/>
      <c r="M3595" s="176"/>
      <c r="N3595" s="176"/>
      <c r="O3595" s="176"/>
      <c r="P3595" s="176"/>
      <c r="Q3595" s="176"/>
      <c r="R3595" s="176"/>
      <c r="S3595" s="176"/>
      <c r="T3595" s="176"/>
      <c r="U3595" s="176"/>
      <c r="V3595" s="176"/>
      <c r="W3595" s="176"/>
      <c r="X3595" s="176"/>
      <c r="Y3595" s="176"/>
    </row>
    <row r="3596" spans="1:25">
      <c r="A3596" s="91"/>
      <c r="B3596" s="176"/>
      <c r="C3596" s="176"/>
      <c r="D3596" s="176"/>
      <c r="E3596" s="176"/>
      <c r="F3596" s="176"/>
      <c r="G3596" s="176"/>
      <c r="H3596" s="176"/>
      <c r="I3596" s="176"/>
      <c r="J3596" s="176"/>
      <c r="K3596" s="176"/>
      <c r="L3596" s="176"/>
      <c r="M3596" s="176"/>
      <c r="N3596" s="176"/>
      <c r="O3596" s="176"/>
      <c r="P3596" s="176"/>
      <c r="Q3596" s="176"/>
      <c r="R3596" s="176"/>
      <c r="S3596" s="176"/>
      <c r="T3596" s="176"/>
      <c r="U3596" s="176"/>
      <c r="V3596" s="176"/>
      <c r="W3596" s="176"/>
      <c r="X3596" s="176"/>
      <c r="Y3596" s="176"/>
    </row>
    <row r="3597" spans="1:25">
      <c r="A3597" s="91"/>
      <c r="B3597" s="176"/>
      <c r="C3597" s="176"/>
      <c r="D3597" s="176"/>
      <c r="E3597" s="176"/>
      <c r="F3597" s="176"/>
      <c r="G3597" s="176"/>
      <c r="H3597" s="176"/>
      <c r="I3597" s="176"/>
      <c r="J3597" s="176"/>
      <c r="K3597" s="176"/>
      <c r="L3597" s="176"/>
      <c r="M3597" s="176"/>
      <c r="N3597" s="176"/>
      <c r="O3597" s="176"/>
      <c r="P3597" s="176"/>
      <c r="Q3597" s="176"/>
      <c r="R3597" s="176"/>
      <c r="S3597" s="176"/>
      <c r="T3597" s="176"/>
      <c r="U3597" s="176"/>
      <c r="V3597" s="176"/>
      <c r="W3597" s="176"/>
      <c r="X3597" s="176"/>
      <c r="Y3597" s="176"/>
    </row>
    <row r="3598" spans="1:25">
      <c r="A3598" s="91"/>
      <c r="B3598" s="176"/>
      <c r="C3598" s="176"/>
      <c r="D3598" s="176"/>
      <c r="E3598" s="176"/>
      <c r="F3598" s="176"/>
      <c r="G3598" s="176"/>
      <c r="H3598" s="176"/>
      <c r="I3598" s="176"/>
      <c r="J3598" s="176"/>
      <c r="K3598" s="176"/>
      <c r="L3598" s="176"/>
      <c r="M3598" s="176"/>
      <c r="N3598" s="176"/>
      <c r="O3598" s="176"/>
      <c r="P3598" s="176"/>
      <c r="Q3598" s="176"/>
      <c r="R3598" s="176"/>
      <c r="S3598" s="176"/>
      <c r="T3598" s="176"/>
      <c r="U3598" s="176"/>
      <c r="V3598" s="176"/>
      <c r="W3598" s="176"/>
      <c r="X3598" s="176"/>
      <c r="Y3598" s="176"/>
    </row>
    <row r="3599" spans="1:25">
      <c r="A3599" s="91"/>
      <c r="B3599" s="176"/>
      <c r="C3599" s="176"/>
      <c r="D3599" s="176"/>
      <c r="E3599" s="176"/>
      <c r="F3599" s="176"/>
      <c r="G3599" s="176"/>
      <c r="H3599" s="176"/>
      <c r="I3599" s="176"/>
      <c r="J3599" s="176"/>
      <c r="K3599" s="176"/>
      <c r="L3599" s="176"/>
      <c r="M3599" s="176"/>
      <c r="N3599" s="176"/>
      <c r="O3599" s="176"/>
      <c r="P3599" s="176"/>
      <c r="Q3599" s="176"/>
      <c r="R3599" s="176"/>
      <c r="S3599" s="176"/>
      <c r="T3599" s="176"/>
      <c r="U3599" s="176"/>
      <c r="V3599" s="176"/>
      <c r="W3599" s="176"/>
      <c r="X3599" s="176"/>
      <c r="Y3599" s="176"/>
    </row>
    <row r="3600" spans="1:25">
      <c r="A3600" s="91"/>
      <c r="B3600" s="176"/>
      <c r="C3600" s="176"/>
      <c r="D3600" s="176"/>
      <c r="E3600" s="176"/>
      <c r="F3600" s="176"/>
      <c r="G3600" s="176"/>
      <c r="H3600" s="176"/>
      <c r="I3600" s="176"/>
      <c r="J3600" s="176"/>
      <c r="K3600" s="176"/>
      <c r="L3600" s="176"/>
      <c r="M3600" s="176"/>
      <c r="N3600" s="176"/>
      <c r="O3600" s="176"/>
      <c r="P3600" s="176"/>
      <c r="Q3600" s="176"/>
      <c r="R3600" s="176"/>
      <c r="S3600" s="176"/>
      <c r="T3600" s="176"/>
      <c r="U3600" s="176"/>
      <c r="V3600" s="176"/>
      <c r="W3600" s="176"/>
      <c r="X3600" s="176"/>
      <c r="Y3600" s="176"/>
    </row>
    <row r="3601" spans="1:25">
      <c r="A3601" s="91"/>
      <c r="B3601" s="176"/>
      <c r="C3601" s="176"/>
      <c r="D3601" s="176"/>
      <c r="E3601" s="176"/>
      <c r="F3601" s="176"/>
      <c r="G3601" s="176"/>
      <c r="H3601" s="176"/>
      <c r="I3601" s="176"/>
      <c r="J3601" s="176"/>
      <c r="K3601" s="176"/>
      <c r="L3601" s="176"/>
      <c r="M3601" s="176"/>
      <c r="N3601" s="176"/>
      <c r="O3601" s="176"/>
      <c r="P3601" s="176"/>
      <c r="Q3601" s="176"/>
      <c r="R3601" s="176"/>
      <c r="S3601" s="176"/>
      <c r="T3601" s="176"/>
      <c r="U3601" s="176"/>
      <c r="V3601" s="176"/>
      <c r="W3601" s="176"/>
      <c r="X3601" s="176"/>
      <c r="Y3601" s="176"/>
    </row>
    <row r="3602" spans="1:25">
      <c r="A3602" s="91"/>
      <c r="B3602" s="176"/>
      <c r="C3602" s="176"/>
      <c r="D3602" s="176"/>
      <c r="E3602" s="176"/>
      <c r="F3602" s="176"/>
      <c r="G3602" s="176"/>
      <c r="H3602" s="176"/>
      <c r="I3602" s="176"/>
      <c r="J3602" s="176"/>
      <c r="K3602" s="176"/>
      <c r="L3602" s="176"/>
      <c r="M3602" s="176"/>
      <c r="N3602" s="176"/>
      <c r="O3602" s="176"/>
      <c r="P3602" s="176"/>
      <c r="Q3602" s="176"/>
      <c r="R3602" s="176"/>
      <c r="S3602" s="176"/>
      <c r="T3602" s="176"/>
      <c r="U3602" s="176"/>
      <c r="V3602" s="176"/>
      <c r="W3602" s="176"/>
      <c r="X3602" s="176"/>
      <c r="Y3602" s="176"/>
    </row>
    <row r="3603" spans="1:25">
      <c r="A3603" s="91"/>
      <c r="B3603" s="176"/>
      <c r="C3603" s="176"/>
      <c r="D3603" s="176"/>
      <c r="E3603" s="176"/>
      <c r="F3603" s="176"/>
      <c r="G3603" s="176"/>
      <c r="H3603" s="176"/>
      <c r="I3603" s="176"/>
      <c r="J3603" s="176"/>
      <c r="K3603" s="176"/>
      <c r="L3603" s="176"/>
      <c r="M3603" s="176"/>
      <c r="N3603" s="176"/>
      <c r="O3603" s="176"/>
      <c r="P3603" s="176"/>
      <c r="Q3603" s="176"/>
      <c r="R3603" s="176"/>
      <c r="S3603" s="176"/>
      <c r="T3603" s="176"/>
      <c r="U3603" s="176"/>
      <c r="V3603" s="176"/>
      <c r="W3603" s="176"/>
      <c r="X3603" s="176"/>
      <c r="Y3603" s="176"/>
    </row>
    <row r="3604" spans="1:25">
      <c r="A3604" s="91"/>
      <c r="B3604" s="176"/>
      <c r="C3604" s="176"/>
      <c r="D3604" s="176"/>
      <c r="E3604" s="176"/>
      <c r="F3604" s="176"/>
      <c r="G3604" s="176"/>
      <c r="H3604" s="176"/>
      <c r="I3604" s="176"/>
      <c r="J3604" s="176"/>
      <c r="K3604" s="176"/>
      <c r="L3604" s="176"/>
      <c r="M3604" s="176"/>
      <c r="N3604" s="176"/>
      <c r="O3604" s="176"/>
      <c r="P3604" s="176"/>
      <c r="Q3604" s="176"/>
      <c r="R3604" s="176"/>
      <c r="S3604" s="176"/>
      <c r="T3604" s="176"/>
      <c r="U3604" s="176"/>
      <c r="V3604" s="176"/>
      <c r="W3604" s="176"/>
      <c r="X3604" s="176"/>
      <c r="Y3604" s="176"/>
    </row>
    <row r="3605" spans="1:25">
      <c r="A3605" s="91"/>
      <c r="B3605" s="176"/>
      <c r="C3605" s="176"/>
      <c r="D3605" s="176"/>
      <c r="E3605" s="176"/>
      <c r="F3605" s="176"/>
      <c r="G3605" s="176"/>
      <c r="H3605" s="176"/>
      <c r="I3605" s="176"/>
      <c r="J3605" s="176"/>
      <c r="K3605" s="176"/>
      <c r="L3605" s="176"/>
      <c r="M3605" s="176"/>
      <c r="N3605" s="176"/>
      <c r="O3605" s="176"/>
      <c r="P3605" s="176"/>
      <c r="Q3605" s="176"/>
      <c r="R3605" s="176"/>
      <c r="S3605" s="176"/>
      <c r="T3605" s="176"/>
      <c r="U3605" s="176"/>
      <c r="V3605" s="176"/>
      <c r="W3605" s="176"/>
      <c r="X3605" s="176"/>
      <c r="Y3605" s="176"/>
    </row>
    <row r="3606" spans="1:25">
      <c r="A3606" s="91"/>
      <c r="B3606" s="176"/>
      <c r="C3606" s="176"/>
      <c r="D3606" s="176"/>
      <c r="E3606" s="176"/>
      <c r="F3606" s="176"/>
      <c r="G3606" s="176"/>
      <c r="H3606" s="176"/>
      <c r="I3606" s="176"/>
      <c r="J3606" s="176"/>
      <c r="K3606" s="176"/>
      <c r="L3606" s="176"/>
      <c r="M3606" s="176"/>
      <c r="N3606" s="176"/>
      <c r="O3606" s="176"/>
      <c r="P3606" s="176"/>
      <c r="Q3606" s="176"/>
      <c r="R3606" s="176"/>
      <c r="S3606" s="176"/>
      <c r="T3606" s="176"/>
      <c r="U3606" s="176"/>
      <c r="V3606" s="176"/>
      <c r="W3606" s="176"/>
      <c r="X3606" s="176"/>
      <c r="Y3606" s="176"/>
    </row>
    <row r="3607" spans="1:25">
      <c r="A3607" s="91"/>
      <c r="B3607" s="176"/>
      <c r="C3607" s="176"/>
      <c r="D3607" s="176"/>
      <c r="E3607" s="176"/>
      <c r="F3607" s="176"/>
      <c r="G3607" s="176"/>
      <c r="H3607" s="176"/>
      <c r="I3607" s="176"/>
      <c r="J3607" s="176"/>
      <c r="K3607" s="176"/>
      <c r="L3607" s="176"/>
      <c r="M3607" s="176"/>
      <c r="N3607" s="176"/>
      <c r="O3607" s="176"/>
      <c r="P3607" s="176"/>
      <c r="Q3607" s="176"/>
      <c r="R3607" s="176"/>
      <c r="S3607" s="176"/>
      <c r="T3607" s="176"/>
      <c r="U3607" s="176"/>
      <c r="V3607" s="176"/>
      <c r="W3607" s="176"/>
      <c r="X3607" s="176"/>
      <c r="Y3607" s="176"/>
    </row>
    <row r="3608" spans="1:25">
      <c r="A3608" s="91"/>
      <c r="B3608" s="176"/>
      <c r="C3608" s="176"/>
      <c r="D3608" s="176"/>
      <c r="E3608" s="176"/>
      <c r="F3608" s="176"/>
      <c r="G3608" s="176"/>
      <c r="H3608" s="176"/>
      <c r="I3608" s="176"/>
      <c r="J3608" s="176"/>
      <c r="K3608" s="176"/>
      <c r="L3608" s="176"/>
      <c r="M3608" s="176"/>
      <c r="N3608" s="176"/>
      <c r="O3608" s="176"/>
      <c r="P3608" s="176"/>
      <c r="Q3608" s="176"/>
      <c r="R3608" s="176"/>
      <c r="S3608" s="176"/>
      <c r="T3608" s="176"/>
      <c r="U3608" s="176"/>
      <c r="V3608" s="176"/>
      <c r="W3608" s="176"/>
      <c r="X3608" s="176"/>
      <c r="Y3608" s="176"/>
    </row>
    <row r="3609" spans="1:25">
      <c r="A3609" s="91"/>
      <c r="B3609" s="176"/>
      <c r="C3609" s="176"/>
      <c r="D3609" s="176"/>
      <c r="E3609" s="176"/>
      <c r="F3609" s="176"/>
      <c r="G3609" s="176"/>
      <c r="H3609" s="176"/>
      <c r="I3609" s="176"/>
      <c r="J3609" s="176"/>
      <c r="K3609" s="176"/>
      <c r="L3609" s="176"/>
      <c r="M3609" s="176"/>
      <c r="N3609" s="176"/>
      <c r="O3609" s="176"/>
      <c r="P3609" s="176"/>
      <c r="Q3609" s="176"/>
      <c r="R3609" s="176"/>
      <c r="S3609" s="176"/>
      <c r="T3609" s="176"/>
      <c r="U3609" s="176"/>
      <c r="V3609" s="176"/>
      <c r="W3609" s="176"/>
      <c r="X3609" s="176"/>
      <c r="Y3609" s="176"/>
    </row>
    <row r="3610" spans="1:25">
      <c r="A3610" s="91"/>
      <c r="B3610" s="176"/>
      <c r="C3610" s="176"/>
      <c r="D3610" s="176"/>
      <c r="E3610" s="176"/>
      <c r="F3610" s="176"/>
      <c r="G3610" s="176"/>
      <c r="H3610" s="176"/>
      <c r="I3610" s="176"/>
      <c r="J3610" s="176"/>
      <c r="K3610" s="176"/>
      <c r="L3610" s="176"/>
      <c r="M3610" s="176"/>
      <c r="N3610" s="176"/>
      <c r="O3610" s="176"/>
      <c r="P3610" s="176"/>
      <c r="Q3610" s="176"/>
      <c r="R3610" s="176"/>
      <c r="S3610" s="176"/>
      <c r="T3610" s="176"/>
      <c r="U3610" s="176"/>
      <c r="V3610" s="176"/>
      <c r="W3610" s="176"/>
      <c r="X3610" s="176"/>
      <c r="Y3610" s="176"/>
    </row>
    <row r="3611" spans="1:25">
      <c r="A3611" s="91"/>
      <c r="B3611" s="176"/>
      <c r="C3611" s="176"/>
      <c r="D3611" s="176"/>
      <c r="E3611" s="176"/>
      <c r="F3611" s="176"/>
      <c r="G3611" s="176"/>
      <c r="H3611" s="176"/>
      <c r="I3611" s="176"/>
      <c r="J3611" s="176"/>
      <c r="K3611" s="176"/>
      <c r="L3611" s="176"/>
      <c r="M3611" s="176"/>
      <c r="N3611" s="176"/>
      <c r="O3611" s="176"/>
      <c r="P3611" s="176"/>
      <c r="Q3611" s="176"/>
      <c r="R3611" s="176"/>
      <c r="S3611" s="176"/>
      <c r="T3611" s="176"/>
      <c r="U3611" s="176"/>
      <c r="V3611" s="176"/>
      <c r="W3611" s="176"/>
      <c r="X3611" s="176"/>
      <c r="Y3611" s="176"/>
    </row>
    <row r="3612" spans="1:25">
      <c r="A3612" s="91"/>
      <c r="B3612" s="176"/>
      <c r="C3612" s="176"/>
      <c r="D3612" s="176"/>
      <c r="E3612" s="176"/>
      <c r="F3612" s="176"/>
      <c r="G3612" s="176"/>
      <c r="H3612" s="176"/>
      <c r="I3612" s="176"/>
      <c r="J3612" s="176"/>
      <c r="K3612" s="176"/>
      <c r="L3612" s="176"/>
      <c r="M3612" s="176"/>
      <c r="N3612" s="176"/>
      <c r="O3612" s="176"/>
      <c r="P3612" s="176"/>
      <c r="Q3612" s="176"/>
      <c r="R3612" s="176"/>
      <c r="S3612" s="176"/>
      <c r="T3612" s="176"/>
      <c r="U3612" s="176"/>
      <c r="V3612" s="176"/>
      <c r="W3612" s="176"/>
      <c r="X3612" s="176"/>
      <c r="Y3612" s="176"/>
    </row>
    <row r="3613" spans="1:25">
      <c r="A3613" s="91"/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</row>
    <row r="3614" spans="1:25">
      <c r="A3614" s="91"/>
      <c r="B3614" s="176"/>
      <c r="C3614" s="176"/>
      <c r="D3614" s="176"/>
      <c r="E3614" s="176"/>
      <c r="F3614" s="176"/>
      <c r="G3614" s="176"/>
      <c r="H3614" s="176"/>
      <c r="I3614" s="176"/>
      <c r="J3614" s="176"/>
      <c r="K3614" s="176"/>
      <c r="L3614" s="176"/>
      <c r="M3614" s="176"/>
      <c r="N3614" s="176"/>
      <c r="O3614" s="176"/>
      <c r="P3614" s="176"/>
      <c r="Q3614" s="176"/>
      <c r="R3614" s="176"/>
      <c r="S3614" s="176"/>
      <c r="T3614" s="176"/>
      <c r="U3614" s="176"/>
      <c r="V3614" s="176"/>
      <c r="W3614" s="176"/>
      <c r="X3614" s="176"/>
      <c r="Y3614" s="176"/>
    </row>
    <row r="3615" spans="1:25">
      <c r="A3615" s="91"/>
      <c r="B3615" s="176"/>
      <c r="C3615" s="176"/>
      <c r="D3615" s="176"/>
      <c r="E3615" s="176"/>
      <c r="F3615" s="176"/>
      <c r="G3615" s="176"/>
      <c r="H3615" s="176"/>
      <c r="I3615" s="176"/>
      <c r="J3615" s="176"/>
      <c r="K3615" s="176"/>
      <c r="L3615" s="176"/>
      <c r="M3615" s="176"/>
      <c r="N3615" s="176"/>
      <c r="O3615" s="176"/>
      <c r="P3615" s="176"/>
      <c r="Q3615" s="176"/>
      <c r="R3615" s="176"/>
      <c r="S3615" s="176"/>
      <c r="T3615" s="176"/>
      <c r="U3615" s="176"/>
      <c r="V3615" s="176"/>
      <c r="W3615" s="176"/>
      <c r="X3615" s="176"/>
      <c r="Y3615" s="176"/>
    </row>
    <row r="3616" spans="1:25">
      <c r="A3616" s="91"/>
      <c r="B3616" s="176"/>
      <c r="C3616" s="176"/>
      <c r="D3616" s="176"/>
      <c r="E3616" s="176"/>
      <c r="F3616" s="176"/>
      <c r="G3616" s="176"/>
      <c r="H3616" s="176"/>
      <c r="I3616" s="176"/>
      <c r="J3616" s="176"/>
      <c r="K3616" s="176"/>
      <c r="L3616" s="176"/>
      <c r="M3616" s="176"/>
      <c r="N3616" s="176"/>
      <c r="O3616" s="176"/>
      <c r="P3616" s="176"/>
      <c r="Q3616" s="176"/>
      <c r="R3616" s="176"/>
      <c r="S3616" s="176"/>
      <c r="T3616" s="176"/>
      <c r="U3616" s="176"/>
      <c r="V3616" s="176"/>
      <c r="W3616" s="176"/>
      <c r="X3616" s="176"/>
      <c r="Y3616" s="176"/>
    </row>
    <row r="3617" spans="1:25">
      <c r="A3617" s="91"/>
      <c r="B3617" s="176"/>
      <c r="C3617" s="176"/>
      <c r="D3617" s="176"/>
      <c r="E3617" s="176"/>
      <c r="F3617" s="176"/>
      <c r="G3617" s="176"/>
      <c r="H3617" s="176"/>
      <c r="I3617" s="176"/>
      <c r="J3617" s="176"/>
      <c r="K3617" s="176"/>
      <c r="L3617" s="176"/>
      <c r="M3617" s="176"/>
      <c r="N3617" s="176"/>
      <c r="O3617" s="176"/>
      <c r="P3617" s="176"/>
      <c r="Q3617" s="176"/>
      <c r="R3617" s="176"/>
      <c r="S3617" s="176"/>
      <c r="T3617" s="176"/>
      <c r="U3617" s="176"/>
      <c r="V3617" s="176"/>
      <c r="W3617" s="176"/>
      <c r="X3617" s="176"/>
      <c r="Y3617" s="176"/>
    </row>
    <row r="3618" spans="1:25">
      <c r="A3618" s="91"/>
      <c r="B3618" s="176"/>
      <c r="C3618" s="176"/>
      <c r="D3618" s="176"/>
      <c r="E3618" s="176"/>
      <c r="F3618" s="176"/>
      <c r="G3618" s="176"/>
      <c r="H3618" s="176"/>
      <c r="I3618" s="176"/>
      <c r="J3618" s="176"/>
      <c r="K3618" s="176"/>
      <c r="L3618" s="176"/>
      <c r="M3618" s="176"/>
      <c r="N3618" s="176"/>
      <c r="O3618" s="176"/>
      <c r="P3618" s="176"/>
      <c r="Q3618" s="176"/>
      <c r="R3618" s="176"/>
      <c r="S3618" s="176"/>
      <c r="T3618" s="176"/>
      <c r="U3618" s="176"/>
      <c r="V3618" s="176"/>
      <c r="W3618" s="176"/>
      <c r="X3618" s="176"/>
      <c r="Y3618" s="176"/>
    </row>
    <row r="3619" spans="1:25">
      <c r="A3619" s="91"/>
      <c r="B3619" s="176"/>
      <c r="C3619" s="176"/>
      <c r="D3619" s="176"/>
      <c r="E3619" s="176"/>
      <c r="F3619" s="176"/>
      <c r="G3619" s="176"/>
      <c r="H3619" s="176"/>
      <c r="I3619" s="176"/>
      <c r="J3619" s="176"/>
      <c r="K3619" s="176"/>
      <c r="L3619" s="176"/>
      <c r="M3619" s="176"/>
      <c r="N3619" s="176"/>
      <c r="O3619" s="176"/>
      <c r="P3619" s="176"/>
      <c r="Q3619" s="176"/>
      <c r="R3619" s="176"/>
      <c r="S3619" s="176"/>
      <c r="T3619" s="176"/>
      <c r="U3619" s="176"/>
      <c r="V3619" s="176"/>
      <c r="W3619" s="176"/>
      <c r="X3619" s="176"/>
      <c r="Y3619" s="176"/>
    </row>
    <row r="3620" spans="1:25">
      <c r="A3620" s="91"/>
      <c r="B3620" s="176"/>
      <c r="C3620" s="176"/>
      <c r="D3620" s="176"/>
      <c r="E3620" s="176"/>
      <c r="F3620" s="176"/>
      <c r="G3620" s="176"/>
      <c r="H3620" s="176"/>
      <c r="I3620" s="176"/>
      <c r="J3620" s="176"/>
      <c r="K3620" s="176"/>
      <c r="L3620" s="176"/>
      <c r="M3620" s="176"/>
      <c r="N3620" s="176"/>
      <c r="O3620" s="176"/>
      <c r="P3620" s="176"/>
      <c r="Q3620" s="176"/>
      <c r="R3620" s="176"/>
      <c r="S3620" s="176"/>
      <c r="T3620" s="176"/>
      <c r="U3620" s="176"/>
      <c r="V3620" s="176"/>
      <c r="W3620" s="176"/>
      <c r="X3620" s="176"/>
      <c r="Y3620" s="176"/>
    </row>
    <row r="3621" spans="1:25">
      <c r="A3621" s="91"/>
      <c r="B3621" s="176"/>
      <c r="C3621" s="176"/>
      <c r="D3621" s="176"/>
      <c r="E3621" s="176"/>
      <c r="F3621" s="176"/>
      <c r="G3621" s="176"/>
      <c r="H3621" s="176"/>
      <c r="I3621" s="176"/>
      <c r="J3621" s="176"/>
      <c r="K3621" s="176"/>
      <c r="L3621" s="176"/>
      <c r="M3621" s="176"/>
      <c r="N3621" s="176"/>
      <c r="O3621" s="176"/>
      <c r="P3621" s="176"/>
      <c r="Q3621" s="176"/>
      <c r="R3621" s="176"/>
      <c r="S3621" s="176"/>
      <c r="T3621" s="176"/>
      <c r="U3621" s="176"/>
      <c r="V3621" s="176"/>
      <c r="W3621" s="176"/>
      <c r="X3621" s="176"/>
      <c r="Y3621" s="176"/>
    </row>
    <row r="3622" spans="1:25">
      <c r="A3622" s="91"/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176"/>
      <c r="P3622" s="176"/>
      <c r="Q3622" s="176"/>
      <c r="R3622" s="176"/>
      <c r="S3622" s="176"/>
      <c r="T3622" s="176"/>
      <c r="U3622" s="176"/>
      <c r="V3622" s="176"/>
      <c r="W3622" s="176"/>
      <c r="X3622" s="176"/>
      <c r="Y3622" s="176"/>
    </row>
    <row r="3623" spans="1:25">
      <c r="A3623" s="91"/>
      <c r="B3623" s="176"/>
      <c r="C3623" s="176"/>
      <c r="D3623" s="176"/>
      <c r="E3623" s="176"/>
      <c r="F3623" s="176"/>
      <c r="G3623" s="176"/>
      <c r="H3623" s="176"/>
      <c r="I3623" s="176"/>
      <c r="J3623" s="176"/>
      <c r="K3623" s="176"/>
      <c r="L3623" s="176"/>
      <c r="M3623" s="176"/>
      <c r="N3623" s="176"/>
      <c r="O3623" s="176"/>
      <c r="P3623" s="176"/>
      <c r="Q3623" s="176"/>
      <c r="R3623" s="176"/>
      <c r="S3623" s="176"/>
      <c r="T3623" s="176"/>
      <c r="U3623" s="176"/>
      <c r="V3623" s="176"/>
      <c r="W3623" s="176"/>
      <c r="X3623" s="176"/>
      <c r="Y3623" s="176"/>
    </row>
    <row r="3624" spans="1:25">
      <c r="A3624" s="91"/>
      <c r="B3624" s="176"/>
      <c r="C3624" s="176"/>
      <c r="D3624" s="176"/>
      <c r="E3624" s="176"/>
      <c r="F3624" s="176"/>
      <c r="G3624" s="176"/>
      <c r="H3624" s="176"/>
      <c r="I3624" s="176"/>
      <c r="J3624" s="176"/>
      <c r="K3624" s="176"/>
      <c r="L3624" s="176"/>
      <c r="M3624" s="176"/>
      <c r="N3624" s="176"/>
      <c r="O3624" s="176"/>
      <c r="P3624" s="176"/>
      <c r="Q3624" s="176"/>
      <c r="R3624" s="176"/>
      <c r="S3624" s="176"/>
      <c r="T3624" s="176"/>
      <c r="U3624" s="176"/>
      <c r="V3624" s="176"/>
      <c r="W3624" s="176"/>
      <c r="X3624" s="176"/>
      <c r="Y3624" s="176"/>
    </row>
    <row r="3625" spans="1:25">
      <c r="A3625" s="91"/>
      <c r="B3625" s="176"/>
      <c r="C3625" s="176"/>
      <c r="D3625" s="176"/>
      <c r="E3625" s="176"/>
      <c r="F3625" s="176"/>
      <c r="G3625" s="176"/>
      <c r="H3625" s="176"/>
      <c r="I3625" s="176"/>
      <c r="J3625" s="176"/>
      <c r="K3625" s="176"/>
      <c r="L3625" s="176"/>
      <c r="M3625" s="176"/>
      <c r="N3625" s="176"/>
      <c r="O3625" s="176"/>
      <c r="P3625" s="176"/>
      <c r="Q3625" s="176"/>
      <c r="R3625" s="176"/>
      <c r="S3625" s="176"/>
      <c r="T3625" s="176"/>
      <c r="U3625" s="176"/>
      <c r="V3625" s="176"/>
      <c r="W3625" s="176"/>
      <c r="X3625" s="176"/>
      <c r="Y3625" s="176"/>
    </row>
    <row r="3626" spans="1:25">
      <c r="A3626" s="91"/>
      <c r="B3626" s="176"/>
      <c r="C3626" s="176"/>
      <c r="D3626" s="176"/>
      <c r="E3626" s="176"/>
      <c r="F3626" s="176"/>
      <c r="G3626" s="176"/>
      <c r="H3626" s="176"/>
      <c r="I3626" s="176"/>
      <c r="J3626" s="176"/>
      <c r="K3626" s="176"/>
      <c r="L3626" s="176"/>
      <c r="M3626" s="176"/>
      <c r="N3626" s="176"/>
      <c r="O3626" s="176"/>
      <c r="P3626" s="176"/>
      <c r="Q3626" s="176"/>
      <c r="R3626" s="176"/>
      <c r="S3626" s="176"/>
      <c r="T3626" s="176"/>
      <c r="U3626" s="176"/>
      <c r="V3626" s="176"/>
      <c r="W3626" s="176"/>
      <c r="X3626" s="176"/>
      <c r="Y3626" s="176"/>
    </row>
    <row r="3627" spans="1:25">
      <c r="A3627" s="91"/>
      <c r="B3627" s="176"/>
      <c r="C3627" s="176"/>
      <c r="D3627" s="176"/>
      <c r="E3627" s="176"/>
      <c r="F3627" s="176"/>
      <c r="G3627" s="176"/>
      <c r="H3627" s="176"/>
      <c r="I3627" s="176"/>
      <c r="J3627" s="176"/>
      <c r="K3627" s="176"/>
      <c r="L3627" s="176"/>
      <c r="M3627" s="176"/>
      <c r="N3627" s="176"/>
      <c r="O3627" s="176"/>
      <c r="P3627" s="176"/>
      <c r="Q3627" s="176"/>
      <c r="R3627" s="176"/>
      <c r="S3627" s="176"/>
      <c r="T3627" s="176"/>
      <c r="U3627" s="176"/>
      <c r="V3627" s="176"/>
      <c r="W3627" s="176"/>
      <c r="X3627" s="176"/>
      <c r="Y3627" s="176"/>
    </row>
    <row r="3628" spans="1:25">
      <c r="A3628" s="91"/>
      <c r="B3628" s="176"/>
      <c r="C3628" s="176"/>
      <c r="D3628" s="176"/>
      <c r="E3628" s="176"/>
      <c r="F3628" s="176"/>
      <c r="G3628" s="176"/>
      <c r="H3628" s="176"/>
      <c r="I3628" s="176"/>
      <c r="J3628" s="176"/>
      <c r="K3628" s="176"/>
      <c r="L3628" s="176"/>
      <c r="M3628" s="176"/>
      <c r="N3628" s="176"/>
      <c r="O3628" s="176"/>
      <c r="P3628" s="176"/>
      <c r="Q3628" s="176"/>
      <c r="R3628" s="176"/>
      <c r="S3628" s="176"/>
      <c r="T3628" s="176"/>
      <c r="U3628" s="176"/>
      <c r="V3628" s="176"/>
      <c r="W3628" s="176"/>
      <c r="X3628" s="176"/>
      <c r="Y3628" s="176"/>
    </row>
    <row r="3629" spans="1:25">
      <c r="A3629" s="91"/>
      <c r="B3629" s="176"/>
      <c r="C3629" s="176"/>
      <c r="D3629" s="176"/>
      <c r="E3629" s="176"/>
      <c r="F3629" s="176"/>
      <c r="G3629" s="176"/>
      <c r="H3629" s="176"/>
      <c r="I3629" s="176"/>
      <c r="J3629" s="176"/>
      <c r="K3629" s="176"/>
      <c r="L3629" s="176"/>
      <c r="M3629" s="176"/>
      <c r="N3629" s="176"/>
      <c r="O3629" s="176"/>
      <c r="P3629" s="176"/>
      <c r="Q3629" s="176"/>
      <c r="R3629" s="176"/>
      <c r="S3629" s="176"/>
      <c r="T3629" s="176"/>
      <c r="U3629" s="176"/>
      <c r="V3629" s="176"/>
      <c r="W3629" s="176"/>
      <c r="X3629" s="176"/>
      <c r="Y3629" s="176"/>
    </row>
    <row r="3630" spans="1:25">
      <c r="A3630" s="91"/>
      <c r="B3630" s="176"/>
      <c r="C3630" s="176"/>
      <c r="D3630" s="176"/>
      <c r="E3630" s="176"/>
      <c r="F3630" s="176"/>
      <c r="G3630" s="176"/>
      <c r="H3630" s="176"/>
      <c r="I3630" s="176"/>
      <c r="J3630" s="176"/>
      <c r="K3630" s="176"/>
      <c r="L3630" s="176"/>
      <c r="M3630" s="176"/>
      <c r="N3630" s="176"/>
      <c r="O3630" s="176"/>
      <c r="P3630" s="176"/>
      <c r="Q3630" s="176"/>
      <c r="R3630" s="176"/>
      <c r="S3630" s="176"/>
      <c r="T3630" s="176"/>
      <c r="U3630" s="176"/>
      <c r="V3630" s="176"/>
      <c r="W3630" s="176"/>
      <c r="X3630" s="176"/>
      <c r="Y3630" s="176"/>
    </row>
    <row r="3631" spans="1:25">
      <c r="A3631" s="91"/>
      <c r="B3631" s="176"/>
      <c r="C3631" s="176"/>
      <c r="D3631" s="176"/>
      <c r="E3631" s="176"/>
      <c r="F3631" s="176"/>
      <c r="G3631" s="176"/>
      <c r="H3631" s="176"/>
      <c r="I3631" s="176"/>
      <c r="J3631" s="176"/>
      <c r="K3631" s="176"/>
      <c r="L3631" s="176"/>
      <c r="M3631" s="176"/>
      <c r="N3631" s="176"/>
      <c r="O3631" s="176"/>
      <c r="P3631" s="176"/>
      <c r="Q3631" s="176"/>
      <c r="R3631" s="176"/>
      <c r="S3631" s="176"/>
      <c r="T3631" s="176"/>
      <c r="U3631" s="176"/>
      <c r="V3631" s="176"/>
      <c r="W3631" s="176"/>
      <c r="X3631" s="176"/>
      <c r="Y3631" s="176"/>
    </row>
    <row r="3632" spans="1:25">
      <c r="A3632" s="91"/>
      <c r="B3632" s="176"/>
      <c r="C3632" s="176"/>
      <c r="D3632" s="176"/>
      <c r="E3632" s="176"/>
      <c r="F3632" s="176"/>
      <c r="G3632" s="176"/>
      <c r="H3632" s="176"/>
      <c r="I3632" s="176"/>
      <c r="J3632" s="176"/>
      <c r="K3632" s="176"/>
      <c r="L3632" s="176"/>
      <c r="M3632" s="176"/>
      <c r="N3632" s="176"/>
      <c r="O3632" s="176"/>
      <c r="P3632" s="176"/>
      <c r="Q3632" s="176"/>
      <c r="R3632" s="176"/>
      <c r="S3632" s="176"/>
      <c r="T3632" s="176"/>
      <c r="U3632" s="176"/>
      <c r="V3632" s="176"/>
      <c r="W3632" s="176"/>
      <c r="X3632" s="176"/>
      <c r="Y3632" s="176"/>
    </row>
    <row r="3633" spans="1:25">
      <c r="A3633" s="91"/>
      <c r="B3633" s="176"/>
      <c r="C3633" s="176"/>
      <c r="D3633" s="176"/>
      <c r="E3633" s="176"/>
      <c r="F3633" s="176"/>
      <c r="G3633" s="176"/>
      <c r="H3633" s="176"/>
      <c r="I3633" s="176"/>
      <c r="J3633" s="176"/>
      <c r="K3633" s="176"/>
      <c r="L3633" s="176"/>
      <c r="M3633" s="176"/>
      <c r="N3633" s="176"/>
      <c r="O3633" s="176"/>
      <c r="P3633" s="176"/>
      <c r="Q3633" s="176"/>
      <c r="R3633" s="176"/>
      <c r="S3633" s="176"/>
      <c r="T3633" s="176"/>
      <c r="U3633" s="176"/>
      <c r="V3633" s="176"/>
      <c r="W3633" s="176"/>
      <c r="X3633" s="176"/>
      <c r="Y3633" s="176"/>
    </row>
    <row r="3634" spans="1:25">
      <c r="A3634" s="91"/>
      <c r="B3634" s="176"/>
      <c r="C3634" s="176"/>
      <c r="D3634" s="176"/>
      <c r="E3634" s="176"/>
      <c r="F3634" s="176"/>
      <c r="G3634" s="176"/>
      <c r="H3634" s="176"/>
      <c r="I3634" s="176"/>
      <c r="J3634" s="176"/>
      <c r="K3634" s="176"/>
      <c r="L3634" s="176"/>
      <c r="M3634" s="176"/>
      <c r="N3634" s="176"/>
      <c r="O3634" s="176"/>
      <c r="P3634" s="176"/>
      <c r="Q3634" s="176"/>
      <c r="R3634" s="176"/>
      <c r="S3634" s="176"/>
      <c r="T3634" s="176"/>
      <c r="U3634" s="176"/>
      <c r="V3634" s="176"/>
      <c r="W3634" s="176"/>
      <c r="X3634" s="176"/>
      <c r="Y3634" s="176"/>
    </row>
    <row r="3635" spans="1:25">
      <c r="A3635" s="91"/>
      <c r="B3635" s="176"/>
      <c r="C3635" s="176"/>
      <c r="D3635" s="176"/>
      <c r="E3635" s="176"/>
      <c r="F3635" s="176"/>
      <c r="G3635" s="176"/>
      <c r="H3635" s="176"/>
      <c r="I3635" s="176"/>
      <c r="J3635" s="176"/>
      <c r="K3635" s="176"/>
      <c r="L3635" s="176"/>
      <c r="M3635" s="176"/>
      <c r="N3635" s="176"/>
      <c r="O3635" s="176"/>
      <c r="P3635" s="176"/>
      <c r="Q3635" s="176"/>
      <c r="R3635" s="176"/>
      <c r="S3635" s="176"/>
      <c r="T3635" s="176"/>
      <c r="U3635" s="176"/>
      <c r="V3635" s="176"/>
      <c r="W3635" s="176"/>
      <c r="X3635" s="176"/>
      <c r="Y3635" s="176"/>
    </row>
    <row r="3636" spans="1:25">
      <c r="A3636" s="91"/>
      <c r="B3636" s="176"/>
      <c r="C3636" s="176"/>
      <c r="D3636" s="176"/>
      <c r="E3636" s="176"/>
      <c r="F3636" s="176"/>
      <c r="G3636" s="176"/>
      <c r="H3636" s="176"/>
      <c r="I3636" s="176"/>
      <c r="J3636" s="176"/>
      <c r="K3636" s="176"/>
      <c r="L3636" s="176"/>
      <c r="M3636" s="176"/>
      <c r="N3636" s="176"/>
      <c r="O3636" s="176"/>
      <c r="P3636" s="176"/>
      <c r="Q3636" s="176"/>
      <c r="R3636" s="176"/>
      <c r="S3636" s="176"/>
      <c r="T3636" s="176"/>
      <c r="U3636" s="176"/>
      <c r="V3636" s="176"/>
      <c r="W3636" s="176"/>
      <c r="X3636" s="176"/>
      <c r="Y3636" s="176"/>
    </row>
    <row r="3637" spans="1:25">
      <c r="A3637" s="91"/>
      <c r="B3637" s="176"/>
      <c r="C3637" s="176"/>
      <c r="D3637" s="176"/>
      <c r="E3637" s="176"/>
      <c r="F3637" s="176"/>
      <c r="G3637" s="176"/>
      <c r="H3637" s="176"/>
      <c r="I3637" s="176"/>
      <c r="J3637" s="176"/>
      <c r="K3637" s="176"/>
      <c r="L3637" s="176"/>
      <c r="M3637" s="176"/>
      <c r="N3637" s="176"/>
      <c r="O3637" s="176"/>
      <c r="P3637" s="176"/>
      <c r="Q3637" s="176"/>
      <c r="R3637" s="176"/>
      <c r="S3637" s="176"/>
      <c r="T3637" s="176"/>
      <c r="U3637" s="176"/>
      <c r="V3637" s="176"/>
      <c r="W3637" s="176"/>
      <c r="X3637" s="176"/>
      <c r="Y3637" s="176"/>
    </row>
    <row r="3638" spans="1:25">
      <c r="A3638" s="91"/>
      <c r="B3638" s="176"/>
      <c r="C3638" s="176"/>
      <c r="D3638" s="176"/>
      <c r="E3638" s="176"/>
      <c r="F3638" s="176"/>
      <c r="G3638" s="176"/>
      <c r="H3638" s="176"/>
      <c r="I3638" s="176"/>
      <c r="J3638" s="176"/>
      <c r="K3638" s="176"/>
      <c r="L3638" s="176"/>
      <c r="M3638" s="176"/>
      <c r="N3638" s="176"/>
      <c r="O3638" s="176"/>
      <c r="P3638" s="176"/>
      <c r="Q3638" s="176"/>
      <c r="R3638" s="176"/>
      <c r="S3638" s="176"/>
      <c r="T3638" s="176"/>
      <c r="U3638" s="176"/>
      <c r="V3638" s="176"/>
      <c r="W3638" s="176"/>
      <c r="X3638" s="176"/>
      <c r="Y3638" s="176"/>
    </row>
    <row r="3639" spans="1:25">
      <c r="A3639" s="91"/>
      <c r="B3639" s="176"/>
      <c r="C3639" s="176"/>
      <c r="D3639" s="176"/>
      <c r="E3639" s="176"/>
      <c r="F3639" s="176"/>
      <c r="G3639" s="176"/>
      <c r="H3639" s="176"/>
      <c r="I3639" s="176"/>
      <c r="J3639" s="176"/>
      <c r="K3639" s="176"/>
      <c r="L3639" s="176"/>
      <c r="M3639" s="176"/>
      <c r="N3639" s="176"/>
      <c r="O3639" s="176"/>
      <c r="P3639" s="176"/>
      <c r="Q3639" s="176"/>
      <c r="R3639" s="176"/>
      <c r="S3639" s="176"/>
      <c r="T3639" s="176"/>
      <c r="U3639" s="176"/>
      <c r="V3639" s="176"/>
      <c r="W3639" s="176"/>
      <c r="X3639" s="176"/>
      <c r="Y3639" s="176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topLeftCell="X1" zoomScaleNormal="100" workbookViewId="0">
      <selection activeCell="I15" sqref="I15"/>
    </sheetView>
  </sheetViews>
  <sheetFormatPr defaultColWidth="9.54296875" defaultRowHeight="12.5"/>
  <cols>
    <col min="1" max="1" width="17.54296875" customWidth="1"/>
    <col min="2" max="24" width="12.1796875" customWidth="1"/>
    <col min="25" max="37" width="13" customWidth="1"/>
    <col min="38" max="39" width="9.81640625" customWidth="1"/>
    <col min="40" max="40" width="13.1796875" customWidth="1"/>
  </cols>
  <sheetData>
    <row r="1" spans="1:40" ht="18.75" customHeight="1">
      <c r="A1" s="248" t="s">
        <v>0</v>
      </c>
      <c r="B1" s="248"/>
      <c r="C1" s="248"/>
    </row>
    <row r="2" spans="1:40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383</v>
      </c>
      <c r="Z2" s="3" t="s">
        <v>384</v>
      </c>
      <c r="AA2" s="3" t="s">
        <v>385</v>
      </c>
      <c r="AB2" s="3" t="s">
        <v>386</v>
      </c>
      <c r="AC2" s="3" t="s">
        <v>387</v>
      </c>
      <c r="AD2" s="3" t="s">
        <v>388</v>
      </c>
      <c r="AE2" s="3" t="s">
        <v>389</v>
      </c>
      <c r="AF2" s="3" t="s">
        <v>390</v>
      </c>
      <c r="AG2" s="3" t="s">
        <v>391</v>
      </c>
      <c r="AH2" s="3" t="s">
        <v>392</v>
      </c>
      <c r="AI2" s="3" t="s">
        <v>394</v>
      </c>
      <c r="AJ2" s="3" t="s">
        <v>395</v>
      </c>
      <c r="AK2" s="3" t="s">
        <v>393</v>
      </c>
      <c r="AL2" s="1" t="s">
        <v>25</v>
      </c>
      <c r="AM2" s="1" t="s">
        <v>26</v>
      </c>
      <c r="AN2" s="1" t="s">
        <v>27</v>
      </c>
    </row>
    <row r="3" spans="1:40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 t="s">
        <v>372</v>
      </c>
      <c r="Z3" s="4" t="s">
        <v>373</v>
      </c>
      <c r="AA3" s="4" t="s">
        <v>374</v>
      </c>
      <c r="AB3" s="4" t="s">
        <v>375</v>
      </c>
      <c r="AC3" s="4" t="s">
        <v>376</v>
      </c>
      <c r="AD3" s="4" t="s">
        <v>377</v>
      </c>
      <c r="AE3" s="4" t="s">
        <v>378</v>
      </c>
      <c r="AF3" s="4" t="s">
        <v>379</v>
      </c>
      <c r="AG3" s="4" t="s">
        <v>380</v>
      </c>
      <c r="AH3" s="4" t="s">
        <v>381</v>
      </c>
      <c r="AI3" s="4" t="s">
        <v>349</v>
      </c>
      <c r="AJ3" s="4" t="s">
        <v>348</v>
      </c>
      <c r="AK3" s="4" t="s">
        <v>382</v>
      </c>
      <c r="AL3" s="4"/>
      <c r="AM3" s="4"/>
      <c r="AN3" s="4"/>
    </row>
    <row r="4" spans="1:40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f t="shared" ref="AL4:AL8" si="0">SUM(B4:X4)</f>
        <v>0.99999999999999989</v>
      </c>
      <c r="AM4" s="8">
        <v>1.4999999999999999E-2</v>
      </c>
      <c r="AN4" s="9">
        <v>46195</v>
      </c>
    </row>
    <row r="5" spans="1:40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f t="shared" si="0"/>
        <v>0.99999999999999989</v>
      </c>
      <c r="AM5" s="8">
        <v>1.2E-2</v>
      </c>
      <c r="AN5" s="9">
        <v>46191</v>
      </c>
    </row>
    <row r="6" spans="1:40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f t="shared" si="0"/>
        <v>0.99999999999999989</v>
      </c>
      <c r="AM6" s="8">
        <v>1.4999999999999999E-2</v>
      </c>
      <c r="AN6" s="9">
        <v>46196</v>
      </c>
    </row>
    <row r="7" spans="1:40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f t="shared" si="0"/>
        <v>1</v>
      </c>
      <c r="AM7" s="8">
        <v>8.0000000000000002E-3</v>
      </c>
      <c r="AN7" s="9">
        <v>46197</v>
      </c>
    </row>
    <row r="8" spans="1:40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f t="shared" si="0"/>
        <v>1</v>
      </c>
      <c r="AM8" s="8">
        <v>5.0000000000000001E-3</v>
      </c>
      <c r="AN8" s="9">
        <v>46191</v>
      </c>
    </row>
    <row r="9" spans="1:40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f>SUM(B9:X9)</f>
        <v>0.99999999999999989</v>
      </c>
      <c r="AM9" s="8">
        <v>1.2E-2</v>
      </c>
      <c r="AN9" s="9">
        <v>46197</v>
      </c>
    </row>
    <row r="10" spans="1:40" s="224" customFormat="1" ht="13">
      <c r="A10" s="10" t="s">
        <v>396</v>
      </c>
      <c r="B10" s="6">
        <v>0</v>
      </c>
      <c r="C10" s="6">
        <v>0.05</v>
      </c>
      <c r="D10" s="6">
        <v>0</v>
      </c>
      <c r="E10" s="6">
        <v>0</v>
      </c>
      <c r="F10" s="6">
        <v>2.5000000000000001E-2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1.2500000000000001E-2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1.2500000000000001E-2</v>
      </c>
      <c r="X10" s="6">
        <v>0.3</v>
      </c>
      <c r="Y10" s="6">
        <v>1.2500000000000001E-2</v>
      </c>
      <c r="Z10" s="6">
        <v>1.2500000000000001E-2</v>
      </c>
      <c r="AA10" s="6">
        <v>1.2500000000000001E-2</v>
      </c>
      <c r="AB10" s="6">
        <v>1.2500000000000001E-2</v>
      </c>
      <c r="AC10" s="6">
        <v>5.0000000000000001E-3</v>
      </c>
      <c r="AD10" s="6">
        <v>5.0000000000000001E-3</v>
      </c>
      <c r="AE10" s="6">
        <v>5.0000000000000001E-3</v>
      </c>
      <c r="AF10" s="6">
        <v>5.0000000000000001E-3</v>
      </c>
      <c r="AG10" s="6">
        <v>0.06</v>
      </c>
      <c r="AH10" s="6">
        <v>0.02</v>
      </c>
      <c r="AI10" s="6">
        <v>0.2</v>
      </c>
      <c r="AJ10" s="6">
        <v>0.2</v>
      </c>
      <c r="AK10" s="6">
        <v>0.05</v>
      </c>
      <c r="AL10" s="7">
        <f>SUM(B10:AK10)</f>
        <v>1</v>
      </c>
      <c r="AM10" s="8">
        <v>8.0000000000000002E-3</v>
      </c>
      <c r="AN10" s="9">
        <v>46282</v>
      </c>
    </row>
    <row r="12" spans="1:40" ht="14.25" customHeight="1">
      <c r="A12" s="2"/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zoomScaleNormal="100" workbookViewId="0">
      <selection activeCell="H34" sqref="H34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7" width="9.26953125" customWidth="1"/>
    <col min="28" max="38" width="13" customWidth="1"/>
    <col min="40" max="40" width="21.81640625" customWidth="1"/>
    <col min="41" max="41" width="14.26953125" customWidth="1"/>
  </cols>
  <sheetData>
    <row r="1" spans="1:41">
      <c r="A1" t="s">
        <v>74</v>
      </c>
    </row>
    <row r="2" spans="1:41" ht="14.5">
      <c r="A2" t="s">
        <v>1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t="s">
        <v>9</v>
      </c>
      <c r="J2" s="17" t="s">
        <v>82</v>
      </c>
      <c r="K2" s="17" t="s">
        <v>83</v>
      </c>
      <c r="L2" s="17" t="s">
        <v>84</v>
      </c>
      <c r="M2" s="17" t="s">
        <v>85</v>
      </c>
      <c r="N2" s="17" t="s">
        <v>86</v>
      </c>
      <c r="O2" s="17" t="s">
        <v>87</v>
      </c>
      <c r="P2" s="17" t="s">
        <v>88</v>
      </c>
      <c r="Q2" s="17" t="s">
        <v>89</v>
      </c>
      <c r="R2" s="17" t="s">
        <v>90</v>
      </c>
      <c r="S2" s="17" t="s">
        <v>91</v>
      </c>
      <c r="T2" s="17" t="s">
        <v>92</v>
      </c>
      <c r="U2" s="17" t="s">
        <v>93</v>
      </c>
      <c r="V2" s="17" t="s">
        <v>94</v>
      </c>
      <c r="W2" s="17" t="s">
        <v>95</v>
      </c>
      <c r="X2" s="17" t="s">
        <v>96</v>
      </c>
      <c r="Y2" t="s">
        <v>61</v>
      </c>
      <c r="Z2" s="17" t="s">
        <v>350</v>
      </c>
      <c r="AA2" t="s">
        <v>351</v>
      </c>
      <c r="AB2" t="s">
        <v>383</v>
      </c>
      <c r="AC2" t="s">
        <v>384</v>
      </c>
      <c r="AD2" t="s">
        <v>385</v>
      </c>
      <c r="AE2" t="s">
        <v>386</v>
      </c>
      <c r="AF2" t="s">
        <v>387</v>
      </c>
      <c r="AG2" t="s">
        <v>388</v>
      </c>
      <c r="AH2" t="s">
        <v>389</v>
      </c>
      <c r="AI2" t="s">
        <v>390</v>
      </c>
      <c r="AJ2" t="s">
        <v>391</v>
      </c>
      <c r="AK2" t="s">
        <v>392</v>
      </c>
      <c r="AL2" t="s">
        <v>393</v>
      </c>
      <c r="AM2" t="s">
        <v>25</v>
      </c>
      <c r="AN2" t="s">
        <v>97</v>
      </c>
      <c r="AO2" s="17" t="s">
        <v>98</v>
      </c>
    </row>
    <row r="3" spans="1:41" ht="14">
      <c r="A3" t="s">
        <v>28</v>
      </c>
      <c r="B3" s="18" t="s">
        <v>99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  <c r="H3" s="18" t="s">
        <v>105</v>
      </c>
      <c r="I3" s="18" t="s">
        <v>106</v>
      </c>
      <c r="J3" s="18" t="s">
        <v>107</v>
      </c>
      <c r="K3" s="18" t="s">
        <v>108</v>
      </c>
      <c r="L3" s="18" t="s">
        <v>109</v>
      </c>
      <c r="M3" s="18" t="s">
        <v>110</v>
      </c>
      <c r="N3" s="18" t="s">
        <v>111</v>
      </c>
      <c r="O3" s="18" t="s">
        <v>112</v>
      </c>
      <c r="P3" s="18" t="s">
        <v>113</v>
      </c>
      <c r="Q3" s="18" t="s">
        <v>114</v>
      </c>
      <c r="R3" s="18" t="s">
        <v>115</v>
      </c>
      <c r="S3" s="18" t="s">
        <v>116</v>
      </c>
      <c r="T3" s="18" t="s">
        <v>117</v>
      </c>
      <c r="U3" s="18" t="s">
        <v>118</v>
      </c>
      <c r="V3" s="18" t="s">
        <v>119</v>
      </c>
      <c r="W3" s="18" t="s">
        <v>120</v>
      </c>
      <c r="X3" s="18" t="s">
        <v>121</v>
      </c>
      <c r="Y3" s="18" t="s">
        <v>122</v>
      </c>
      <c r="Z3" s="18" t="s">
        <v>352</v>
      </c>
      <c r="AA3" s="18" t="s">
        <v>353</v>
      </c>
      <c r="AB3" s="18" t="s">
        <v>397</v>
      </c>
      <c r="AC3" s="18" t="s">
        <v>398</v>
      </c>
      <c r="AD3" s="18" t="s">
        <v>399</v>
      </c>
      <c r="AE3" s="18" t="s">
        <v>400</v>
      </c>
      <c r="AF3" s="18" t="s">
        <v>401</v>
      </c>
      <c r="AG3" s="18" t="s">
        <v>402</v>
      </c>
      <c r="AH3" s="18" t="s">
        <v>403</v>
      </c>
      <c r="AI3" s="18" t="s">
        <v>404</v>
      </c>
      <c r="AJ3" s="18" t="s">
        <v>405</v>
      </c>
      <c r="AK3" s="18" t="s">
        <v>406</v>
      </c>
      <c r="AL3" s="18" t="s">
        <v>407</v>
      </c>
    </row>
    <row r="5" spans="1:41" ht="14.5">
      <c r="A5" s="17" t="s">
        <v>123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92">
        <f>SUM(B5:AL5)</f>
        <v>0.99999999999999989</v>
      </c>
      <c r="AN5" s="20">
        <v>46195</v>
      </c>
    </row>
    <row r="6" spans="1:41" ht="14.5">
      <c r="A6" s="17" t="s">
        <v>124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92">
        <f t="shared" ref="AM6:AM26" si="0">SUM(B6:AL6)</f>
        <v>0.99999999999999989</v>
      </c>
      <c r="AN6" s="20">
        <v>46191</v>
      </c>
    </row>
    <row r="7" spans="1:41" ht="14.5">
      <c r="A7" s="17" t="s">
        <v>125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92">
        <f t="shared" si="0"/>
        <v>0.99999999999999989</v>
      </c>
      <c r="AN7" s="20">
        <v>46196</v>
      </c>
    </row>
    <row r="8" spans="1:41" ht="14.5">
      <c r="A8" s="21" t="s">
        <v>126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92">
        <f t="shared" si="0"/>
        <v>1</v>
      </c>
      <c r="AN8" s="20">
        <v>46197</v>
      </c>
    </row>
    <row r="9" spans="1:41" ht="14.5">
      <c r="A9" s="21" t="s">
        <v>127</v>
      </c>
      <c r="B9">
        <f>B$8*'实盘净值数据(iFinD公式)'!B$13/'实盘净值数据(iFinD公式)'!B$8/$AO$9</f>
        <v>4.8527264875483138E-2</v>
      </c>
      <c r="C9">
        <f>C$8*'实盘净值数据(iFinD公式)'!C$13/'实盘净值数据(iFinD公式)'!C$8/$AO$9-0.01</f>
        <v>9.9844948172916944E-3</v>
      </c>
      <c r="D9">
        <f>D$8*'实盘净值数据(iFinD公式)'!D$13/'实盘净值数据(iFinD公式)'!D$8/$AO$9</f>
        <v>0</v>
      </c>
      <c r="E9">
        <f>E$8*'实盘净值数据(iFinD公式)'!E$13/'实盘净值数据(iFinD公式)'!E$8/$AO$9</f>
        <v>0</v>
      </c>
      <c r="F9">
        <f>F$8*'实盘净值数据(iFinD公式)'!F$13/'实盘净值数据(iFinD公式)'!F$8/$AO$9</f>
        <v>1.2500177120171801E-2</v>
      </c>
      <c r="G9">
        <f>G$8*'实盘净值数据(iFinD公式)'!G$13/'实盘净值数据(iFinD公式)'!G$8/$AO$9</f>
        <v>0</v>
      </c>
      <c r="H9">
        <f>H$8*'实盘净值数据(iFinD公式)'!H$13/'实盘净值数据(iFinD公式)'!H$8/$AO$9</f>
        <v>4.7249124324419672E-3</v>
      </c>
      <c r="I9">
        <f>I$8*'实盘净值数据(iFinD公式)'!I$13/'实盘净值数据(iFinD公式)'!I$8/$AO$9</f>
        <v>1.0428306799094495E-2</v>
      </c>
      <c r="J9">
        <f>J$8*'实盘净值数据(iFinD公式)'!J$13/'实盘净值数据(iFinD公式)'!J$8/$AO$9</f>
        <v>0</v>
      </c>
      <c r="K9">
        <f>K$8*'实盘净值数据(iFinD公式)'!K$13/'实盘净值数据(iFinD公式)'!K$8/$AO$9</f>
        <v>1.183198817847789E-2</v>
      </c>
      <c r="L9">
        <f>L$8*'实盘净值数据(iFinD公式)'!L$13/'实盘净值数据(iFinD公式)'!L$8/$AO$9</f>
        <v>0</v>
      </c>
      <c r="M9">
        <f>M$8*'实盘净值数据(iFinD公式)'!M$13/'实盘净值数据(iFinD公式)'!M$8/$AO$9</f>
        <v>1.2642409123284759E-2</v>
      </c>
      <c r="N9">
        <f>N$8*'实盘净值数据(iFinD公式)'!N$13/'实盘净值数据(iFinD公式)'!N$8/$AO$9</f>
        <v>0</v>
      </c>
      <c r="O9">
        <f>O$8*'实盘净值数据(iFinD公式)'!O$13/'实盘净值数据(iFinD公式)'!O$8/$AO$9</f>
        <v>1.25858627884919E-2</v>
      </c>
      <c r="P9">
        <f>P$8*'实盘净值数据(iFinD公式)'!P$13/'实盘净值数据(iFinD公式)'!P$8/$AO$9</f>
        <v>0</v>
      </c>
      <c r="Q9">
        <f>Q$8*'实盘净值数据(iFinD公式)'!Q$13/'实盘净值数据(iFinD公式)'!Q$8/$AO$9</f>
        <v>0</v>
      </c>
      <c r="R9">
        <f>R$8*'实盘净值数据(iFinD公式)'!R$13/'实盘净值数据(iFinD公式)'!R$8/$AO$9</f>
        <v>9.6519854495816983E-3</v>
      </c>
      <c r="S9">
        <f>S$8*'实盘净值数据(iFinD公式)'!S$13/'实盘净值数据(iFinD公式)'!S$8/$AO$9</f>
        <v>9.4400640366569671E-3</v>
      </c>
      <c r="T9">
        <f>T$8*'实盘净值数据(iFinD公式)'!T$13/'实盘净值数据(iFinD公式)'!T$8/$AO$9</f>
        <v>0</v>
      </c>
      <c r="U9">
        <f>U$8*'实盘净值数据(iFinD公式)'!U$13/'实盘净值数据(iFinD公式)'!U$8/$AO$9</f>
        <v>5.9205130087896553E-3</v>
      </c>
      <c r="V9">
        <f>V$8*'实盘净值数据(iFinD公式)'!V$13/'实盘净值数据(iFinD公式)'!V$8/$AO$9</f>
        <v>0</v>
      </c>
      <c r="W9">
        <f>W$8*'实盘净值数据(iFinD公式)'!W$13/'实盘净值数据(iFinD公式)'!W$8/$AO$9</f>
        <v>1.2467168013487956E-2</v>
      </c>
      <c r="X9">
        <f>X$8*'实盘净值数据(iFinD公式)'!X$13/'实盘净值数据(iFinD公式)'!X$8/$AO$9</f>
        <v>0.82929485335674602</v>
      </c>
      <c r="Y9">
        <f>Y$8*'实盘净值数据(iFinD公式)'!Y$13/'实盘净值数据(iFinD公式)'!Y$8/$AO$9+0.01</f>
        <v>0.01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92">
        <f t="shared" si="0"/>
        <v>1</v>
      </c>
      <c r="AN9" s="20">
        <v>46204</v>
      </c>
      <c r="AO9">
        <f>SUMPRODUCT($B$8:$Y$8,'实盘净值数据(iFinD公式)'!$B$13:$Y$13/'实盘净值数据(iFinD公式)'!$B$8:$Y$8)</f>
        <v>1.0010183937865633</v>
      </c>
    </row>
    <row r="10" spans="1:41" ht="14.5">
      <c r="A10" s="21" t="s">
        <v>128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92">
        <f t="shared" si="0"/>
        <v>1</v>
      </c>
      <c r="AN10" s="20">
        <v>46191</v>
      </c>
    </row>
    <row r="11" spans="1:41" ht="14.5">
      <c r="A11" s="21" t="s">
        <v>129</v>
      </c>
      <c r="B11">
        <f>B$10*'实盘净值数据(iFinD公式)'!B$13/'实盘净值数据(iFinD公式)'!B$5/$AO$11</f>
        <v>4.6387437041825713E-2</v>
      </c>
      <c r="C11">
        <f>C$10*'实盘净值数据(iFinD公式)'!C$13/'实盘净值数据(iFinD公式)'!C$5/$AO$11-0.01</f>
        <v>1.0005822166711356E-2</v>
      </c>
      <c r="D11">
        <f>D$10*'实盘净值数据(iFinD公式)'!D$13/'实盘净值数据(iFinD公式)'!D$5/$AO$11</f>
        <v>9.5283058825022231E-3</v>
      </c>
      <c r="E11">
        <f>E$10*'实盘净值数据(iFinD公式)'!E$13/'实盘净值数据(iFinD公式)'!E$5/$AO$11</f>
        <v>1.2528731661459628E-2</v>
      </c>
      <c r="F11">
        <f>F$10*'实盘净值数据(iFinD公式)'!F$13/'实盘净值数据(iFinD公式)'!F$5/$AO$11</f>
        <v>0</v>
      </c>
      <c r="G11">
        <f>G$10*'实盘净值数据(iFinD公式)'!G$13/'实盘净值数据(iFinD公式)'!G$5/$AO$11</f>
        <v>4.7431358020570934E-3</v>
      </c>
      <c r="H11">
        <f>H$10*'实盘净值数据(iFinD公式)'!H$13/'实盘净值数据(iFinD公式)'!H$5/$AO$11</f>
        <v>0</v>
      </c>
      <c r="I11">
        <f>I$10*'实盘净值数据(iFinD公式)'!I$13/'实盘净值数据(iFinD公式)'!I$5/$AO$11</f>
        <v>0</v>
      </c>
      <c r="J11">
        <f>J$10*'实盘净值数据(iFinD公式)'!J$13/'实盘净值数据(iFinD公式)'!J$5/$AO$11</f>
        <v>1.3103828369788012E-2</v>
      </c>
      <c r="K11">
        <f>K$10*'实盘净值数据(iFinD公式)'!K$13/'实盘净值数据(iFinD公式)'!K$5/$AO$11</f>
        <v>0</v>
      </c>
      <c r="L11">
        <f>L$10*'实盘净值数据(iFinD公式)'!L$13/'实盘净值数据(iFinD公式)'!L$5/$AO$11</f>
        <v>1.2802075701103068E-2</v>
      </c>
      <c r="M11">
        <f>M$10*'实盘净值数据(iFinD公式)'!M$13/'实盘净值数据(iFinD公式)'!M$5/$AO$11</f>
        <v>0</v>
      </c>
      <c r="N11">
        <f>N$10*'实盘净值数据(iFinD公式)'!N$13/'实盘净值数据(iFinD公式)'!N$5/$AO$11</f>
        <v>1.2865799586254448E-2</v>
      </c>
      <c r="O11">
        <f>O$10*'实盘净值数据(iFinD公式)'!O$13/'实盘净值数据(iFinD公式)'!O$5/$AO$11</f>
        <v>0</v>
      </c>
      <c r="P11">
        <f>P$10*'实盘净值数据(iFinD公式)'!P$13/'实盘净值数据(iFinD公式)'!P$5/$AO$11</f>
        <v>9.5849996918782945E-3</v>
      </c>
      <c r="Q11">
        <f>Q$10*'实盘净值数据(iFinD公式)'!Q$13/'实盘净值数据(iFinD公式)'!Q$5/$AO$11</f>
        <v>9.9356876028041264E-3</v>
      </c>
      <c r="R11">
        <f>R$10*'实盘净值数据(iFinD公式)'!R$13/'实盘净值数据(iFinD公式)'!R$5/$AO$11</f>
        <v>0</v>
      </c>
      <c r="S11">
        <f>S$10*'实盘净值数据(iFinD公式)'!S$13/'实盘净值数据(iFinD公式)'!S$5/$AO$11</f>
        <v>0</v>
      </c>
      <c r="T11">
        <f>T$10*'实盘净值数据(iFinD公式)'!T$13/'实盘净值数据(iFinD公式)'!T$5/$AO$11</f>
        <v>6.3991179623778833E-3</v>
      </c>
      <c r="U11">
        <f>U$10*'实盘净值数据(iFinD公式)'!U$13/'实盘净值数据(iFinD公式)'!U$5/$AO$11</f>
        <v>0</v>
      </c>
      <c r="V11">
        <f>V$10*'实盘净值数据(iFinD公式)'!V$13/'实盘净值数据(iFinD公式)'!V$5/$AO$11</f>
        <v>1.2436017636350162E-2</v>
      </c>
      <c r="W11">
        <f>W$10*'实盘净值数据(iFinD公式)'!W$13/'实盘净值数据(iFinD公式)'!W$5/$AO$11</f>
        <v>0</v>
      </c>
      <c r="X11">
        <f>X$10*'实盘净值数据(iFinD公式)'!X$13/'实盘净值数据(iFinD公式)'!X$5/$AO$11</f>
        <v>0.82967904089488786</v>
      </c>
      <c r="Y11">
        <f>Y$10*'实盘净值数据(iFinD公式)'!Y$13/'实盘净值数据(iFinD公式)'!Y$5/$AO$11+0.01</f>
        <v>0.01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92">
        <f t="shared" si="0"/>
        <v>0.99999999999999989</v>
      </c>
      <c r="AN11" s="20">
        <v>46204</v>
      </c>
      <c r="AO11">
        <f>SUMPRODUCT($B$10:$Y$10,'实盘净值数据(iFinD公式)'!$B$13:$Y$13/'实盘净值数据(iFinD公式)'!$B$5:$Y$5)</f>
        <v>1.0001629093509814</v>
      </c>
    </row>
    <row r="12" spans="1:41" ht="14.5">
      <c r="A12" s="21" t="s">
        <v>130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92">
        <f t="shared" si="0"/>
        <v>0.99999999999999989</v>
      </c>
      <c r="AN12" s="20">
        <v>46197</v>
      </c>
    </row>
    <row r="13" spans="1:41" ht="14.5">
      <c r="A13" s="21" t="s">
        <v>131</v>
      </c>
      <c r="B13">
        <f>B$12*'实盘净值数据(iFinD公式)'!B$13/'实盘净值数据(iFinD公式)'!B$8/$AO$13</f>
        <v>9.6752041040539472E-2</v>
      </c>
      <c r="C13">
        <f>C$12*'实盘净值数据(iFinD公式)'!C$13/'实盘净值数据(iFinD公式)'!C$8/$AO$13-0.015</f>
        <v>4.9222093775360756E-3</v>
      </c>
      <c r="D13">
        <f>D$12*'实盘净值数据(iFinD公式)'!D$13/'实盘净值数据(iFinD公式)'!D$8/$AO$13</f>
        <v>0</v>
      </c>
      <c r="E13">
        <f>E$12*'实盘净值数据(iFinD公式)'!E$13/'实盘净值数据(iFinD公式)'!E$8/$AO$13</f>
        <v>0</v>
      </c>
      <c r="F13">
        <f>F$12*'实盘净值数据(iFinD公式)'!F$13/'实盘净值数据(iFinD公式)'!F$8/$AO$13</f>
        <v>3.7383653895850244E-2</v>
      </c>
      <c r="G13">
        <f>G$12*'实盘净值数据(iFinD公式)'!G$13/'实盘净值数据(iFinD公式)'!G$8/$AO$13</f>
        <v>0</v>
      </c>
      <c r="H13">
        <f>H$12*'实盘净值数据(iFinD公式)'!H$13/'实盘净值数据(iFinD公式)'!H$8/$AO$13</f>
        <v>1.4130559060444955E-2</v>
      </c>
      <c r="I13">
        <f>I$12*'实盘净值数据(iFinD公式)'!I$13/'实盘净值数据(iFinD公式)'!I$8/$AO$13</f>
        <v>3.1187415054142246E-2</v>
      </c>
      <c r="J13">
        <f>J$12*'实盘净值数据(iFinD公式)'!J$13/'实盘净值数据(iFinD公式)'!J$8/$AO$13</f>
        <v>0</v>
      </c>
      <c r="K13">
        <f>K$12*'实盘净值数据(iFinD公式)'!K$13/'实盘净值数据(iFinD公式)'!K$8/$AO$13</f>
        <v>3.5385334680596091E-2</v>
      </c>
      <c r="L13">
        <f>L$12*'实盘净值数据(iFinD公式)'!L$13/'实盘净值数据(iFinD公式)'!L$8/$AO$13</f>
        <v>0</v>
      </c>
      <c r="M13">
        <f>M$12*'实盘净值数据(iFinD公式)'!M$13/'实盘净值数据(iFinD公式)'!M$8/$AO$13</f>
        <v>3.7809020026759531E-2</v>
      </c>
      <c r="N13">
        <f>N$12*'实盘净值数据(iFinD公式)'!N$13/'实盘净值数据(iFinD公式)'!N$8/$AO$13</f>
        <v>0</v>
      </c>
      <c r="O13">
        <f>O$12*'实盘净值数据(iFinD公式)'!O$13/'实盘净值数据(iFinD公式)'!O$8/$AO$13</f>
        <v>3.7639909734269048E-2</v>
      </c>
      <c r="P13">
        <f>P$12*'实盘净值数据(iFinD公式)'!P$13/'实盘净值数据(iFinD公式)'!P$8/$AO$13</f>
        <v>0</v>
      </c>
      <c r="Q13">
        <f>Q$12*'实盘净值数据(iFinD公式)'!Q$13/'实盘净值数据(iFinD公式)'!Q$8/$AO$13</f>
        <v>0</v>
      </c>
      <c r="R13">
        <f>R$12*'实盘净值数据(iFinD公式)'!R$13/'实盘净值数据(iFinD公式)'!R$8/$AO$13</f>
        <v>2.8865709660439238E-2</v>
      </c>
      <c r="S13">
        <f>S$12*'实盘净值数据(iFinD公式)'!S$13/'实盘净值数据(iFinD公式)'!S$8/$AO$13</f>
        <v>2.8231926900584323E-2</v>
      </c>
      <c r="T13">
        <f>T$12*'实盘净值数据(iFinD公式)'!T$13/'实盘净值数据(iFinD公式)'!T$8/$AO$13</f>
        <v>0</v>
      </c>
      <c r="U13">
        <f>U$12*'实盘净值数据(iFinD公式)'!U$13/'实盘净值数据(iFinD公式)'!U$8/$AO$13</f>
        <v>1.7706181846760063E-2</v>
      </c>
      <c r="V13">
        <f>V$12*'实盘净值数据(iFinD公式)'!V$13/'实盘净值数据(iFinD公式)'!V$8/$AO$13</f>
        <v>0</v>
      </c>
      <c r="W13">
        <f>W$12*'实盘净值数据(iFinD公式)'!W$13/'实盘净值数据(iFinD公式)'!W$8/$AO$13</f>
        <v>3.728493521308144E-2</v>
      </c>
      <c r="X13">
        <f>X$12*'实盘净值数据(iFinD公式)'!X$13/'实盘净值数据(iFinD公式)'!X$8/$AO$13</f>
        <v>0.57770110350899728</v>
      </c>
      <c r="Y13">
        <f>Y$12*'实盘净值数据(iFinD公式)'!Y$13/'实盘净值数据(iFinD公式)'!Y$8/$AO$13+0.015</f>
        <v>1.4999999999999999E-2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92">
        <f t="shared" si="0"/>
        <v>1</v>
      </c>
      <c r="AN13" s="20">
        <v>46204</v>
      </c>
      <c r="AO13">
        <f>SUMPRODUCT($B$12:$Y$12,'实盘净值数据(iFinD公式)'!$B$13:$Y$13/'实盘净值数据(iFinD公式)'!$B$8:$Y$8)</f>
        <v>1.0041480100695226</v>
      </c>
    </row>
    <row r="14" spans="1:41" ht="14.5">
      <c r="A14" s="21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92">
        <f t="shared" si="0"/>
        <v>1.0000000000000004</v>
      </c>
      <c r="AN14" s="20">
        <v>46210</v>
      </c>
      <c r="AO14">
        <f>$AO$9*SUMPRODUCT($B$9:$Y$9,'实盘净值数据(iFinD公式)'!$B$17:$Y$17/'实盘净值数据(iFinD公式)'!$B$13:$Y$13)</f>
        <v>0.99518059435920936</v>
      </c>
    </row>
    <row r="15" spans="1:41" ht="14.5">
      <c r="A15" s="21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92">
        <f t="shared" si="0"/>
        <v>1.0000000000000002</v>
      </c>
      <c r="AN15" s="20">
        <v>46210</v>
      </c>
      <c r="AO15">
        <f>$AO$11*SUMPRODUCT($B$11:$Y$11,'实盘净值数据(iFinD公式)'!$B$17:$Y$17/'实盘净值数据(iFinD公式)'!$B$13:$Y$13)</f>
        <v>0.99376731247498307</v>
      </c>
    </row>
    <row r="16" spans="1:41" ht="14.5">
      <c r="A16" s="21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92">
        <f t="shared" si="0"/>
        <v>0.99999999999999989</v>
      </c>
      <c r="AN16" s="20">
        <v>46210</v>
      </c>
      <c r="AO16">
        <f>$AO$13*SUMPRODUCT($B$13:$Y$13,'实盘净值数据(iFinD公式)'!$B$17:$Y$17/'实盘净值数据(iFinD公式)'!$B$13:$Y$13)</f>
        <v>0.9844764004850477</v>
      </c>
    </row>
    <row r="17" spans="1:41" ht="14.5">
      <c r="A17" s="17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92">
        <f t="shared" si="0"/>
        <v>1.0000000000000009</v>
      </c>
      <c r="AN17" s="20">
        <v>46213</v>
      </c>
      <c r="AO17">
        <f>SUMPRODUCT($B$5:$Y$5,'实盘净值数据(iFinD公式)'!$B$20:$Y$20/'实盘净值数据(iFinD公式)'!$B$6:$Y$6)</f>
        <v>0.95250384230903973</v>
      </c>
    </row>
    <row r="18" spans="1:41" ht="14.5">
      <c r="A18" s="17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92">
        <f t="shared" si="0"/>
        <v>0.99999999999999956</v>
      </c>
      <c r="AN18" s="20">
        <v>46213</v>
      </c>
      <c r="AO18">
        <f>SUMPRODUCT($B$6:$Y$6,'实盘净值数据(iFinD公式)'!$B$20:$Y$20/'实盘净值数据(iFinD公式)'!$B$5:$Y$5)</f>
        <v>0.97445109575393596</v>
      </c>
    </row>
    <row r="19" spans="1:41" ht="14.5">
      <c r="A19" s="17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92">
        <f t="shared" si="0"/>
        <v>1.0000000000000002</v>
      </c>
      <c r="AN19" s="20">
        <v>46213</v>
      </c>
      <c r="AO19">
        <f>SUMPRODUCT($B$7:$Y$7,'实盘净值数据(iFinD公式)'!$B$20:$Y$20/'实盘净值数据(iFinD公式)'!$B$7:$Y$7)</f>
        <v>0.99413981381289751</v>
      </c>
    </row>
    <row r="20" spans="1:41" ht="14">
      <c r="A20" s="22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92">
        <f t="shared" si="0"/>
        <v>1</v>
      </c>
      <c r="AN20" s="23">
        <v>46220</v>
      </c>
      <c r="AO20">
        <f>$AO$14*SUMPRODUCT($B$14:$Y$14,'实盘净值数据(iFinD公式)'!$B$25:$Y$25/'实盘净值数据(iFinD公式)'!$B$17:$Y$17)</f>
        <v>0.98067586640145799</v>
      </c>
    </row>
    <row r="21" spans="1:41" ht="14">
      <c r="A21" s="22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92">
        <f t="shared" si="0"/>
        <v>1</v>
      </c>
      <c r="AN21" s="23">
        <v>46220</v>
      </c>
      <c r="AO21">
        <f>$AO$15*SUMPRODUCT($B$15:$Y$15,'实盘净值数据(iFinD公式)'!$B$25:$Y$25/'实盘净值数据(iFinD公式)'!$B$17:$Y$17)</f>
        <v>0.97939475400002896</v>
      </c>
    </row>
    <row r="22" spans="1:41" ht="14">
      <c r="A22" s="22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92">
        <f t="shared" si="0"/>
        <v>1</v>
      </c>
      <c r="AN22" s="23">
        <v>46220</v>
      </c>
      <c r="AO22">
        <f>$AO$16*SUMPRODUCT($B$16:$Y$16,'实盘净值数据(iFinD公式)'!$B$25:$Y$25/'实盘净值数据(iFinD公式)'!$B$17:$Y$17)</f>
        <v>0.94281725126693205</v>
      </c>
    </row>
    <row r="23" spans="1:41" ht="14">
      <c r="A23" s="22" t="s">
        <v>354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v>0.15</v>
      </c>
      <c r="AA23">
        <v>0.15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92">
        <f t="shared" si="0"/>
        <v>1</v>
      </c>
      <c r="AN23" s="23">
        <v>46276</v>
      </c>
      <c r="AO23">
        <f>$AO$20*SUMPRODUCT($B$20:$Y$20,'实盘净值数据(iFinD公式)'!$B$65:$Y$65/'实盘净值数据(iFinD公式)'!$B$25:$Y$25)</f>
        <v>0.99104060395575799</v>
      </c>
    </row>
    <row r="24" spans="1:41" ht="14">
      <c r="A24" s="22" t="s">
        <v>355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v>0.15</v>
      </c>
      <c r="AA24">
        <v>0.15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92">
        <f t="shared" si="0"/>
        <v>1</v>
      </c>
      <c r="AN24" s="23">
        <v>46276</v>
      </c>
      <c r="AO24">
        <f>$AO$21*SUMPRODUCT($B$21:$Y$21,'实盘净值数据(iFinD公式)'!$B$65:$Y$65/'实盘净值数据(iFinD公式)'!$B$25:$Y$25)</f>
        <v>0.99102891245917668</v>
      </c>
    </row>
    <row r="25" spans="1:41" ht="14">
      <c r="A25" s="22" t="s">
        <v>356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v>0.1</v>
      </c>
      <c r="AA25">
        <v>0.1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92">
        <f t="shared" si="0"/>
        <v>0.99999999999999989</v>
      </c>
      <c r="AN25" s="23">
        <v>46276</v>
      </c>
      <c r="AO25">
        <f>$AO$22*SUMPRODUCT($B$22:$Y$22,'实盘净值数据(iFinD公式)'!$B$65:$Y$65/'实盘净值数据(iFinD公式)'!$B$25:$Y$25)</f>
        <v>0.95617038338718674</v>
      </c>
    </row>
    <row r="26" spans="1:41" s="224" customFormat="1" ht="14">
      <c r="A26" s="22" t="s">
        <v>408</v>
      </c>
      <c r="B26">
        <v>0</v>
      </c>
      <c r="C26">
        <v>0.05</v>
      </c>
      <c r="D26">
        <v>0</v>
      </c>
      <c r="E26">
        <v>0</v>
      </c>
      <c r="F26">
        <v>2.5000000000000001E-2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1.2500000000000001E-2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1.2500000000000001E-2</v>
      </c>
      <c r="X26">
        <v>0.3</v>
      </c>
      <c r="Y26">
        <v>0</v>
      </c>
      <c r="Z26">
        <v>0.2</v>
      </c>
      <c r="AA26">
        <v>0.2</v>
      </c>
      <c r="AB26">
        <v>1.2500000000000001E-2</v>
      </c>
      <c r="AC26">
        <v>1.2500000000000001E-2</v>
      </c>
      <c r="AD26">
        <v>1.2500000000000001E-2</v>
      </c>
      <c r="AE26">
        <v>1.2500000000000001E-2</v>
      </c>
      <c r="AF26">
        <v>5.0000000000000001E-3</v>
      </c>
      <c r="AG26">
        <v>5.0000000000000001E-3</v>
      </c>
      <c r="AH26">
        <v>5.0000000000000001E-3</v>
      </c>
      <c r="AI26">
        <v>5.0000000000000001E-3</v>
      </c>
      <c r="AJ26">
        <v>0.06</v>
      </c>
      <c r="AK26">
        <v>0.02</v>
      </c>
      <c r="AL26">
        <v>0.05</v>
      </c>
      <c r="AM26" s="92">
        <f t="shared" si="0"/>
        <v>1</v>
      </c>
      <c r="AN26" s="23">
        <v>46282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141</v>
      </c>
    </row>
    <row r="3" spans="2:8" ht="14.25" customHeight="1">
      <c r="B3" s="2" t="s">
        <v>142</v>
      </c>
    </row>
    <row r="5" spans="2:8" ht="15" customHeight="1">
      <c r="B5" s="25" t="s">
        <v>143</v>
      </c>
    </row>
    <row r="6" spans="2:8" ht="16.5" customHeight="1">
      <c r="B6" s="26" t="s">
        <v>144</v>
      </c>
      <c r="C6" s="249" t="s">
        <v>145</v>
      </c>
      <c r="D6" s="249"/>
      <c r="E6" s="249"/>
      <c r="F6" s="249"/>
      <c r="G6" s="249"/>
      <c r="H6" s="249"/>
    </row>
    <row r="7" spans="2:8" ht="25.5" customHeight="1">
      <c r="B7" s="26" t="s">
        <v>146</v>
      </c>
      <c r="C7" s="249" t="s">
        <v>147</v>
      </c>
      <c r="D7" s="249"/>
      <c r="E7" s="249"/>
      <c r="F7" s="249"/>
      <c r="G7" s="249"/>
      <c r="H7" s="249"/>
    </row>
    <row r="8" spans="2:8" ht="16.5" customHeight="1">
      <c r="B8" s="26" t="s">
        <v>148</v>
      </c>
      <c r="C8" s="249" t="s">
        <v>149</v>
      </c>
      <c r="D8" s="249"/>
      <c r="E8" s="249"/>
      <c r="F8" s="249"/>
      <c r="G8" s="249"/>
      <c r="H8" s="249"/>
    </row>
    <row r="9" spans="2:8" ht="27.75" customHeight="1">
      <c r="B9" s="26" t="s">
        <v>150</v>
      </c>
      <c r="C9" s="250" t="s">
        <v>151</v>
      </c>
      <c r="D9" s="250"/>
      <c r="E9" s="250"/>
      <c r="F9" s="250"/>
      <c r="G9" s="250"/>
      <c r="H9" s="250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152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153</v>
      </c>
      <c r="C12" s="249" t="s">
        <v>154</v>
      </c>
      <c r="D12" s="249"/>
      <c r="E12" s="249"/>
      <c r="F12" s="249"/>
      <c r="G12" s="249"/>
      <c r="H12" s="249"/>
    </row>
    <row r="13" spans="2:8" ht="16.5" customHeight="1">
      <c r="B13" s="29" t="s">
        <v>155</v>
      </c>
      <c r="C13" s="249" t="s">
        <v>156</v>
      </c>
      <c r="D13" s="249"/>
      <c r="E13" s="249"/>
      <c r="F13" s="249"/>
      <c r="G13" s="249"/>
      <c r="H13" s="249"/>
    </row>
    <row r="14" spans="2:8" ht="16.5" customHeight="1">
      <c r="B14" s="26" t="s">
        <v>157</v>
      </c>
      <c r="C14" s="249" t="s">
        <v>158</v>
      </c>
      <c r="D14" s="249"/>
      <c r="E14" s="249"/>
      <c r="F14" s="249"/>
      <c r="G14" s="249"/>
      <c r="H14" s="249"/>
    </row>
    <row r="15" spans="2:8" ht="14.25" customHeight="1">
      <c r="B15" s="26" t="s">
        <v>159</v>
      </c>
      <c r="C15" s="27" t="s">
        <v>160</v>
      </c>
    </row>
    <row r="16" spans="2:8" ht="13">
      <c r="B16" s="26" t="s">
        <v>161</v>
      </c>
      <c r="C16" s="30">
        <v>0</v>
      </c>
    </row>
    <row r="17" spans="2:3" ht="13">
      <c r="B17" s="26" t="s">
        <v>162</v>
      </c>
      <c r="C17" s="31">
        <v>242</v>
      </c>
    </row>
    <row r="18" spans="2:3" ht="14.25" customHeight="1">
      <c r="B18" s="26" t="s">
        <v>163</v>
      </c>
      <c r="C18" s="27" t="s">
        <v>164</v>
      </c>
    </row>
    <row r="19" spans="2:3" ht="14.25" customHeight="1">
      <c r="B19" s="2" t="s">
        <v>165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 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2026-10-09T06:15:27Z</dcterms:modified>
  <dc:language>zh-CN</dc:language>
</cp:coreProperties>
</file>