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0" yWindow="0" windowWidth="25600" windowHeight="11620" activeTab="2"/>
  </bookViews>
  <sheets>
    <sheet name="产业趋势产品池" sheetId="1" r:id="rId1"/>
    <sheet name="宽基&amp;指增池" sheetId="2" r:id="rId2"/>
    <sheet name="债券&amp;保障池子" sheetId="3" r:id="rId3"/>
  </sheets>
  <externalReferences>
    <externalReference r:id="rId4"/>
  </externalReferences>
  <definedNames>
    <definedName name="_xlnm._FilterDatabase" localSheetId="0" hidden="1">产业趋势产品池!$A$3:$T$63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" i="3" l="1"/>
  <c r="W2" i="3"/>
  <c r="V2" i="3"/>
  <c r="AC2" i="3" s="1"/>
  <c r="AG2" i="3" s="1"/>
  <c r="T2" i="3"/>
  <c r="S2" i="3"/>
  <c r="C2" i="3"/>
  <c r="AG1" i="3"/>
  <c r="AH1" i="3" s="1"/>
  <c r="AE1" i="3"/>
  <c r="AF1" i="3" s="1"/>
  <c r="AC1" i="3"/>
  <c r="AD1" i="3" s="1"/>
  <c r="K26" i="2"/>
  <c r="J26" i="2"/>
  <c r="K25" i="2"/>
  <c r="K24" i="2"/>
  <c r="K18" i="2"/>
  <c r="W2" i="2"/>
  <c r="R2" i="2" s="1"/>
  <c r="C2" i="2" s="1"/>
  <c r="V2" i="2"/>
  <c r="U2" i="2"/>
  <c r="AB2" i="2" s="1"/>
  <c r="S2" i="2"/>
  <c r="AF1" i="2"/>
  <c r="AG1" i="2" s="1"/>
  <c r="AD1" i="2"/>
  <c r="AE1" i="2" s="1"/>
  <c r="AB1" i="2"/>
  <c r="AC1" i="2" s="1"/>
  <c r="K2" i="1"/>
  <c r="E3" i="1" s="1"/>
  <c r="AK14" i="3"/>
  <c r="U14" i="3"/>
  <c r="E14" i="3"/>
  <c r="V13" i="3"/>
  <c r="Y11" i="3"/>
  <c r="AJ10" i="3"/>
  <c r="AB10" i="3"/>
  <c r="T10" i="3"/>
  <c r="D10" i="3"/>
  <c r="W9" i="3"/>
  <c r="Z8" i="3"/>
  <c r="AK7" i="3"/>
  <c r="U7" i="3"/>
  <c r="E7" i="3"/>
  <c r="X6" i="3"/>
  <c r="AI5" i="3"/>
  <c r="AA5" i="3"/>
  <c r="S5" i="3"/>
  <c r="C5" i="3"/>
  <c r="V4" i="3"/>
  <c r="Z95" i="2"/>
  <c r="W94" i="2"/>
  <c r="U93" i="2"/>
  <c r="AA92" i="2"/>
  <c r="R92" i="2"/>
  <c r="AH91" i="2"/>
  <c r="Z91" i="2"/>
  <c r="Y90" i="2"/>
  <c r="X89" i="2"/>
  <c r="AH88" i="2"/>
  <c r="Z88" i="2"/>
  <c r="AJ87" i="2"/>
  <c r="T87" i="2"/>
  <c r="AI86" i="2"/>
  <c r="AA86" i="2"/>
  <c r="R86" i="2"/>
  <c r="AH85" i="2"/>
  <c r="Z85" i="2"/>
  <c r="Y84" i="2"/>
  <c r="X83" i="2"/>
  <c r="V76" i="2"/>
  <c r="AA75" i="2"/>
  <c r="R75" i="2"/>
  <c r="Y74" i="2"/>
  <c r="W73" i="2"/>
  <c r="V72" i="2"/>
  <c r="AK71" i="2"/>
  <c r="U71" i="2"/>
  <c r="AJ70" i="2"/>
  <c r="T70" i="2"/>
  <c r="AJ14" i="3"/>
  <c r="AB14" i="3"/>
  <c r="T14" i="3"/>
  <c r="D14" i="3"/>
  <c r="U13" i="3"/>
  <c r="E13" i="3"/>
  <c r="X11" i="3"/>
  <c r="AI10" i="3"/>
  <c r="AA10" i="3"/>
  <c r="S10" i="3"/>
  <c r="C10" i="3"/>
  <c r="V9" i="3"/>
  <c r="Y8" i="3"/>
  <c r="AJ7" i="3"/>
  <c r="AB7" i="3"/>
  <c r="T7" i="3"/>
  <c r="D7" i="3"/>
  <c r="W6" i="3"/>
  <c r="Z5" i="3"/>
  <c r="AK4" i="3"/>
  <c r="U4" i="3"/>
  <c r="E4" i="3"/>
  <c r="Y95" i="2"/>
  <c r="V94" i="2"/>
  <c r="AJ93" i="2"/>
  <c r="T93" i="2"/>
  <c r="Z92" i="2"/>
  <c r="Y91" i="2"/>
  <c r="X90" i="2"/>
  <c r="W89" i="2"/>
  <c r="Y88" i="2"/>
  <c r="AI87" i="2"/>
  <c r="AA87" i="2"/>
  <c r="R87" i="2"/>
  <c r="AH86" i="2"/>
  <c r="Z86" i="2"/>
  <c r="Y85" i="2"/>
  <c r="X84" i="2"/>
  <c r="W83" i="2"/>
  <c r="D83" i="2"/>
  <c r="U76" i="2"/>
  <c r="Z75" i="2"/>
  <c r="X74" i="2"/>
  <c r="V73" i="2"/>
  <c r="AK72" i="2"/>
  <c r="U72" i="2"/>
  <c r="AJ71" i="2"/>
  <c r="T71" i="2"/>
  <c r="AI70" i="2"/>
  <c r="AA70" i="2"/>
  <c r="R70" i="2"/>
  <c r="AI14" i="3"/>
  <c r="AA14" i="3"/>
  <c r="S14" i="3"/>
  <c r="C14" i="3"/>
  <c r="T13" i="3"/>
  <c r="D13" i="3"/>
  <c r="W11" i="3"/>
  <c r="Z10" i="3"/>
  <c r="AK9" i="3"/>
  <c r="U9" i="3"/>
  <c r="E9" i="3"/>
  <c r="X8" i="3"/>
  <c r="AI7" i="3"/>
  <c r="AA7" i="3"/>
  <c r="S7" i="3"/>
  <c r="C7" i="3"/>
  <c r="V6" i="3"/>
  <c r="Y5" i="3"/>
  <c r="AJ4" i="3"/>
  <c r="AB4" i="3"/>
  <c r="T4" i="3"/>
  <c r="D4" i="3"/>
  <c r="X95" i="2"/>
  <c r="U94" i="2"/>
  <c r="AA93" i="2"/>
  <c r="R93" i="2"/>
  <c r="Y92" i="2"/>
  <c r="X91" i="2"/>
  <c r="W90" i="2"/>
  <c r="D90" i="2"/>
  <c r="V89" i="2"/>
  <c r="X88" i="2"/>
  <c r="AH87" i="2"/>
  <c r="Z87" i="2"/>
  <c r="Y86" i="2"/>
  <c r="X85" i="2"/>
  <c r="W84" i="2"/>
  <c r="D84" i="2"/>
  <c r="V83" i="2"/>
  <c r="AJ76" i="2"/>
  <c r="T76" i="2"/>
  <c r="Y75" i="2"/>
  <c r="W74" i="2"/>
  <c r="U73" i="2"/>
  <c r="AJ72" i="2"/>
  <c r="T72" i="2"/>
  <c r="AI71" i="2"/>
  <c r="AA71" i="2"/>
  <c r="R71" i="2"/>
  <c r="AH70" i="2"/>
  <c r="Z70" i="2"/>
  <c r="Z14" i="3"/>
  <c r="AK13" i="3"/>
  <c r="S13" i="3"/>
  <c r="C13" i="3"/>
  <c r="V11" i="3"/>
  <c r="Y10" i="3"/>
  <c r="AJ9" i="3"/>
  <c r="AB9" i="3"/>
  <c r="T9" i="3"/>
  <c r="D9" i="3"/>
  <c r="W8" i="3"/>
  <c r="Z7" i="3"/>
  <c r="AK6" i="3"/>
  <c r="U6" i="3"/>
  <c r="E6" i="3"/>
  <c r="X5" i="3"/>
  <c r="AI4" i="3"/>
  <c r="AA4" i="3"/>
  <c r="S4" i="3"/>
  <c r="C4" i="3"/>
  <c r="W95" i="2"/>
  <c r="T94" i="2"/>
  <c r="Z93" i="2"/>
  <c r="X92" i="2"/>
  <c r="W91" i="2"/>
  <c r="D91" i="2"/>
  <c r="V90" i="2"/>
  <c r="AK89" i="2"/>
  <c r="U89" i="2"/>
  <c r="W88" i="2"/>
  <c r="Y87" i="2"/>
  <c r="X86" i="2"/>
  <c r="W85" i="2"/>
  <c r="D85" i="2"/>
  <c r="V84" i="2"/>
  <c r="AK83" i="2"/>
  <c r="U83" i="2"/>
  <c r="AA76" i="2"/>
  <c r="R76" i="2"/>
  <c r="X75" i="2"/>
  <c r="V74" i="2"/>
  <c r="AJ73" i="2"/>
  <c r="T73" i="2"/>
  <c r="AI72" i="2"/>
  <c r="AA72" i="2"/>
  <c r="R72" i="2"/>
  <c r="AH71" i="2"/>
  <c r="Z71" i="2"/>
  <c r="Y70" i="2"/>
  <c r="Y14" i="3"/>
  <c r="AJ13" i="3"/>
  <c r="Z13" i="3"/>
  <c r="AK11" i="3"/>
  <c r="U11" i="3"/>
  <c r="E11" i="3"/>
  <c r="X10" i="3"/>
  <c r="AI9" i="3"/>
  <c r="AA9" i="3"/>
  <c r="S9" i="3"/>
  <c r="C9" i="3"/>
  <c r="V8" i="3"/>
  <c r="Y7" i="3"/>
  <c r="AJ6" i="3"/>
  <c r="AB6" i="3"/>
  <c r="T6" i="3"/>
  <c r="D6" i="3"/>
  <c r="W5" i="3"/>
  <c r="Z4" i="3"/>
  <c r="V95" i="2"/>
  <c r="AA94" i="2"/>
  <c r="R94" i="2"/>
  <c r="Y93" i="2"/>
  <c r="W92" i="2"/>
  <c r="V91" i="2"/>
  <c r="AK90" i="2"/>
  <c r="U90" i="2"/>
  <c r="AJ89" i="2"/>
  <c r="T89" i="2"/>
  <c r="D89" i="2"/>
  <c r="V88" i="2"/>
  <c r="X87" i="2"/>
  <c r="W86" i="2"/>
  <c r="D86" i="2"/>
  <c r="V85" i="2"/>
  <c r="AK84" i="2"/>
  <c r="U84" i="2"/>
  <c r="AJ83" i="2"/>
  <c r="T83" i="2"/>
  <c r="Z76" i="2"/>
  <c r="W75" i="2"/>
  <c r="U74" i="2"/>
  <c r="AA73" i="2"/>
  <c r="R73" i="2"/>
  <c r="AH72" i="2"/>
  <c r="Z72" i="2"/>
  <c r="Y71" i="2"/>
  <c r="X70" i="2"/>
  <c r="V14" i="3"/>
  <c r="W13" i="3"/>
  <c r="Z11" i="3"/>
  <c r="AK10" i="3"/>
  <c r="U10" i="3"/>
  <c r="E10" i="3"/>
  <c r="X9" i="3"/>
  <c r="AI8" i="3"/>
  <c r="AA8" i="3"/>
  <c r="S8" i="3"/>
  <c r="C8" i="3"/>
  <c r="V7" i="3"/>
  <c r="Y6" i="3"/>
  <c r="AJ5" i="3"/>
  <c r="AB5" i="3"/>
  <c r="T5" i="3"/>
  <c r="D5" i="3"/>
  <c r="W4" i="3"/>
  <c r="AA95" i="2"/>
  <c r="R95" i="2"/>
  <c r="X94" i="2"/>
  <c r="V93" i="2"/>
  <c r="AJ92" i="2"/>
  <c r="T92" i="2"/>
  <c r="AI91" i="2"/>
  <c r="AA91" i="2"/>
  <c r="R91" i="2"/>
  <c r="AH90" i="2"/>
  <c r="Z90" i="2"/>
  <c r="Y89" i="2"/>
  <c r="AI88" i="2"/>
  <c r="AA88" i="2"/>
  <c r="R88" i="2"/>
  <c r="AK87" i="2"/>
  <c r="U87" i="2"/>
  <c r="AJ86" i="2"/>
  <c r="T86" i="2"/>
  <c r="AI85" i="2"/>
  <c r="AA85" i="2"/>
  <c r="R85" i="2"/>
  <c r="AH84" i="2"/>
  <c r="Z84" i="2"/>
  <c r="AI13" i="3"/>
  <c r="AJ11" i="3"/>
  <c r="D11" i="3"/>
  <c r="S6" i="3"/>
  <c r="V5" i="3"/>
  <c r="Y4" i="3"/>
  <c r="X93" i="2"/>
  <c r="AA89" i="2"/>
  <c r="U88" i="2"/>
  <c r="Z83" i="2"/>
  <c r="Y76" i="2"/>
  <c r="T75" i="2"/>
  <c r="Y73" i="2"/>
  <c r="Y72" i="2"/>
  <c r="D72" i="2"/>
  <c r="W70" i="2"/>
  <c r="AJ69" i="2"/>
  <c r="T69" i="2"/>
  <c r="D69" i="2"/>
  <c r="V68" i="2"/>
  <c r="AK67" i="2"/>
  <c r="U67" i="2"/>
  <c r="AJ66" i="2"/>
  <c r="T66" i="2"/>
  <c r="AI65" i="2"/>
  <c r="AA65" i="2"/>
  <c r="R65" i="2"/>
  <c r="AH64" i="2"/>
  <c r="Z64" i="2"/>
  <c r="V60" i="2"/>
  <c r="E56" i="2"/>
  <c r="AH45" i="2"/>
  <c r="T45" i="2"/>
  <c r="X44" i="2"/>
  <c r="AH43" i="2"/>
  <c r="T43" i="2"/>
  <c r="X42" i="2"/>
  <c r="AH41" i="2"/>
  <c r="T41" i="2"/>
  <c r="X40" i="2"/>
  <c r="AH39" i="2"/>
  <c r="T39" i="2"/>
  <c r="X38" i="2"/>
  <c r="AH37" i="2"/>
  <c r="T37" i="2"/>
  <c r="X36" i="2"/>
  <c r="AH35" i="2"/>
  <c r="T35" i="2"/>
  <c r="W34" i="2"/>
  <c r="X33" i="2"/>
  <c r="Y32" i="2"/>
  <c r="AH31" i="2"/>
  <c r="Z31" i="2"/>
  <c r="R31" i="2"/>
  <c r="AI30" i="2"/>
  <c r="AA30" i="2"/>
  <c r="S30" i="2"/>
  <c r="AJ29" i="2"/>
  <c r="T29" i="2"/>
  <c r="D29" i="2"/>
  <c r="U28" i="2"/>
  <c r="U27" i="2"/>
  <c r="U25" i="2"/>
  <c r="AI11" i="3"/>
  <c r="C11" i="3"/>
  <c r="U5" i="3"/>
  <c r="X4" i="3"/>
  <c r="AJ95" i="2"/>
  <c r="W93" i="2"/>
  <c r="AA90" i="2"/>
  <c r="Z89" i="2"/>
  <c r="T88" i="2"/>
  <c r="Y83" i="2"/>
  <c r="X76" i="2"/>
  <c r="AJ74" i="2"/>
  <c r="X73" i="2"/>
  <c r="X72" i="2"/>
  <c r="V70" i="2"/>
  <c r="AI69" i="2"/>
  <c r="AA69" i="2"/>
  <c r="R69" i="2"/>
  <c r="AK68" i="2"/>
  <c r="U68" i="2"/>
  <c r="AJ67" i="2"/>
  <c r="T67" i="2"/>
  <c r="AI66" i="2"/>
  <c r="AA66" i="2"/>
  <c r="R66" i="2"/>
  <c r="AH65" i="2"/>
  <c r="Z65" i="2"/>
  <c r="Y64" i="2"/>
  <c r="U60" i="2"/>
  <c r="E55" i="2"/>
  <c r="AA45" i="2"/>
  <c r="S45" i="2"/>
  <c r="W44" i="2"/>
  <c r="AA43" i="2"/>
  <c r="S43" i="2"/>
  <c r="W42" i="2"/>
  <c r="AA41" i="2"/>
  <c r="S41" i="2"/>
  <c r="W40" i="2"/>
  <c r="AA39" i="2"/>
  <c r="S39" i="2"/>
  <c r="W38" i="2"/>
  <c r="AA37" i="2"/>
  <c r="S37" i="2"/>
  <c r="W36" i="2"/>
  <c r="AA35" i="2"/>
  <c r="S35" i="2"/>
  <c r="V34" i="2"/>
  <c r="W33" i="2"/>
  <c r="X32" i="2"/>
  <c r="Y31" i="2"/>
  <c r="AH30" i="2"/>
  <c r="Z30" i="2"/>
  <c r="R30" i="2"/>
  <c r="AI29" i="2"/>
  <c r="AA29" i="2"/>
  <c r="S29" i="2"/>
  <c r="AJ28" i="2"/>
  <c r="T28" i="2"/>
  <c r="D28" i="2"/>
  <c r="T27" i="2"/>
  <c r="T25" i="2"/>
  <c r="X14" i="3"/>
  <c r="Y13" i="3"/>
  <c r="AB11" i="3"/>
  <c r="AK8" i="3"/>
  <c r="E8" i="3"/>
  <c r="U95" i="2"/>
  <c r="U91" i="2"/>
  <c r="T90" i="2"/>
  <c r="R89" i="2"/>
  <c r="D87" i="2"/>
  <c r="AK85" i="2"/>
  <c r="AJ84" i="2"/>
  <c r="R83" i="2"/>
  <c r="W76" i="2"/>
  <c r="AA74" i="2"/>
  <c r="W72" i="2"/>
  <c r="U70" i="2"/>
  <c r="AH69" i="2"/>
  <c r="Z69" i="2"/>
  <c r="AJ68" i="2"/>
  <c r="T68" i="2"/>
  <c r="AI67" i="2"/>
  <c r="AA67" i="2"/>
  <c r="R67" i="2"/>
  <c r="AH66" i="2"/>
  <c r="Z66" i="2"/>
  <c r="Y65" i="2"/>
  <c r="X64" i="2"/>
  <c r="T60" i="2"/>
  <c r="E54" i="2"/>
  <c r="Z45" i="2"/>
  <c r="R45" i="2"/>
  <c r="V44" i="2"/>
  <c r="Z43" i="2"/>
  <c r="R43" i="2"/>
  <c r="V42" i="2"/>
  <c r="Z41" i="2"/>
  <c r="R41" i="2"/>
  <c r="V40" i="2"/>
  <c r="Z39" i="2"/>
  <c r="R39" i="2"/>
  <c r="V38" i="2"/>
  <c r="Z37" i="2"/>
  <c r="R37" i="2"/>
  <c r="V36" i="2"/>
  <c r="Z35" i="2"/>
  <c r="R35" i="2"/>
  <c r="U34" i="2"/>
  <c r="V33" i="2"/>
  <c r="W32" i="2"/>
  <c r="X31" i="2"/>
  <c r="Y30" i="2"/>
  <c r="AH29" i="2"/>
  <c r="Z29" i="2"/>
  <c r="R29" i="2"/>
  <c r="AI28" i="2"/>
  <c r="AA28" i="2"/>
  <c r="S28" i="2"/>
  <c r="AA27" i="2"/>
  <c r="S27" i="2"/>
  <c r="AJ26" i="2"/>
  <c r="S25" i="2"/>
  <c r="W14" i="3"/>
  <c r="X13" i="3"/>
  <c r="AA11" i="3"/>
  <c r="AJ8" i="3"/>
  <c r="D8" i="3"/>
  <c r="T95" i="2"/>
  <c r="T91" i="2"/>
  <c r="R90" i="2"/>
  <c r="D88" i="2"/>
  <c r="AK86" i="2"/>
  <c r="AJ85" i="2"/>
  <c r="AI84" i="2"/>
  <c r="Z74" i="2"/>
  <c r="D71" i="2"/>
  <c r="Y69" i="2"/>
  <c r="AI68" i="2"/>
  <c r="AA68" i="2"/>
  <c r="R68" i="2"/>
  <c r="AH67" i="2"/>
  <c r="Z67" i="2"/>
  <c r="Y66" i="2"/>
  <c r="X65" i="2"/>
  <c r="W64" i="2"/>
  <c r="D64" i="2"/>
  <c r="R60" i="2"/>
  <c r="E53" i="2"/>
  <c r="Y45" i="2"/>
  <c r="AI44" i="2"/>
  <c r="U44" i="2"/>
  <c r="Y43" i="2"/>
  <c r="AI42" i="2"/>
  <c r="U42" i="2"/>
  <c r="Y41" i="2"/>
  <c r="AI40" i="2"/>
  <c r="U40" i="2"/>
  <c r="Y39" i="2"/>
  <c r="AI38" i="2"/>
  <c r="U38" i="2"/>
  <c r="Y37" i="2"/>
  <c r="AI36" i="2"/>
  <c r="U36" i="2"/>
  <c r="Y35" i="2"/>
  <c r="AJ34" i="2"/>
  <c r="T34" i="2"/>
  <c r="U33" i="2"/>
  <c r="V32" i="2"/>
  <c r="W31" i="2"/>
  <c r="X30" i="2"/>
  <c r="Y29" i="2"/>
  <c r="AH28" i="2"/>
  <c r="Z28" i="2"/>
  <c r="R28" i="2"/>
  <c r="Z27" i="2"/>
  <c r="R27" i="2"/>
  <c r="AI26" i="2"/>
  <c r="U26" i="2"/>
  <c r="T11" i="3"/>
  <c r="W10" i="3"/>
  <c r="Z9" i="3"/>
  <c r="AC8" i="3"/>
  <c r="AI6" i="3"/>
  <c r="C6" i="3"/>
  <c r="Z94" i="2"/>
  <c r="V92" i="2"/>
  <c r="AK88" i="2"/>
  <c r="AI83" i="2"/>
  <c r="T74" i="2"/>
  <c r="X71" i="2"/>
  <c r="AK70" i="2"/>
  <c r="X69" i="2"/>
  <c r="AH68" i="2"/>
  <c r="Z68" i="2"/>
  <c r="Y67" i="2"/>
  <c r="X66" i="2"/>
  <c r="W65" i="2"/>
  <c r="D65" i="2"/>
  <c r="V64" i="2"/>
  <c r="AJ60" i="2"/>
  <c r="E52" i="2"/>
  <c r="X45" i="2"/>
  <c r="AH44" i="2"/>
  <c r="T44" i="2"/>
  <c r="X43" i="2"/>
  <c r="AH42" i="2"/>
  <c r="T42" i="2"/>
  <c r="X41" i="2"/>
  <c r="AH40" i="2"/>
  <c r="T40" i="2"/>
  <c r="X39" i="2"/>
  <c r="AH38" i="2"/>
  <c r="T38" i="2"/>
  <c r="X37" i="2"/>
  <c r="AH36" i="2"/>
  <c r="T36" i="2"/>
  <c r="X35" i="2"/>
  <c r="AA34" i="2"/>
  <c r="S34" i="2"/>
  <c r="AJ33" i="2"/>
  <c r="T33" i="2"/>
  <c r="D33" i="2"/>
  <c r="U32" i="2"/>
  <c r="V31" i="2"/>
  <c r="W30" i="2"/>
  <c r="X29" i="2"/>
  <c r="Y28" i="2"/>
  <c r="Y27" i="2"/>
  <c r="AH26" i="2"/>
  <c r="T26" i="2"/>
  <c r="S11" i="3"/>
  <c r="V10" i="3"/>
  <c r="Y9" i="3"/>
  <c r="AB8" i="3"/>
  <c r="AK5" i="3"/>
  <c r="E5" i="3"/>
  <c r="Y94" i="2"/>
  <c r="U92" i="2"/>
  <c r="AJ88" i="2"/>
  <c r="AA84" i="2"/>
  <c r="AH83" i="2"/>
  <c r="R74" i="2"/>
  <c r="W71" i="2"/>
  <c r="W69" i="2"/>
  <c r="Y68" i="2"/>
  <c r="X67" i="2"/>
  <c r="W66" i="2"/>
  <c r="D66" i="2"/>
  <c r="V65" i="2"/>
  <c r="AK64" i="2"/>
  <c r="U64" i="2"/>
  <c r="AI60" i="2"/>
  <c r="Y60" i="2"/>
  <c r="E51" i="2"/>
  <c r="W45" i="2"/>
  <c r="AA44" i="2"/>
  <c r="S44" i="2"/>
  <c r="W43" i="2"/>
  <c r="AA42" i="2"/>
  <c r="S42" i="2"/>
  <c r="W41" i="2"/>
  <c r="AA40" i="2"/>
  <c r="S40" i="2"/>
  <c r="W39" i="2"/>
  <c r="AA38" i="2"/>
  <c r="S38" i="2"/>
  <c r="W37" i="2"/>
  <c r="AA36" i="2"/>
  <c r="S36" i="2"/>
  <c r="W35" i="2"/>
  <c r="Z34" i="2"/>
  <c r="R34" i="2"/>
  <c r="AI33" i="2"/>
  <c r="AA33" i="2"/>
  <c r="S33" i="2"/>
  <c r="AJ32" i="2"/>
  <c r="T32" i="2"/>
  <c r="D32" i="2"/>
  <c r="U31" i="2"/>
  <c r="V30" i="2"/>
  <c r="W29" i="2"/>
  <c r="X28" i="2"/>
  <c r="X27" i="2"/>
  <c r="S26" i="2"/>
  <c r="AJ25" i="2"/>
  <c r="T8" i="3"/>
  <c r="W7" i="3"/>
  <c r="Z6" i="3"/>
  <c r="AC5" i="3"/>
  <c r="AJ91" i="2"/>
  <c r="AI90" i="2"/>
  <c r="AH89" i="2"/>
  <c r="V87" i="2"/>
  <c r="U86" i="2"/>
  <c r="T85" i="2"/>
  <c r="R84" i="2"/>
  <c r="AA83" i="2"/>
  <c r="U75" i="2"/>
  <c r="Z73" i="2"/>
  <c r="AK69" i="2"/>
  <c r="U69" i="2"/>
  <c r="W68" i="2"/>
  <c r="D68" i="2"/>
  <c r="V67" i="2"/>
  <c r="AK66" i="2"/>
  <c r="U66" i="2"/>
  <c r="AJ65" i="2"/>
  <c r="T65" i="2"/>
  <c r="AI64" i="2"/>
  <c r="AA64" i="2"/>
  <c r="R64" i="2"/>
  <c r="W60" i="2"/>
  <c r="E57" i="2"/>
  <c r="AI45" i="2"/>
  <c r="U45" i="2"/>
  <c r="Y44" i="2"/>
  <c r="AI43" i="2"/>
  <c r="U43" i="2"/>
  <c r="Y42" i="2"/>
  <c r="AI41" i="2"/>
  <c r="U41" i="2"/>
  <c r="Y40" i="2"/>
  <c r="AI39" i="2"/>
  <c r="U39" i="2"/>
  <c r="Y38" i="2"/>
  <c r="AI37" i="2"/>
  <c r="U37" i="2"/>
  <c r="Y36" i="2"/>
  <c r="AI35" i="2"/>
  <c r="U35" i="2"/>
  <c r="X34" i="2"/>
  <c r="Y33" i="2"/>
  <c r="AH32" i="2"/>
  <c r="Z32" i="2"/>
  <c r="R32" i="2"/>
  <c r="AI31" i="2"/>
  <c r="AA31" i="2"/>
  <c r="S31" i="2"/>
  <c r="AJ30" i="2"/>
  <c r="T30" i="2"/>
  <c r="D30" i="2"/>
  <c r="U29" i="2"/>
  <c r="V28" i="2"/>
  <c r="V27" i="2"/>
  <c r="AH25" i="2"/>
  <c r="V25" i="2"/>
  <c r="D67" i="2"/>
  <c r="AJ64" i="2"/>
  <c r="E50" i="2"/>
  <c r="Z40" i="2"/>
  <c r="V35" i="2"/>
  <c r="AA32" i="2"/>
  <c r="AH24" i="2"/>
  <c r="V24" i="2"/>
  <c r="W23" i="2"/>
  <c r="X22" i="2"/>
  <c r="Y21" i="2"/>
  <c r="AH20" i="2"/>
  <c r="Z20" i="2"/>
  <c r="R20" i="2"/>
  <c r="AI19" i="2"/>
  <c r="AA19" i="2"/>
  <c r="S19" i="2"/>
  <c r="AJ18" i="2"/>
  <c r="AA18" i="2"/>
  <c r="R18" i="2"/>
  <c r="AI17" i="2"/>
  <c r="AA17" i="2"/>
  <c r="S17" i="2"/>
  <c r="C17" i="2"/>
  <c r="U16" i="2"/>
  <c r="V15" i="2"/>
  <c r="W14" i="2"/>
  <c r="V13" i="2"/>
  <c r="W12" i="2"/>
  <c r="X11" i="2"/>
  <c r="Y10" i="2"/>
  <c r="AH9" i="2"/>
  <c r="Z9" i="2"/>
  <c r="R9" i="2"/>
  <c r="AI8" i="2"/>
  <c r="AA8" i="2"/>
  <c r="S8" i="2"/>
  <c r="AJ7" i="2"/>
  <c r="T7" i="2"/>
  <c r="D7" i="2"/>
  <c r="U6" i="2"/>
  <c r="W5" i="2"/>
  <c r="X4" i="2"/>
  <c r="J104" i="1"/>
  <c r="J99" i="1"/>
  <c r="W87" i="2"/>
  <c r="V45" i="2"/>
  <c r="R40" i="2"/>
  <c r="Y34" i="2"/>
  <c r="S32" i="2"/>
  <c r="U30" i="2"/>
  <c r="W28" i="2"/>
  <c r="U24" i="2"/>
  <c r="V23" i="2"/>
  <c r="W22" i="2"/>
  <c r="X21" i="2"/>
  <c r="Y20" i="2"/>
  <c r="AH19" i="2"/>
  <c r="Z19" i="2"/>
  <c r="R19" i="2"/>
  <c r="AI18" i="2"/>
  <c r="Z18" i="2"/>
  <c r="AH17" i="2"/>
  <c r="Z17" i="2"/>
  <c r="R17" i="2"/>
  <c r="AJ16" i="2"/>
  <c r="T16" i="2"/>
  <c r="D16" i="2"/>
  <c r="U15" i="2"/>
  <c r="V14" i="2"/>
  <c r="U13" i="2"/>
  <c r="V12" i="2"/>
  <c r="W11" i="2"/>
  <c r="X10" i="2"/>
  <c r="Y9" i="2"/>
  <c r="AH8" i="2"/>
  <c r="Z8" i="2"/>
  <c r="R8" i="2"/>
  <c r="AI7" i="2"/>
  <c r="AA7" i="2"/>
  <c r="S7" i="2"/>
  <c r="AJ6" i="2"/>
  <c r="T6" i="2"/>
  <c r="D6" i="2"/>
  <c r="V5" i="2"/>
  <c r="W4" i="2"/>
  <c r="K105" i="1"/>
  <c r="I104" i="1"/>
  <c r="V86" i="2"/>
  <c r="X68" i="2"/>
  <c r="V66" i="2"/>
  <c r="T64" i="2"/>
  <c r="Z44" i="2"/>
  <c r="V39" i="2"/>
  <c r="D26" i="2"/>
  <c r="T24" i="2"/>
  <c r="D24" i="2"/>
  <c r="U23" i="2"/>
  <c r="V22" i="2"/>
  <c r="W21" i="2"/>
  <c r="X20" i="2"/>
  <c r="Y19" i="2"/>
  <c r="AH18" i="2"/>
  <c r="Y18" i="2"/>
  <c r="Y17" i="2"/>
  <c r="AI16" i="2"/>
  <c r="AA16" i="2"/>
  <c r="S16" i="2"/>
  <c r="AJ15" i="2"/>
  <c r="T15" i="2"/>
  <c r="D15" i="2"/>
  <c r="U14" i="2"/>
  <c r="T13" i="2"/>
  <c r="D13" i="2"/>
  <c r="U12" i="2"/>
  <c r="V11" i="2"/>
  <c r="W10" i="2"/>
  <c r="X9" i="2"/>
  <c r="Y8" i="2"/>
  <c r="AH7" i="2"/>
  <c r="Z7" i="2"/>
  <c r="R7" i="2"/>
  <c r="AI6" i="2"/>
  <c r="AA6" i="2"/>
  <c r="S6" i="2"/>
  <c r="C6" i="2"/>
  <c r="U5" i="2"/>
  <c r="V4" i="2"/>
  <c r="J105" i="1"/>
  <c r="U85" i="2"/>
  <c r="V71" i="2"/>
  <c r="R44" i="2"/>
  <c r="Z38" i="2"/>
  <c r="AH33" i="2"/>
  <c r="AJ31" i="2"/>
  <c r="AI25" i="2"/>
  <c r="S24" i="2"/>
  <c r="AJ23" i="2"/>
  <c r="T23" i="2"/>
  <c r="U22" i="2"/>
  <c r="V21" i="2"/>
  <c r="W20" i="2"/>
  <c r="X19" i="2"/>
  <c r="X18" i="2"/>
  <c r="X17" i="2"/>
  <c r="AH16" i="2"/>
  <c r="Z16" i="2"/>
  <c r="R16" i="2"/>
  <c r="AI15" i="2"/>
  <c r="AA15" i="2"/>
  <c r="S15" i="2"/>
  <c r="AJ14" i="2"/>
  <c r="T14" i="2"/>
  <c r="D14" i="2"/>
  <c r="S13" i="2"/>
  <c r="AJ12" i="2"/>
  <c r="T12" i="2"/>
  <c r="U11" i="2"/>
  <c r="V10" i="2"/>
  <c r="W9" i="2"/>
  <c r="X8" i="2"/>
  <c r="Y7" i="2"/>
  <c r="AH6" i="2"/>
  <c r="Z6" i="2"/>
  <c r="R6" i="2"/>
  <c r="AJ5" i="2"/>
  <c r="T5" i="2"/>
  <c r="D5" i="2"/>
  <c r="U4" i="2"/>
  <c r="I105" i="1"/>
  <c r="K102" i="1"/>
  <c r="I100" i="1"/>
  <c r="K95" i="1"/>
  <c r="T84" i="2"/>
  <c r="AK65" i="2"/>
  <c r="AH60" i="2"/>
  <c r="V43" i="2"/>
  <c r="R38" i="2"/>
  <c r="Z33" i="2"/>
  <c r="W27" i="2"/>
  <c r="R24" i="2"/>
  <c r="AA23" i="2"/>
  <c r="S23" i="2"/>
  <c r="AJ22" i="2"/>
  <c r="T22" i="2"/>
  <c r="D22" i="2"/>
  <c r="U21" i="2"/>
  <c r="V20" i="2"/>
  <c r="W19" i="2"/>
  <c r="V18" i="2"/>
  <c r="W17" i="2"/>
  <c r="Y16" i="2"/>
  <c r="AH15" i="2"/>
  <c r="Z15" i="2"/>
  <c r="R15" i="2"/>
  <c r="AI14" i="2"/>
  <c r="AA14" i="2"/>
  <c r="S14" i="2"/>
  <c r="AJ13" i="2"/>
  <c r="R13" i="2"/>
  <c r="AA12" i="2"/>
  <c r="S12" i="2"/>
  <c r="AJ11" i="2"/>
  <c r="T11" i="2"/>
  <c r="D11" i="2"/>
  <c r="U10" i="2"/>
  <c r="V9" i="2"/>
  <c r="W8" i="2"/>
  <c r="X7" i="2"/>
  <c r="Y6" i="2"/>
  <c r="AI5" i="2"/>
  <c r="AA5" i="2"/>
  <c r="S5" i="2"/>
  <c r="AJ4" i="2"/>
  <c r="T4" i="2"/>
  <c r="D4" i="2"/>
  <c r="AA6" i="3"/>
  <c r="AI89" i="2"/>
  <c r="V75" i="2"/>
  <c r="V69" i="2"/>
  <c r="D60" i="2"/>
  <c r="V41" i="2"/>
  <c r="R36" i="2"/>
  <c r="AI32" i="2"/>
  <c r="D31" i="2"/>
  <c r="R26" i="2"/>
  <c r="R25" i="2"/>
  <c r="AI24" i="2"/>
  <c r="X24" i="2"/>
  <c r="X23" i="2"/>
  <c r="Y22" i="2"/>
  <c r="AH21" i="2"/>
  <c r="Z21" i="2"/>
  <c r="R21" i="2"/>
  <c r="AI20" i="2"/>
  <c r="AA20" i="2"/>
  <c r="S20" i="2"/>
  <c r="AJ19" i="2"/>
  <c r="T19" i="2"/>
  <c r="D19" i="2"/>
  <c r="S18" i="2"/>
  <c r="AJ17" i="2"/>
  <c r="T17" i="2"/>
  <c r="D17" i="2"/>
  <c r="V16" i="2"/>
  <c r="W15" i="2"/>
  <c r="X14" i="2"/>
  <c r="W13" i="2"/>
  <c r="X12" i="2"/>
  <c r="Y11" i="2"/>
  <c r="AH10" i="2"/>
  <c r="Z10" i="2"/>
  <c r="R10" i="2"/>
  <c r="AI9" i="2"/>
  <c r="AA9" i="2"/>
  <c r="S9" i="2"/>
  <c r="AJ8" i="2"/>
  <c r="T8" i="2"/>
  <c r="D8" i="2"/>
  <c r="U7" i="2"/>
  <c r="V6" i="2"/>
  <c r="X5" i="2"/>
  <c r="Y4" i="2"/>
  <c r="U8" i="3"/>
  <c r="D70" i="2"/>
  <c r="Z42" i="2"/>
  <c r="V29" i="2"/>
  <c r="AH22" i="2"/>
  <c r="AI21" i="2"/>
  <c r="AJ20" i="2"/>
  <c r="D20" i="2"/>
  <c r="AA11" i="2"/>
  <c r="AH5" i="2"/>
  <c r="AI4" i="2"/>
  <c r="K100" i="1"/>
  <c r="I95" i="1"/>
  <c r="K91" i="1"/>
  <c r="I89" i="1"/>
  <c r="N88" i="1"/>
  <c r="J85" i="1"/>
  <c r="N81" i="1"/>
  <c r="T80" i="1"/>
  <c r="R79" i="1"/>
  <c r="J79" i="1"/>
  <c r="P78" i="1"/>
  <c r="R77" i="1"/>
  <c r="J77" i="1"/>
  <c r="P76" i="1"/>
  <c r="N75" i="1"/>
  <c r="T74" i="1"/>
  <c r="R73" i="1"/>
  <c r="I73" i="1"/>
  <c r="N72" i="1"/>
  <c r="P71" i="1"/>
  <c r="R70" i="1"/>
  <c r="J70" i="1"/>
  <c r="P69" i="1"/>
  <c r="N68" i="1"/>
  <c r="Q63" i="1"/>
  <c r="I63" i="1"/>
  <c r="N62" i="1"/>
  <c r="S61" i="1"/>
  <c r="K61" i="1"/>
  <c r="P60" i="1"/>
  <c r="R58" i="1"/>
  <c r="J58" i="1"/>
  <c r="O57" i="1"/>
  <c r="T56" i="1"/>
  <c r="Q55" i="1"/>
  <c r="I55" i="1"/>
  <c r="O54" i="1"/>
  <c r="U53" i="1"/>
  <c r="S52" i="1"/>
  <c r="K52" i="1"/>
  <c r="Q51" i="1"/>
  <c r="I51" i="1"/>
  <c r="O50" i="1"/>
  <c r="U49" i="1"/>
  <c r="S48" i="1"/>
  <c r="K48" i="1"/>
  <c r="Q47" i="1"/>
  <c r="I47" i="1"/>
  <c r="O46" i="1"/>
  <c r="U45" i="1"/>
  <c r="S44" i="1"/>
  <c r="K44" i="1"/>
  <c r="Q43" i="1"/>
  <c r="I43" i="1"/>
  <c r="O42" i="1"/>
  <c r="U41" i="1"/>
  <c r="S40" i="1"/>
  <c r="K40" i="1"/>
  <c r="Q39" i="1"/>
  <c r="I39" i="1"/>
  <c r="O38" i="1"/>
  <c r="U37" i="1"/>
  <c r="K37" i="1"/>
  <c r="Q36" i="1"/>
  <c r="I36" i="1"/>
  <c r="O35" i="1"/>
  <c r="S34" i="1"/>
  <c r="K34" i="1"/>
  <c r="Q33" i="1"/>
  <c r="I33" i="1"/>
  <c r="O32" i="1"/>
  <c r="U31" i="1"/>
  <c r="R26" i="1"/>
  <c r="J26" i="1"/>
  <c r="P25" i="1"/>
  <c r="X7" i="3"/>
  <c r="R42" i="2"/>
  <c r="AA22" i="2"/>
  <c r="D18" i="2"/>
  <c r="Z11" i="2"/>
  <c r="AA10" i="2"/>
  <c r="AH4" i="2"/>
  <c r="K103" i="1"/>
  <c r="J100" i="1"/>
  <c r="K98" i="1"/>
  <c r="J91" i="1"/>
  <c r="K86" i="1"/>
  <c r="I85" i="1"/>
  <c r="U81" i="1"/>
  <c r="S80" i="1"/>
  <c r="K80" i="1"/>
  <c r="Q79" i="1"/>
  <c r="I79" i="1"/>
  <c r="O78" i="1"/>
  <c r="Q77" i="1"/>
  <c r="I77" i="1"/>
  <c r="O76" i="1"/>
  <c r="U75" i="1"/>
  <c r="S74" i="1"/>
  <c r="K74" i="1"/>
  <c r="Q73" i="1"/>
  <c r="U72" i="1"/>
  <c r="J72" i="1"/>
  <c r="O71" i="1"/>
  <c r="Q70" i="1"/>
  <c r="I70" i="1"/>
  <c r="O69" i="1"/>
  <c r="U68" i="1"/>
  <c r="P63" i="1"/>
  <c r="R61" i="1"/>
  <c r="J61" i="1"/>
  <c r="O60" i="1"/>
  <c r="T59" i="1"/>
  <c r="Q58" i="1"/>
  <c r="I58" i="1"/>
  <c r="N57" i="1"/>
  <c r="S56" i="1"/>
  <c r="K56" i="1"/>
  <c r="P55" i="1"/>
  <c r="N54" i="1"/>
  <c r="T53" i="1"/>
  <c r="R52" i="1"/>
  <c r="J52" i="1"/>
  <c r="P51" i="1"/>
  <c r="N50" i="1"/>
  <c r="T49" i="1"/>
  <c r="R48" i="1"/>
  <c r="J48" i="1"/>
  <c r="P47" i="1"/>
  <c r="N46" i="1"/>
  <c r="T45" i="1"/>
  <c r="R44" i="1"/>
  <c r="J44" i="1"/>
  <c r="P43" i="1"/>
  <c r="N42" i="1"/>
  <c r="T41" i="1"/>
  <c r="R40" i="1"/>
  <c r="J40" i="1"/>
  <c r="P39" i="1"/>
  <c r="N38" i="1"/>
  <c r="T37" i="1"/>
  <c r="J37" i="1"/>
  <c r="P36" i="1"/>
  <c r="N35" i="1"/>
  <c r="R34" i="1"/>
  <c r="J34" i="1"/>
  <c r="P33" i="1"/>
  <c r="N32" i="1"/>
  <c r="T31" i="1"/>
  <c r="Q26" i="1"/>
  <c r="I26" i="1"/>
  <c r="O25" i="1"/>
  <c r="F25" i="1"/>
  <c r="N24" i="1"/>
  <c r="V37" i="2"/>
  <c r="D25" i="2"/>
  <c r="Z22" i="2"/>
  <c r="AA21" i="2"/>
  <c r="AH14" i="2"/>
  <c r="AI13" i="2"/>
  <c r="Z12" i="2"/>
  <c r="S11" i="2"/>
  <c r="T10" i="2"/>
  <c r="U9" i="2"/>
  <c r="V8" i="2"/>
  <c r="W7" i="2"/>
  <c r="X6" i="2"/>
  <c r="Z5" i="2"/>
  <c r="AA4" i="2"/>
  <c r="J103" i="1"/>
  <c r="J98" i="1"/>
  <c r="K92" i="1"/>
  <c r="I91" i="1"/>
  <c r="T88" i="1"/>
  <c r="J86" i="1"/>
  <c r="T81" i="1"/>
  <c r="R80" i="1"/>
  <c r="J80" i="1"/>
  <c r="P79" i="1"/>
  <c r="N78" i="1"/>
  <c r="P77" i="1"/>
  <c r="N76" i="1"/>
  <c r="T75" i="1"/>
  <c r="R74" i="1"/>
  <c r="J74" i="1"/>
  <c r="P73" i="1"/>
  <c r="T72" i="1"/>
  <c r="I72" i="1"/>
  <c r="N71" i="1"/>
  <c r="P70" i="1"/>
  <c r="N69" i="1"/>
  <c r="T68" i="1"/>
  <c r="O63" i="1"/>
  <c r="T62" i="1"/>
  <c r="Q61" i="1"/>
  <c r="I61" i="1"/>
  <c r="N60" i="1"/>
  <c r="S59" i="1"/>
  <c r="K59" i="1"/>
  <c r="P58" i="1"/>
  <c r="R56" i="1"/>
  <c r="J56" i="1"/>
  <c r="O55" i="1"/>
  <c r="U54" i="1"/>
  <c r="S53" i="1"/>
  <c r="K53" i="1"/>
  <c r="Q52" i="1"/>
  <c r="I52" i="1"/>
  <c r="O51" i="1"/>
  <c r="U50" i="1"/>
  <c r="S49" i="1"/>
  <c r="K49" i="1"/>
  <c r="Q48" i="1"/>
  <c r="I48" i="1"/>
  <c r="O47" i="1"/>
  <c r="U46" i="1"/>
  <c r="S45" i="1"/>
  <c r="K45" i="1"/>
  <c r="Q44" i="1"/>
  <c r="I44" i="1"/>
  <c r="O43" i="1"/>
  <c r="U42" i="1"/>
  <c r="S41" i="1"/>
  <c r="K41" i="1"/>
  <c r="Q40" i="1"/>
  <c r="I40" i="1"/>
  <c r="O39" i="1"/>
  <c r="U38" i="1"/>
  <c r="S37" i="1"/>
  <c r="I37" i="1"/>
  <c r="O36" i="1"/>
  <c r="U35" i="1"/>
  <c r="Q34" i="1"/>
  <c r="I34" i="1"/>
  <c r="O33" i="1"/>
  <c r="U32" i="1"/>
  <c r="S31" i="1"/>
  <c r="K31" i="1"/>
  <c r="P26" i="1"/>
  <c r="N25" i="1"/>
  <c r="U24" i="1"/>
  <c r="W67" i="2"/>
  <c r="Z36" i="2"/>
  <c r="AJ24" i="2"/>
  <c r="Z23" i="2"/>
  <c r="S22" i="2"/>
  <c r="T21" i="2"/>
  <c r="U20" i="2"/>
  <c r="V19" i="2"/>
  <c r="U18" i="2"/>
  <c r="AH13" i="2"/>
  <c r="Y12" i="2"/>
  <c r="R11" i="2"/>
  <c r="S10" i="2"/>
  <c r="T9" i="2"/>
  <c r="U8" i="2"/>
  <c r="V7" i="2"/>
  <c r="W6" i="2"/>
  <c r="Y5" i="2"/>
  <c r="Z4" i="2"/>
  <c r="I103" i="1"/>
  <c r="I98" i="1"/>
  <c r="J92" i="1"/>
  <c r="S88" i="1"/>
  <c r="K88" i="1"/>
  <c r="I86" i="1"/>
  <c r="S81" i="1"/>
  <c r="K81" i="1"/>
  <c r="Q80" i="1"/>
  <c r="I80" i="1"/>
  <c r="O79" i="1"/>
  <c r="U78" i="1"/>
  <c r="J78" i="1"/>
  <c r="O77" i="1"/>
  <c r="U76" i="1"/>
  <c r="S75" i="1"/>
  <c r="K75" i="1"/>
  <c r="Q74" i="1"/>
  <c r="I74" i="1"/>
  <c r="O73" i="1"/>
  <c r="S72" i="1"/>
  <c r="U71" i="1"/>
  <c r="J71" i="1"/>
  <c r="O70" i="1"/>
  <c r="U69" i="1"/>
  <c r="S68" i="1"/>
  <c r="J68" i="1"/>
  <c r="N63" i="1"/>
  <c r="S62" i="1"/>
  <c r="K62" i="1"/>
  <c r="P61" i="1"/>
  <c r="R59" i="1"/>
  <c r="J59" i="1"/>
  <c r="O58" i="1"/>
  <c r="T57" i="1"/>
  <c r="Q56" i="1"/>
  <c r="I56" i="1"/>
  <c r="N55" i="1"/>
  <c r="T54" i="1"/>
  <c r="R53" i="1"/>
  <c r="J53" i="1"/>
  <c r="P52" i="1"/>
  <c r="N51" i="1"/>
  <c r="T50" i="1"/>
  <c r="R49" i="1"/>
  <c r="J49" i="1"/>
  <c r="P48" i="1"/>
  <c r="N47" i="1"/>
  <c r="T46" i="1"/>
  <c r="R45" i="1"/>
  <c r="J45" i="1"/>
  <c r="P44" i="1"/>
  <c r="N43" i="1"/>
  <c r="T42" i="1"/>
  <c r="R41" i="1"/>
  <c r="J41" i="1"/>
  <c r="P40" i="1"/>
  <c r="N39" i="1"/>
  <c r="T38" i="1"/>
  <c r="R37" i="1"/>
  <c r="N36" i="1"/>
  <c r="T35" i="1"/>
  <c r="P34" i="1"/>
  <c r="N33" i="1"/>
  <c r="T32" i="1"/>
  <c r="R31" i="1"/>
  <c r="J31" i="1"/>
  <c r="O26" i="1"/>
  <c r="U25" i="1"/>
  <c r="T24" i="1"/>
  <c r="R23" i="1"/>
  <c r="AK91" i="2"/>
  <c r="R33" i="2"/>
  <c r="Y23" i="2"/>
  <c r="R22" i="2"/>
  <c r="S21" i="2"/>
  <c r="T20" i="2"/>
  <c r="U19" i="2"/>
  <c r="T18" i="2"/>
  <c r="V17" i="2"/>
  <c r="X16" i="2"/>
  <c r="Y15" i="2"/>
  <c r="Z14" i="2"/>
  <c r="Y13" i="2"/>
  <c r="R12" i="2"/>
  <c r="R5" i="2"/>
  <c r="S4" i="2"/>
  <c r="J102" i="1"/>
  <c r="K94" i="1"/>
  <c r="I92" i="1"/>
  <c r="R88" i="1"/>
  <c r="J88" i="1"/>
  <c r="R81" i="1"/>
  <c r="J81" i="1"/>
  <c r="P80" i="1"/>
  <c r="N79" i="1"/>
  <c r="T78" i="1"/>
  <c r="I78" i="1"/>
  <c r="N77" i="1"/>
  <c r="T76" i="1"/>
  <c r="R75" i="1"/>
  <c r="J75" i="1"/>
  <c r="P74" i="1"/>
  <c r="N73" i="1"/>
  <c r="R72" i="1"/>
  <c r="T71" i="1"/>
  <c r="I71" i="1"/>
  <c r="N70" i="1"/>
  <c r="T69" i="1"/>
  <c r="R68" i="1"/>
  <c r="I68" i="1"/>
  <c r="R62" i="1"/>
  <c r="J62" i="1"/>
  <c r="O61" i="1"/>
  <c r="T60" i="1"/>
  <c r="Q59" i="1"/>
  <c r="I59" i="1"/>
  <c r="N58" i="1"/>
  <c r="S57" i="1"/>
  <c r="K57" i="1"/>
  <c r="P56" i="1"/>
  <c r="S54" i="1"/>
  <c r="K54" i="1"/>
  <c r="Q53" i="1"/>
  <c r="I53" i="1"/>
  <c r="O52" i="1"/>
  <c r="U51" i="1"/>
  <c r="S50" i="1"/>
  <c r="K50" i="1"/>
  <c r="Q49" i="1"/>
  <c r="I49" i="1"/>
  <c r="O48" i="1"/>
  <c r="U47" i="1"/>
  <c r="S46" i="1"/>
  <c r="K46" i="1"/>
  <c r="Q45" i="1"/>
  <c r="I45" i="1"/>
  <c r="O44" i="1"/>
  <c r="U43" i="1"/>
  <c r="S42" i="1"/>
  <c r="K42" i="1"/>
  <c r="Q41" i="1"/>
  <c r="I41" i="1"/>
  <c r="O40" i="1"/>
  <c r="U39" i="1"/>
  <c r="S38" i="1"/>
  <c r="K38" i="1"/>
  <c r="Q37" i="1"/>
  <c r="U36" i="1"/>
  <c r="S35" i="1"/>
  <c r="J35" i="1"/>
  <c r="O34" i="1"/>
  <c r="U33" i="1"/>
  <c r="S32" i="1"/>
  <c r="K32" i="1"/>
  <c r="Q31" i="1"/>
  <c r="I31" i="1"/>
  <c r="N26" i="1"/>
  <c r="T25" i="1"/>
  <c r="S24" i="1"/>
  <c r="K24" i="1"/>
  <c r="AJ90" i="2"/>
  <c r="U65" i="2"/>
  <c r="R23" i="2"/>
  <c r="U17" i="2"/>
  <c r="W16" i="2"/>
  <c r="X15" i="2"/>
  <c r="Y14" i="2"/>
  <c r="X13" i="2"/>
  <c r="R4" i="2"/>
  <c r="I102" i="1"/>
  <c r="K99" i="1"/>
  <c r="J94" i="1"/>
  <c r="Q88" i="1"/>
  <c r="I88" i="1"/>
  <c r="K84" i="1"/>
  <c r="Q81" i="1"/>
  <c r="I81" i="1"/>
  <c r="O80" i="1"/>
  <c r="U79" i="1"/>
  <c r="S78" i="1"/>
  <c r="U77" i="1"/>
  <c r="S76" i="1"/>
  <c r="K76" i="1"/>
  <c r="Q75" i="1"/>
  <c r="I75" i="1"/>
  <c r="O74" i="1"/>
  <c r="U73" i="1"/>
  <c r="Q72" i="1"/>
  <c r="S71" i="1"/>
  <c r="U70" i="1"/>
  <c r="S69" i="1"/>
  <c r="K69" i="1"/>
  <c r="Q68" i="1"/>
  <c r="T63" i="1"/>
  <c r="Q62" i="1"/>
  <c r="I62" i="1"/>
  <c r="N61" i="1"/>
  <c r="S60" i="1"/>
  <c r="K60" i="1"/>
  <c r="P59" i="1"/>
  <c r="R57" i="1"/>
  <c r="J57" i="1"/>
  <c r="O56" i="1"/>
  <c r="T55" i="1"/>
  <c r="R54" i="1"/>
  <c r="J54" i="1"/>
  <c r="P53" i="1"/>
  <c r="N52" i="1"/>
  <c r="T51" i="1"/>
  <c r="R50" i="1"/>
  <c r="J50" i="1"/>
  <c r="P49" i="1"/>
  <c r="N48" i="1"/>
  <c r="T47" i="1"/>
  <c r="R46" i="1"/>
  <c r="J46" i="1"/>
  <c r="P45" i="1"/>
  <c r="N44" i="1"/>
  <c r="T43" i="1"/>
  <c r="R42" i="1"/>
  <c r="J42" i="1"/>
  <c r="P41" i="1"/>
  <c r="N40" i="1"/>
  <c r="T39" i="1"/>
  <c r="R38" i="1"/>
  <c r="J38" i="1"/>
  <c r="P37" i="1"/>
  <c r="T36" i="1"/>
  <c r="R35" i="1"/>
  <c r="I35" i="1"/>
  <c r="N34" i="1"/>
  <c r="T33" i="1"/>
  <c r="R32" i="1"/>
  <c r="J32" i="1"/>
  <c r="P31" i="1"/>
  <c r="S25" i="1"/>
  <c r="K25" i="1"/>
  <c r="R24" i="1"/>
  <c r="X60" i="2"/>
  <c r="T31" i="2"/>
  <c r="R14" i="2"/>
  <c r="AI11" i="2"/>
  <c r="AJ10" i="2"/>
  <c r="D10" i="2"/>
  <c r="I99" i="1"/>
  <c r="I94" i="1"/>
  <c r="K89" i="1"/>
  <c r="P88" i="1"/>
  <c r="J84" i="1"/>
  <c r="P81" i="1"/>
  <c r="N80" i="1"/>
  <c r="T79" i="1"/>
  <c r="R78" i="1"/>
  <c r="T77" i="1"/>
  <c r="R76" i="1"/>
  <c r="J76" i="1"/>
  <c r="P75" i="1"/>
  <c r="N74" i="1"/>
  <c r="T73" i="1"/>
  <c r="P72" i="1"/>
  <c r="R71" i="1"/>
  <c r="T70" i="1"/>
  <c r="R69" i="1"/>
  <c r="J69" i="1"/>
  <c r="P68" i="1"/>
  <c r="S63" i="1"/>
  <c r="K63" i="1"/>
  <c r="P62" i="1"/>
  <c r="R60" i="1"/>
  <c r="J60" i="1"/>
  <c r="O59" i="1"/>
  <c r="T58" i="1"/>
  <c r="Q57" i="1"/>
  <c r="I57" i="1"/>
  <c r="N56" i="1"/>
  <c r="S55" i="1"/>
  <c r="K55" i="1"/>
  <c r="Q54" i="1"/>
  <c r="I54" i="1"/>
  <c r="O53" i="1"/>
  <c r="U52" i="1"/>
  <c r="S51" i="1"/>
  <c r="K51" i="1"/>
  <c r="Q50" i="1"/>
  <c r="I50" i="1"/>
  <c r="O49" i="1"/>
  <c r="U48" i="1"/>
  <c r="S47" i="1"/>
  <c r="K47" i="1"/>
  <c r="Q46" i="1"/>
  <c r="I46" i="1"/>
  <c r="O45" i="1"/>
  <c r="U44" i="1"/>
  <c r="S43" i="1"/>
  <c r="K43" i="1"/>
  <c r="Q42" i="1"/>
  <c r="I42" i="1"/>
  <c r="O41" i="1"/>
  <c r="U40" i="1"/>
  <c r="S39" i="1"/>
  <c r="K39" i="1"/>
  <c r="Q38" i="1"/>
  <c r="I38" i="1"/>
  <c r="O37" i="1"/>
  <c r="S36" i="1"/>
  <c r="K36" i="1"/>
  <c r="Q35" i="1"/>
  <c r="U34" i="1"/>
  <c r="S33" i="1"/>
  <c r="K33" i="1"/>
  <c r="Q32" i="1"/>
  <c r="I32" i="1"/>
  <c r="O31" i="1"/>
  <c r="T26" i="1"/>
  <c r="R25" i="1"/>
  <c r="J25" i="1"/>
  <c r="X25" i="2"/>
  <c r="AI22" i="2"/>
  <c r="AJ21" i="2"/>
  <c r="D21" i="2"/>
  <c r="AH11" i="2"/>
  <c r="AI10" i="2"/>
  <c r="AJ9" i="2"/>
  <c r="D9" i="2"/>
  <c r="K104" i="1"/>
  <c r="J95" i="1"/>
  <c r="J89" i="1"/>
  <c r="O88" i="1"/>
  <c r="K85" i="1"/>
  <c r="I84" i="1"/>
  <c r="O81" i="1"/>
  <c r="U80" i="1"/>
  <c r="S79" i="1"/>
  <c r="K79" i="1"/>
  <c r="Q78" i="1"/>
  <c r="S77" i="1"/>
  <c r="K77" i="1"/>
  <c r="Q76" i="1"/>
  <c r="I76" i="1"/>
  <c r="O75" i="1"/>
  <c r="U74" i="1"/>
  <c r="S73" i="1"/>
  <c r="J73" i="1"/>
  <c r="O72" i="1"/>
  <c r="Q71" i="1"/>
  <c r="S70" i="1"/>
  <c r="K70" i="1"/>
  <c r="Q69" i="1"/>
  <c r="I69" i="1"/>
  <c r="O68" i="1"/>
  <c r="R63" i="1"/>
  <c r="J63" i="1"/>
  <c r="O62" i="1"/>
  <c r="T61" i="1"/>
  <c r="Q60" i="1"/>
  <c r="I60" i="1"/>
  <c r="N59" i="1"/>
  <c r="S58" i="1"/>
  <c r="K58" i="1"/>
  <c r="P57" i="1"/>
  <c r="R55" i="1"/>
  <c r="J55" i="1"/>
  <c r="P54" i="1"/>
  <c r="N53" i="1"/>
  <c r="T52" i="1"/>
  <c r="R51" i="1"/>
  <c r="J51" i="1"/>
  <c r="P50" i="1"/>
  <c r="N49" i="1"/>
  <c r="T48" i="1"/>
  <c r="R47" i="1"/>
  <c r="J47" i="1"/>
  <c r="P46" i="1"/>
  <c r="N45" i="1"/>
  <c r="T44" i="1"/>
  <c r="R43" i="1"/>
  <c r="J43" i="1"/>
  <c r="P42" i="1"/>
  <c r="N41" i="1"/>
  <c r="T40" i="1"/>
  <c r="R39" i="1"/>
  <c r="J39" i="1"/>
  <c r="P38" i="1"/>
  <c r="N37" i="1"/>
  <c r="R36" i="1"/>
  <c r="J36" i="1"/>
  <c r="P35" i="1"/>
  <c r="T34" i="1"/>
  <c r="R33" i="1"/>
  <c r="J33" i="1"/>
  <c r="P32" i="1"/>
  <c r="N31" i="1"/>
  <c r="S26" i="1"/>
  <c r="K26" i="1"/>
  <c r="Q25" i="1"/>
  <c r="I25" i="1"/>
  <c r="P24" i="1"/>
  <c r="Q24" i="1"/>
  <c r="P23" i="1"/>
  <c r="J22" i="1"/>
  <c r="Q20" i="1"/>
  <c r="I20" i="1"/>
  <c r="O18" i="1"/>
  <c r="F18" i="1"/>
  <c r="S16" i="1"/>
  <c r="K16" i="1"/>
  <c r="R15" i="1"/>
  <c r="J15" i="1"/>
  <c r="Q14" i="1"/>
  <c r="I14" i="1"/>
  <c r="P13" i="1"/>
  <c r="K12" i="1"/>
  <c r="R11" i="1"/>
  <c r="J11" i="1"/>
  <c r="Q10" i="1"/>
  <c r="I10" i="1"/>
  <c r="P9" i="1"/>
  <c r="N8" i="1"/>
  <c r="S7" i="1"/>
  <c r="K7" i="1"/>
  <c r="P6" i="1"/>
  <c r="R4" i="1"/>
  <c r="J4" i="1"/>
  <c r="AB24" i="2"/>
  <c r="O24" i="1"/>
  <c r="O23" i="1"/>
  <c r="Q22" i="1"/>
  <c r="I22" i="1"/>
  <c r="P20" i="1"/>
  <c r="K19" i="1"/>
  <c r="N18" i="1"/>
  <c r="T17" i="1"/>
  <c r="R16" i="1"/>
  <c r="J16" i="1"/>
  <c r="Q15" i="1"/>
  <c r="I15" i="1"/>
  <c r="P14" i="1"/>
  <c r="O13" i="1"/>
  <c r="F13" i="1"/>
  <c r="J12" i="1"/>
  <c r="Q11" i="1"/>
  <c r="I11" i="1"/>
  <c r="P10" i="1"/>
  <c r="O9" i="1"/>
  <c r="F9" i="1"/>
  <c r="R7" i="1"/>
  <c r="J7" i="1"/>
  <c r="O6" i="1"/>
  <c r="T5" i="1"/>
  <c r="Q4" i="1"/>
  <c r="I4" i="1"/>
  <c r="J24" i="1"/>
  <c r="N23" i="1"/>
  <c r="P22" i="1"/>
  <c r="O20" i="1"/>
  <c r="F20" i="1"/>
  <c r="J19" i="1"/>
  <c r="S17" i="1"/>
  <c r="K17" i="1"/>
  <c r="Q16" i="1"/>
  <c r="I16" i="1"/>
  <c r="P15" i="1"/>
  <c r="O14" i="1"/>
  <c r="F14" i="1"/>
  <c r="N13" i="1"/>
  <c r="Q12" i="1"/>
  <c r="I12" i="1"/>
  <c r="P11" i="1"/>
  <c r="O10" i="1"/>
  <c r="F10" i="1"/>
  <c r="N9" i="1"/>
  <c r="T8" i="1"/>
  <c r="Q7" i="1"/>
  <c r="I7" i="1"/>
  <c r="N6" i="1"/>
  <c r="S5" i="1"/>
  <c r="K5" i="1"/>
  <c r="P4" i="1"/>
  <c r="N4" i="1"/>
  <c r="I24" i="1"/>
  <c r="O22" i="1"/>
  <c r="F22" i="1"/>
  <c r="N20" i="1"/>
  <c r="Q19" i="1"/>
  <c r="I19" i="1"/>
  <c r="R17" i="1"/>
  <c r="J17" i="1"/>
  <c r="P16" i="1"/>
  <c r="O15" i="1"/>
  <c r="F15" i="1"/>
  <c r="N14" i="1"/>
  <c r="U13" i="1"/>
  <c r="P12" i="1"/>
  <c r="O11" i="1"/>
  <c r="F11" i="1"/>
  <c r="N10" i="1"/>
  <c r="U9" i="1"/>
  <c r="S8" i="1"/>
  <c r="K8" i="1"/>
  <c r="P7" i="1"/>
  <c r="R5" i="1"/>
  <c r="J5" i="1"/>
  <c r="O4" i="1"/>
  <c r="F24" i="1"/>
  <c r="N22" i="1"/>
  <c r="J21" i="1"/>
  <c r="P19" i="1"/>
  <c r="K18" i="1"/>
  <c r="Q17" i="1"/>
  <c r="I17" i="1"/>
  <c r="O16" i="1"/>
  <c r="F16" i="1"/>
  <c r="N15" i="1"/>
  <c r="U14" i="1"/>
  <c r="T13" i="1"/>
  <c r="O12" i="1"/>
  <c r="F12" i="1"/>
  <c r="N11" i="1"/>
  <c r="U10" i="1"/>
  <c r="T9" i="1"/>
  <c r="R8" i="1"/>
  <c r="J8" i="1"/>
  <c r="O7" i="1"/>
  <c r="T6" i="1"/>
  <c r="Q5" i="1"/>
  <c r="I5" i="1"/>
  <c r="T23" i="1"/>
  <c r="K23" i="1"/>
  <c r="I21" i="1"/>
  <c r="O19" i="1"/>
  <c r="F19" i="1"/>
  <c r="J18" i="1"/>
  <c r="P17" i="1"/>
  <c r="N16" i="1"/>
  <c r="U15" i="1"/>
  <c r="T14" i="1"/>
  <c r="S13" i="1"/>
  <c r="K13" i="1"/>
  <c r="N12" i="1"/>
  <c r="U11" i="1"/>
  <c r="T10" i="1"/>
  <c r="S9" i="1"/>
  <c r="K9" i="1"/>
  <c r="Q8" i="1"/>
  <c r="I8" i="1"/>
  <c r="N7" i="1"/>
  <c r="S6" i="1"/>
  <c r="K6" i="1"/>
  <c r="P5" i="1"/>
  <c r="S23" i="1"/>
  <c r="J23" i="1"/>
  <c r="K20" i="1"/>
  <c r="N19" i="1"/>
  <c r="Q18" i="1"/>
  <c r="I18" i="1"/>
  <c r="O17" i="1"/>
  <c r="U16" i="1"/>
  <c r="T15" i="1"/>
  <c r="S14" i="1"/>
  <c r="K14" i="1"/>
  <c r="R13" i="1"/>
  <c r="J13" i="1"/>
  <c r="T11" i="1"/>
  <c r="S10" i="1"/>
  <c r="K10" i="1"/>
  <c r="R9" i="1"/>
  <c r="J9" i="1"/>
  <c r="P8" i="1"/>
  <c r="R6" i="1"/>
  <c r="J6" i="1"/>
  <c r="O5" i="1"/>
  <c r="T4" i="1"/>
  <c r="Q23" i="1"/>
  <c r="I23" i="1"/>
  <c r="K22" i="1"/>
  <c r="F21" i="1"/>
  <c r="J20" i="1"/>
  <c r="P18" i="1"/>
  <c r="N17" i="1"/>
  <c r="T16" i="1"/>
  <c r="S15" i="1"/>
  <c r="K15" i="1"/>
  <c r="R14" i="1"/>
  <c r="J14" i="1"/>
  <c r="Q13" i="1"/>
  <c r="I13" i="1"/>
  <c r="S11" i="1"/>
  <c r="K11" i="1"/>
  <c r="R10" i="1"/>
  <c r="J10" i="1"/>
  <c r="Q9" i="1"/>
  <c r="I9" i="1"/>
  <c r="O8" i="1"/>
  <c r="T7" i="1"/>
  <c r="Q6" i="1"/>
  <c r="I6" i="1"/>
  <c r="N5" i="1"/>
  <c r="S4" i="1"/>
  <c r="K4" i="1"/>
  <c r="L24" i="2" l="1"/>
  <c r="E10" i="2"/>
  <c r="E22" i="2"/>
  <c r="E11" i="2"/>
  <c r="F14" i="2"/>
  <c r="H31" i="2"/>
  <c r="F4" i="2"/>
  <c r="K16" i="2"/>
  <c r="I17" i="2"/>
  <c r="F23" i="2"/>
  <c r="I65" i="2"/>
  <c r="G4" i="2"/>
  <c r="F5" i="2"/>
  <c r="F12" i="2"/>
  <c r="J17" i="2"/>
  <c r="H18" i="2"/>
  <c r="I19" i="2"/>
  <c r="H20" i="2"/>
  <c r="G21" i="2"/>
  <c r="F22" i="2"/>
  <c r="F33" i="2"/>
  <c r="K6" i="2"/>
  <c r="J7" i="2"/>
  <c r="I8" i="2"/>
  <c r="H9" i="2"/>
  <c r="G10" i="2"/>
  <c r="F11" i="2"/>
  <c r="I18" i="2"/>
  <c r="J19" i="2"/>
  <c r="I20" i="2"/>
  <c r="H21" i="2"/>
  <c r="G22" i="2"/>
  <c r="K67" i="2"/>
  <c r="K7" i="2"/>
  <c r="J8" i="2"/>
  <c r="I9" i="2"/>
  <c r="H10" i="2"/>
  <c r="G11" i="2"/>
  <c r="E13" i="2"/>
  <c r="L7" i="3"/>
  <c r="E4" i="2"/>
  <c r="E21" i="2"/>
  <c r="J29" i="2"/>
  <c r="I8" i="3"/>
  <c r="J6" i="2"/>
  <c r="I7" i="2"/>
  <c r="H8" i="2"/>
  <c r="G9" i="2"/>
  <c r="E9" i="2"/>
  <c r="F10" i="2"/>
  <c r="K13" i="2"/>
  <c r="K15" i="2"/>
  <c r="J16" i="2"/>
  <c r="H17" i="2"/>
  <c r="G18" i="2"/>
  <c r="H19" i="2"/>
  <c r="G20" i="2"/>
  <c r="E20" i="2"/>
  <c r="F21" i="2"/>
  <c r="E24" i="2"/>
  <c r="F25" i="2"/>
  <c r="F26" i="2"/>
  <c r="E32" i="2"/>
  <c r="J69" i="2"/>
  <c r="J75" i="2"/>
  <c r="E89" i="2"/>
  <c r="H4" i="2"/>
  <c r="G5" i="2"/>
  <c r="E5" i="2"/>
  <c r="K8" i="2"/>
  <c r="J9" i="2"/>
  <c r="I10" i="2"/>
  <c r="H11" i="2"/>
  <c r="G12" i="2"/>
  <c r="F13" i="2"/>
  <c r="G14" i="2"/>
  <c r="E14" i="2"/>
  <c r="F15" i="2"/>
  <c r="K17" i="2"/>
  <c r="J18" i="2"/>
  <c r="K19" i="2"/>
  <c r="J20" i="2"/>
  <c r="I21" i="2"/>
  <c r="H22" i="2"/>
  <c r="G23" i="2"/>
  <c r="F24" i="2"/>
  <c r="K27" i="2"/>
  <c r="E60" i="2"/>
  <c r="I4" i="2"/>
  <c r="H5" i="2"/>
  <c r="F6" i="2"/>
  <c r="K9" i="2"/>
  <c r="J10" i="2"/>
  <c r="I11" i="2"/>
  <c r="H12" i="2"/>
  <c r="G13" i="2"/>
  <c r="H14" i="2"/>
  <c r="G15" i="2"/>
  <c r="E15" i="2"/>
  <c r="F16" i="2"/>
  <c r="K20" i="2"/>
  <c r="J21" i="2"/>
  <c r="I22" i="2"/>
  <c r="H23" i="2"/>
  <c r="G24" i="2"/>
  <c r="E25" i="2"/>
  <c r="J71" i="2"/>
  <c r="I85" i="2"/>
  <c r="J4" i="2"/>
  <c r="I5" i="2"/>
  <c r="G6" i="2"/>
  <c r="E6" i="2"/>
  <c r="F7" i="2"/>
  <c r="K10" i="2"/>
  <c r="J11" i="2"/>
  <c r="I12" i="2"/>
  <c r="H13" i="2"/>
  <c r="I14" i="2"/>
  <c r="H15" i="2"/>
  <c r="G16" i="2"/>
  <c r="E16" i="2"/>
  <c r="K21" i="2"/>
  <c r="J22" i="2"/>
  <c r="I23" i="2"/>
  <c r="H24" i="2"/>
  <c r="J66" i="2"/>
  <c r="J86" i="2"/>
  <c r="K4" i="2"/>
  <c r="J5" i="2"/>
  <c r="H6" i="2"/>
  <c r="G7" i="2"/>
  <c r="E7" i="2"/>
  <c r="F8" i="2"/>
  <c r="K11" i="2"/>
  <c r="J12" i="2"/>
  <c r="I13" i="2"/>
  <c r="J14" i="2"/>
  <c r="I15" i="2"/>
  <c r="H16" i="2"/>
  <c r="F17" i="2"/>
  <c r="E18" i="2"/>
  <c r="F19" i="2"/>
  <c r="K22" i="2"/>
  <c r="J23" i="2"/>
  <c r="I24" i="2"/>
  <c r="K28" i="2"/>
  <c r="I30" i="2"/>
  <c r="G32" i="2"/>
  <c r="K87" i="2"/>
  <c r="K5" i="2"/>
  <c r="I6" i="2"/>
  <c r="H7" i="2"/>
  <c r="G8" i="2"/>
  <c r="E8" i="2"/>
  <c r="F9" i="2"/>
  <c r="K12" i="2"/>
  <c r="J13" i="2"/>
  <c r="K14" i="2"/>
  <c r="J15" i="2"/>
  <c r="I16" i="2"/>
  <c r="G17" i="2"/>
  <c r="E17" i="2"/>
  <c r="F18" i="2"/>
  <c r="G19" i="2"/>
  <c r="E19" i="2"/>
  <c r="F20" i="2"/>
  <c r="K23" i="2"/>
  <c r="J24" i="2"/>
  <c r="J25" i="2"/>
  <c r="J27" i="2"/>
  <c r="J28" i="2"/>
  <c r="I29" i="2"/>
  <c r="H30" i="2"/>
  <c r="G31" i="2"/>
  <c r="E31" i="2"/>
  <c r="F32" i="2"/>
  <c r="K60" i="2"/>
  <c r="F64" i="2"/>
  <c r="E64" i="2"/>
  <c r="I66" i="2"/>
  <c r="J67" i="2"/>
  <c r="K68" i="2"/>
  <c r="I69" i="2"/>
  <c r="I75" i="2"/>
  <c r="F84" i="2"/>
  <c r="I86" i="2"/>
  <c r="J87" i="2"/>
  <c r="E90" i="2"/>
  <c r="M5" i="3"/>
  <c r="K7" i="3"/>
  <c r="H8" i="3"/>
  <c r="G26" i="2"/>
  <c r="K29" i="2"/>
  <c r="J30" i="2"/>
  <c r="I31" i="2"/>
  <c r="H32" i="2"/>
  <c r="G33" i="2"/>
  <c r="E33" i="2"/>
  <c r="F34" i="2"/>
  <c r="I64" i="2"/>
  <c r="J65" i="2"/>
  <c r="K66" i="2"/>
  <c r="K71" i="2"/>
  <c r="F74" i="2"/>
  <c r="I92" i="2"/>
  <c r="J10" i="3"/>
  <c r="G11" i="3"/>
  <c r="H26" i="2"/>
  <c r="K30" i="2"/>
  <c r="J31" i="2"/>
  <c r="I32" i="2"/>
  <c r="H33" i="2"/>
  <c r="G34" i="2"/>
  <c r="J64" i="2"/>
  <c r="K65" i="2"/>
  <c r="E83" i="2"/>
  <c r="J92" i="2"/>
  <c r="M8" i="3"/>
  <c r="K10" i="3"/>
  <c r="H11" i="3"/>
  <c r="I26" i="2"/>
  <c r="E26" i="2"/>
  <c r="F27" i="2"/>
  <c r="F28" i="2"/>
  <c r="K31" i="2"/>
  <c r="J32" i="2"/>
  <c r="I33" i="2"/>
  <c r="H34" i="2"/>
  <c r="K64" i="2"/>
  <c r="F68" i="2"/>
  <c r="E68" i="2"/>
  <c r="E84" i="2"/>
  <c r="F90" i="2"/>
  <c r="F8" i="3"/>
  <c r="L13" i="3"/>
  <c r="K14" i="3"/>
  <c r="G25" i="2"/>
  <c r="G27" i="2"/>
  <c r="G28" i="2"/>
  <c r="E28" i="2"/>
  <c r="F29" i="2"/>
  <c r="K32" i="2"/>
  <c r="J33" i="2"/>
  <c r="I34" i="2"/>
  <c r="F67" i="2"/>
  <c r="E67" i="2"/>
  <c r="I70" i="2"/>
  <c r="K72" i="2"/>
  <c r="K76" i="2"/>
  <c r="F83" i="2"/>
  <c r="F89" i="2"/>
  <c r="I91" i="2"/>
  <c r="I95" i="2"/>
  <c r="L14" i="3"/>
  <c r="H25" i="2"/>
  <c r="H27" i="2"/>
  <c r="H28" i="2"/>
  <c r="G29" i="2"/>
  <c r="E29" i="2"/>
  <c r="F30" i="2"/>
  <c r="K33" i="2"/>
  <c r="J34" i="2"/>
  <c r="I60" i="2"/>
  <c r="F66" i="2"/>
  <c r="E66" i="2"/>
  <c r="I68" i="2"/>
  <c r="F69" i="2"/>
  <c r="E69" i="2"/>
  <c r="J70" i="2"/>
  <c r="K93" i="2"/>
  <c r="L4" i="3"/>
  <c r="I5" i="3"/>
  <c r="I25" i="2"/>
  <c r="I27" i="2"/>
  <c r="I28" i="2"/>
  <c r="H29" i="2"/>
  <c r="G30" i="2"/>
  <c r="E30" i="2"/>
  <c r="F31" i="2"/>
  <c r="K34" i="2"/>
  <c r="J60" i="2"/>
  <c r="F65" i="2"/>
  <c r="E65" i="2"/>
  <c r="I67" i="2"/>
  <c r="J68" i="2"/>
  <c r="I88" i="2"/>
  <c r="J5" i="3"/>
  <c r="G6" i="3"/>
  <c r="F11" i="3"/>
  <c r="F85" i="2"/>
  <c r="E85" i="2"/>
  <c r="I87" i="2"/>
  <c r="F88" i="2"/>
  <c r="E88" i="2"/>
  <c r="F91" i="2"/>
  <c r="E91" i="2"/>
  <c r="J93" i="2"/>
  <c r="F95" i="2"/>
  <c r="K4" i="3"/>
  <c r="H5" i="3"/>
  <c r="F5" i="3"/>
  <c r="J7" i="3"/>
  <c r="G8" i="3"/>
  <c r="L9" i="3"/>
  <c r="I10" i="3"/>
  <c r="K13" i="3"/>
  <c r="J14" i="3"/>
  <c r="F73" i="2"/>
  <c r="I74" i="2"/>
  <c r="K75" i="2"/>
  <c r="I84" i="2"/>
  <c r="J85" i="2"/>
  <c r="K86" i="2"/>
  <c r="J88" i="2"/>
  <c r="I90" i="2"/>
  <c r="J91" i="2"/>
  <c r="K92" i="2"/>
  <c r="F94" i="2"/>
  <c r="J95" i="2"/>
  <c r="K5" i="3"/>
  <c r="H6" i="3"/>
  <c r="F6" i="3"/>
  <c r="J8" i="3"/>
  <c r="G9" i="3"/>
  <c r="L10" i="3"/>
  <c r="I11" i="3"/>
  <c r="F13" i="3"/>
  <c r="F72" i="2"/>
  <c r="E72" i="2"/>
  <c r="J74" i="2"/>
  <c r="F76" i="2"/>
  <c r="I83" i="2"/>
  <c r="J84" i="2"/>
  <c r="K85" i="2"/>
  <c r="I89" i="2"/>
  <c r="J90" i="2"/>
  <c r="K91" i="2"/>
  <c r="K95" i="2"/>
  <c r="G4" i="3"/>
  <c r="L5" i="3"/>
  <c r="I6" i="3"/>
  <c r="K8" i="3"/>
  <c r="H9" i="3"/>
  <c r="F9" i="3"/>
  <c r="J11" i="3"/>
  <c r="G13" i="3"/>
  <c r="F71" i="2"/>
  <c r="E71" i="2"/>
  <c r="I73" i="2"/>
  <c r="K74" i="2"/>
  <c r="J83" i="2"/>
  <c r="K84" i="2"/>
  <c r="J89" i="2"/>
  <c r="K90" i="2"/>
  <c r="F93" i="2"/>
  <c r="I94" i="2"/>
  <c r="H4" i="3"/>
  <c r="F4" i="3"/>
  <c r="J6" i="3"/>
  <c r="G7" i="3"/>
  <c r="L8" i="3"/>
  <c r="I9" i="3"/>
  <c r="K11" i="3"/>
  <c r="H13" i="3"/>
  <c r="G14" i="3"/>
  <c r="F70" i="2"/>
  <c r="E70" i="2"/>
  <c r="I72" i="2"/>
  <c r="J73" i="2"/>
  <c r="I76" i="2"/>
  <c r="K83" i="2"/>
  <c r="F87" i="2"/>
  <c r="E87" i="2"/>
  <c r="J94" i="2"/>
  <c r="I4" i="3"/>
  <c r="K6" i="3"/>
  <c r="H7" i="3"/>
  <c r="F7" i="3"/>
  <c r="J9" i="3"/>
  <c r="G10" i="3"/>
  <c r="L11" i="3"/>
  <c r="I13" i="3"/>
  <c r="H14" i="3"/>
  <c r="F14" i="3"/>
  <c r="I71" i="2"/>
  <c r="J72" i="2"/>
  <c r="K73" i="2"/>
  <c r="F75" i="2"/>
  <c r="J76" i="2"/>
  <c r="F86" i="2"/>
  <c r="E86" i="2"/>
  <c r="F92" i="2"/>
  <c r="I93" i="2"/>
  <c r="K94" i="2"/>
  <c r="J4" i="3"/>
  <c r="G5" i="3"/>
  <c r="L6" i="3"/>
  <c r="I7" i="3"/>
  <c r="K9" i="3"/>
  <c r="H10" i="3"/>
  <c r="F10" i="3"/>
  <c r="J13" i="3"/>
  <c r="I14" i="3"/>
  <c r="L2" i="1"/>
  <c r="AD2" i="2"/>
  <c r="AC2" i="2"/>
  <c r="AF2" i="2"/>
  <c r="AH2" i="3"/>
  <c r="AD2" i="3"/>
  <c r="AE2" i="3"/>
  <c r="AB87" i="2"/>
  <c r="AB69" i="2"/>
  <c r="AB84" i="2"/>
  <c r="AB7" i="2"/>
  <c r="AB5" i="2"/>
  <c r="AB17" i="2"/>
  <c r="AG8" i="3"/>
  <c r="AG9" i="3"/>
  <c r="AC6" i="3"/>
  <c r="AB70" i="2"/>
  <c r="AB66" i="2"/>
  <c r="AB60" i="2"/>
  <c r="AB31" i="2"/>
  <c r="AB8" i="2"/>
  <c r="AG5" i="3"/>
  <c r="AG4" i="3"/>
  <c r="AC11" i="3"/>
  <c r="AB71" i="2"/>
  <c r="AB29" i="2"/>
  <c r="AB33" i="2"/>
  <c r="AB64" i="2"/>
  <c r="AB22" i="2"/>
  <c r="AB20" i="2"/>
  <c r="AG10" i="3"/>
  <c r="AC14" i="3"/>
  <c r="AC10" i="3"/>
  <c r="AB72" i="2"/>
  <c r="AB91" i="2"/>
  <c r="AB85" i="2"/>
  <c r="AB16" i="2"/>
  <c r="AB13" i="2"/>
  <c r="AG14" i="3"/>
  <c r="AC7" i="3"/>
  <c r="AB89" i="2"/>
  <c r="AB67" i="2"/>
  <c r="AB32" i="2"/>
  <c r="AB6" i="2"/>
  <c r="AB11" i="2"/>
  <c r="AB9" i="2"/>
  <c r="AG7" i="3"/>
  <c r="AD8" i="3"/>
  <c r="AD11" i="3"/>
  <c r="AD6" i="3"/>
  <c r="AD13" i="3"/>
  <c r="AD5" i="3"/>
  <c r="AD10" i="3"/>
  <c r="AD7" i="3"/>
  <c r="AD14" i="3"/>
  <c r="AD9" i="3"/>
  <c r="AD4" i="3"/>
  <c r="AB83" i="2"/>
  <c r="AB28" i="2"/>
  <c r="AB88" i="2"/>
  <c r="AC9" i="2"/>
  <c r="AC21" i="2"/>
  <c r="AC10" i="2"/>
  <c r="AC90" i="2"/>
  <c r="AC4" i="2"/>
  <c r="AC11" i="2"/>
  <c r="AC13" i="2"/>
  <c r="AC22" i="2"/>
  <c r="AC5" i="2"/>
  <c r="AC14" i="2"/>
  <c r="AC31" i="2"/>
  <c r="AC64" i="2"/>
  <c r="AC91" i="2"/>
  <c r="AC32" i="2"/>
  <c r="AC33" i="2"/>
  <c r="AC60" i="2"/>
  <c r="AC84" i="2"/>
  <c r="AC83" i="2"/>
  <c r="AC89" i="2"/>
  <c r="AC24" i="2"/>
  <c r="AC65" i="2"/>
  <c r="AC17" i="2"/>
  <c r="AC18" i="2"/>
  <c r="AC19" i="2"/>
  <c r="AC8" i="2"/>
  <c r="AC20" i="2"/>
  <c r="AC7" i="2"/>
  <c r="AC25" i="2"/>
  <c r="AC15" i="2"/>
  <c r="AC6" i="2"/>
  <c r="AC16" i="2"/>
  <c r="AC30" i="2"/>
  <c r="AC88" i="2"/>
  <c r="AC29" i="2"/>
  <c r="AC66" i="2"/>
  <c r="AC69" i="2"/>
  <c r="AC70" i="2"/>
  <c r="AC86" i="2"/>
  <c r="AC85" i="2"/>
  <c r="AC26" i="2"/>
  <c r="AC68" i="2"/>
  <c r="AC28" i="2"/>
  <c r="AC67" i="2"/>
  <c r="AC87" i="2"/>
  <c r="AC72" i="2"/>
  <c r="AC71" i="2"/>
  <c r="AB4" i="2"/>
  <c r="AB21" i="2"/>
  <c r="AH5" i="3"/>
  <c r="AH8" i="3"/>
  <c r="AH10" i="3"/>
  <c r="AH6" i="3"/>
  <c r="AH9" i="3"/>
  <c r="AH13" i="3"/>
  <c r="AH11" i="3"/>
  <c r="AH4" i="3"/>
  <c r="AH7" i="3"/>
  <c r="AH14" i="3"/>
  <c r="AC4" i="3"/>
  <c r="L7" i="1"/>
  <c r="L12" i="1"/>
  <c r="L16" i="1"/>
  <c r="L4" i="1"/>
  <c r="L11" i="1"/>
  <c r="L15" i="1"/>
  <c r="L22" i="1"/>
  <c r="L10" i="1"/>
  <c r="L14" i="1"/>
  <c r="L20" i="1"/>
  <c r="L6" i="1"/>
  <c r="L9" i="1"/>
  <c r="L13" i="1"/>
  <c r="L23" i="1"/>
  <c r="L18" i="1"/>
  <c r="L8" i="1"/>
  <c r="L5" i="1"/>
  <c r="L17" i="1"/>
  <c r="L19" i="1"/>
  <c r="L34" i="1"/>
  <c r="L40" i="1"/>
  <c r="L44" i="1"/>
  <c r="L48" i="1"/>
  <c r="L52" i="1"/>
  <c r="L61" i="1"/>
  <c r="L91" i="1"/>
  <c r="L26" i="1"/>
  <c r="L58" i="1"/>
  <c r="L70" i="1"/>
  <c r="L73" i="1"/>
  <c r="L77" i="1"/>
  <c r="L79" i="1"/>
  <c r="L85" i="1"/>
  <c r="L95" i="1"/>
  <c r="L104" i="1"/>
  <c r="L33" i="1"/>
  <c r="L36" i="1"/>
  <c r="L39" i="1"/>
  <c r="L43" i="1"/>
  <c r="L47" i="1"/>
  <c r="L51" i="1"/>
  <c r="L55" i="1"/>
  <c r="L63" i="1"/>
  <c r="L89" i="1"/>
  <c r="L25" i="1"/>
  <c r="L60" i="1"/>
  <c r="L69" i="1"/>
  <c r="L76" i="1"/>
  <c r="L84" i="1"/>
  <c r="L99" i="1"/>
  <c r="L24" i="1"/>
  <c r="L32" i="1"/>
  <c r="L35" i="1"/>
  <c r="L38" i="1"/>
  <c r="L42" i="1"/>
  <c r="L46" i="1"/>
  <c r="L50" i="1"/>
  <c r="L54" i="1"/>
  <c r="L57" i="1"/>
  <c r="L94" i="1"/>
  <c r="L62" i="1"/>
  <c r="L68" i="1"/>
  <c r="L75" i="1"/>
  <c r="L81" i="1"/>
  <c r="L88" i="1"/>
  <c r="L31" i="1"/>
  <c r="L41" i="1"/>
  <c r="L45" i="1"/>
  <c r="L49" i="1"/>
  <c r="L53" i="1"/>
  <c r="L59" i="1"/>
  <c r="L92" i="1"/>
  <c r="L56" i="1"/>
  <c r="L74" i="1"/>
  <c r="L80" i="1"/>
  <c r="L86" i="1"/>
  <c r="L98" i="1"/>
  <c r="L103" i="1"/>
  <c r="L102" i="1"/>
  <c r="L100" i="1"/>
  <c r="L105" i="1"/>
  <c r="AB86" i="2"/>
  <c r="AB68" i="2"/>
  <c r="AB65" i="2"/>
  <c r="AB15" i="2"/>
  <c r="AB19" i="2"/>
  <c r="AB10" i="2"/>
  <c r="AG13" i="3"/>
  <c r="AC9" i="3"/>
  <c r="AB25" i="2"/>
  <c r="AB90" i="2"/>
  <c r="AB26" i="2"/>
  <c r="AB30" i="2"/>
  <c r="AB14" i="2"/>
  <c r="AB18" i="2"/>
  <c r="AG11" i="3"/>
  <c r="AG6" i="3"/>
  <c r="AC13" i="3"/>
  <c r="M13" i="3" l="1"/>
  <c r="P13" i="3"/>
  <c r="O6" i="3"/>
  <c r="R6" i="3"/>
  <c r="O11" i="3"/>
  <c r="R11" i="3"/>
  <c r="O18" i="2"/>
  <c r="L18" i="2"/>
  <c r="O14" i="2"/>
  <c r="L14" i="2"/>
  <c r="O30" i="2"/>
  <c r="L30" i="2"/>
  <c r="O26" i="2"/>
  <c r="L26" i="2"/>
  <c r="O90" i="2"/>
  <c r="L90" i="2"/>
  <c r="O25" i="2"/>
  <c r="L25" i="2"/>
  <c r="M9" i="3"/>
  <c r="P9" i="3"/>
  <c r="R13" i="3"/>
  <c r="O13" i="3"/>
  <c r="O10" i="2"/>
  <c r="L10" i="2"/>
  <c r="O19" i="2"/>
  <c r="L19" i="2"/>
  <c r="L15" i="2"/>
  <c r="O15" i="2"/>
  <c r="O65" i="2"/>
  <c r="L65" i="2"/>
  <c r="L68" i="2"/>
  <c r="O68" i="2"/>
  <c r="O86" i="2"/>
  <c r="L86" i="2"/>
  <c r="M4" i="3"/>
  <c r="P4" i="3"/>
  <c r="O21" i="2"/>
  <c r="L21" i="2"/>
  <c r="O4" i="2"/>
  <c r="L4" i="2"/>
  <c r="O24" i="2"/>
  <c r="L88" i="2"/>
  <c r="L28" i="2"/>
  <c r="O28" i="2"/>
  <c r="O83" i="2"/>
  <c r="L83" i="2"/>
  <c r="P5" i="3"/>
  <c r="P8" i="3"/>
  <c r="R7" i="3"/>
  <c r="O7" i="3"/>
  <c r="O9" i="2"/>
  <c r="L9" i="2"/>
  <c r="O11" i="2"/>
  <c r="L11" i="2"/>
  <c r="L6" i="2"/>
  <c r="O6" i="2"/>
  <c r="O32" i="2"/>
  <c r="L32" i="2"/>
  <c r="L67" i="2"/>
  <c r="O67" i="2"/>
  <c r="L89" i="2"/>
  <c r="M7" i="3"/>
  <c r="P7" i="3"/>
  <c r="R14" i="3"/>
  <c r="O14" i="3"/>
  <c r="L13" i="2"/>
  <c r="O13" i="2"/>
  <c r="L16" i="2"/>
  <c r="O16" i="2"/>
  <c r="O85" i="2"/>
  <c r="L85" i="2"/>
  <c r="O91" i="2"/>
  <c r="L91" i="2"/>
  <c r="L72" i="2"/>
  <c r="O72" i="2"/>
  <c r="P10" i="3"/>
  <c r="M10" i="3"/>
  <c r="M14" i="3"/>
  <c r="P14" i="3"/>
  <c r="R10" i="3"/>
  <c r="O10" i="3"/>
  <c r="O20" i="2"/>
  <c r="L20" i="2"/>
  <c r="O22" i="2"/>
  <c r="L22" i="2"/>
  <c r="O64" i="2"/>
  <c r="L64" i="2"/>
  <c r="O33" i="2"/>
  <c r="L33" i="2"/>
  <c r="L29" i="2"/>
  <c r="O29" i="2"/>
  <c r="L71" i="2"/>
  <c r="O71" i="2"/>
  <c r="P11" i="3"/>
  <c r="M11" i="3"/>
  <c r="R4" i="3"/>
  <c r="O4" i="3"/>
  <c r="R5" i="3"/>
  <c r="O5" i="3"/>
  <c r="O8" i="2"/>
  <c r="L8" i="2"/>
  <c r="O31" i="2"/>
  <c r="L31" i="2"/>
  <c r="L60" i="2"/>
  <c r="O60" i="2"/>
  <c r="O66" i="2"/>
  <c r="L66" i="2"/>
  <c r="L70" i="2"/>
  <c r="P6" i="3"/>
  <c r="M6" i="3"/>
  <c r="O9" i="3"/>
  <c r="R9" i="3"/>
  <c r="R8" i="3"/>
  <c r="O8" i="3"/>
  <c r="O17" i="2"/>
  <c r="L17" i="2"/>
  <c r="O5" i="2"/>
  <c r="L5" i="2"/>
  <c r="L7" i="2"/>
  <c r="O7" i="2"/>
  <c r="O84" i="2"/>
  <c r="L84" i="2"/>
  <c r="L69" i="2"/>
  <c r="O87" i="2"/>
  <c r="L87" i="2"/>
  <c r="M2" i="1"/>
  <c r="AF2" i="3"/>
  <c r="AG2" i="2"/>
  <c r="AE2" i="2"/>
  <c r="AE6" i="3"/>
  <c r="AD64" i="2"/>
  <c r="AF89" i="2"/>
  <c r="AD26" i="2"/>
  <c r="AD89" i="2"/>
  <c r="AE8" i="3"/>
  <c r="AF83" i="2"/>
  <c r="AF70" i="2"/>
  <c r="AF65" i="2"/>
  <c r="AF13" i="2"/>
  <c r="AF20" i="2"/>
  <c r="AF5" i="2"/>
  <c r="AD83" i="2"/>
  <c r="AD60" i="2"/>
  <c r="AD87" i="2"/>
  <c r="AD5" i="2"/>
  <c r="AD29" i="2"/>
  <c r="AD69" i="2"/>
  <c r="AE5" i="3"/>
  <c r="AF90" i="2"/>
  <c r="AF60" i="2"/>
  <c r="AF30" i="2"/>
  <c r="AF9" i="2"/>
  <c r="AF6" i="2"/>
  <c r="AD90" i="2"/>
  <c r="AD33" i="2"/>
  <c r="AD65" i="2"/>
  <c r="AD22" i="2"/>
  <c r="AD24" i="2"/>
  <c r="AF11" i="2"/>
  <c r="AE4" i="3"/>
  <c r="AF84" i="2"/>
  <c r="AF33" i="2"/>
  <c r="AF69" i="2"/>
  <c r="AF4" i="2"/>
  <c r="AF19" i="2"/>
  <c r="AG9" i="2"/>
  <c r="AG21" i="2"/>
  <c r="AG10" i="2"/>
  <c r="AG90" i="2"/>
  <c r="AG24" i="2"/>
  <c r="AG20" i="2"/>
  <c r="AG8" i="2"/>
  <c r="AG17" i="2"/>
  <c r="AG19" i="2"/>
  <c r="AG31" i="2"/>
  <c r="AG64" i="2"/>
  <c r="AG30" i="2"/>
  <c r="AG65" i="2"/>
  <c r="AG91" i="2"/>
  <c r="AG25" i="2"/>
  <c r="AG32" i="2"/>
  <c r="AG88" i="2"/>
  <c r="AG85" i="2"/>
  <c r="AG84" i="2"/>
  <c r="AG86" i="2"/>
  <c r="AG83" i="2"/>
  <c r="AG14" i="2"/>
  <c r="AG15" i="2"/>
  <c r="AG5" i="2"/>
  <c r="AG4" i="2"/>
  <c r="AG11" i="2"/>
  <c r="AG13" i="2"/>
  <c r="AG22" i="2"/>
  <c r="AG6" i="2"/>
  <c r="AG16" i="2"/>
  <c r="AG7" i="2"/>
  <c r="AG33" i="2"/>
  <c r="AG60" i="2"/>
  <c r="AG26" i="2"/>
  <c r="AG68" i="2"/>
  <c r="AG72" i="2"/>
  <c r="AG28" i="2"/>
  <c r="AG67" i="2"/>
  <c r="AG29" i="2"/>
  <c r="AG66" i="2"/>
  <c r="AG69" i="2"/>
  <c r="AG89" i="2"/>
  <c r="AG71" i="2"/>
  <c r="AG70" i="2"/>
  <c r="AG87" i="2"/>
  <c r="AD84" i="2"/>
  <c r="AD71" i="2"/>
  <c r="AD30" i="2"/>
  <c r="AD13" i="2"/>
  <c r="AD20" i="2"/>
  <c r="AD18" i="2"/>
  <c r="M19" i="1"/>
  <c r="M7" i="1"/>
  <c r="M12" i="1"/>
  <c r="M16" i="1"/>
  <c r="M4" i="1"/>
  <c r="M11" i="1"/>
  <c r="M15" i="1"/>
  <c r="M22" i="1"/>
  <c r="M10" i="1"/>
  <c r="M14" i="1"/>
  <c r="M20" i="1"/>
  <c r="M6" i="1"/>
  <c r="M9" i="1"/>
  <c r="M13" i="1"/>
  <c r="M23" i="1"/>
  <c r="M18" i="1"/>
  <c r="M8" i="1"/>
  <c r="M5" i="1"/>
  <c r="M17" i="1"/>
  <c r="M56" i="1"/>
  <c r="M74" i="1"/>
  <c r="M80" i="1"/>
  <c r="M86" i="1"/>
  <c r="M100" i="1"/>
  <c r="M34" i="1"/>
  <c r="M40" i="1"/>
  <c r="M44" i="1"/>
  <c r="M48" i="1"/>
  <c r="M52" i="1"/>
  <c r="M61" i="1"/>
  <c r="M91" i="1"/>
  <c r="M26" i="1"/>
  <c r="M58" i="1"/>
  <c r="M70" i="1"/>
  <c r="M73" i="1"/>
  <c r="M77" i="1"/>
  <c r="M79" i="1"/>
  <c r="M85" i="1"/>
  <c r="M95" i="1"/>
  <c r="M104" i="1"/>
  <c r="M33" i="1"/>
  <c r="M36" i="1"/>
  <c r="M39" i="1"/>
  <c r="M43" i="1"/>
  <c r="M47" i="1"/>
  <c r="M51" i="1"/>
  <c r="M55" i="1"/>
  <c r="M63" i="1"/>
  <c r="M89" i="1"/>
  <c r="M105" i="1"/>
  <c r="M25" i="1"/>
  <c r="M60" i="1"/>
  <c r="M69" i="1"/>
  <c r="M76" i="1"/>
  <c r="M84" i="1"/>
  <c r="M99" i="1"/>
  <c r="M24" i="1"/>
  <c r="M32" i="1"/>
  <c r="M35" i="1"/>
  <c r="M38" i="1"/>
  <c r="M42" i="1"/>
  <c r="M46" i="1"/>
  <c r="M50" i="1"/>
  <c r="M54" i="1"/>
  <c r="M57" i="1"/>
  <c r="M94" i="1"/>
  <c r="M62" i="1"/>
  <c r="M68" i="1"/>
  <c r="M75" i="1"/>
  <c r="M81" i="1"/>
  <c r="M88" i="1"/>
  <c r="M31" i="1"/>
  <c r="M41" i="1"/>
  <c r="M45" i="1"/>
  <c r="M49" i="1"/>
  <c r="M53" i="1"/>
  <c r="M59" i="1"/>
  <c r="M92" i="1"/>
  <c r="M98" i="1"/>
  <c r="M103" i="1"/>
  <c r="M102" i="1"/>
  <c r="AE14" i="3"/>
  <c r="AF71" i="2"/>
  <c r="AF66" i="2"/>
  <c r="AF72" i="2"/>
  <c r="AF16" i="2"/>
  <c r="AD91" i="2"/>
  <c r="AD67" i="2"/>
  <c r="AD9" i="2"/>
  <c r="AF22" i="2"/>
  <c r="AD31" i="2"/>
  <c r="AF91" i="2"/>
  <c r="AF18" i="2"/>
  <c r="AD32" i="2"/>
  <c r="AD11" i="2"/>
  <c r="AD7" i="2"/>
  <c r="AF31" i="2"/>
  <c r="AD14" i="2"/>
  <c r="AE9" i="3"/>
  <c r="AE10" i="3"/>
  <c r="AF88" i="2"/>
  <c r="AF32" i="2"/>
  <c r="AF29" i="2"/>
  <c r="AF68" i="2"/>
  <c r="AF17" i="2"/>
  <c r="AF26" i="2"/>
  <c r="AD88" i="2"/>
  <c r="AD25" i="2"/>
  <c r="AD28" i="2"/>
  <c r="AD4" i="2"/>
  <c r="AD16" i="2"/>
  <c r="AD17" i="2"/>
  <c r="AD21" i="2"/>
  <c r="AF64" i="2"/>
  <c r="AF10" i="2"/>
  <c r="AD72" i="2"/>
  <c r="AD66" i="2"/>
  <c r="AF87" i="2"/>
  <c r="AF14" i="2"/>
  <c r="AD8" i="2"/>
  <c r="AE13" i="3"/>
  <c r="AE7" i="3"/>
  <c r="AF85" i="2"/>
  <c r="AF25" i="2"/>
  <c r="AF67" i="2"/>
  <c r="AF21" i="2"/>
  <c r="AF8" i="2"/>
  <c r="AF15" i="2"/>
  <c r="AD85" i="2"/>
  <c r="AD86" i="2"/>
  <c r="AD15" i="2"/>
  <c r="AD6" i="2"/>
  <c r="AF5" i="3"/>
  <c r="AF8" i="3"/>
  <c r="AF10" i="3"/>
  <c r="AF11" i="3"/>
  <c r="AF6" i="3"/>
  <c r="AF13" i="3"/>
  <c r="AF4" i="3"/>
  <c r="AF7" i="3"/>
  <c r="AF14" i="3"/>
  <c r="AF9" i="3"/>
  <c r="AF86" i="2"/>
  <c r="AF28" i="2"/>
  <c r="AF7" i="2"/>
  <c r="AD68" i="2"/>
  <c r="AD10" i="2"/>
  <c r="AE9" i="2"/>
  <c r="AE21" i="2"/>
  <c r="AE10" i="2"/>
  <c r="AE90" i="2"/>
  <c r="AE24" i="2"/>
  <c r="AE20" i="2"/>
  <c r="AE8" i="2"/>
  <c r="AE17" i="2"/>
  <c r="AE19" i="2"/>
  <c r="AE4" i="2"/>
  <c r="AE11" i="2"/>
  <c r="AE13" i="2"/>
  <c r="AE22" i="2"/>
  <c r="AE5" i="2"/>
  <c r="AE14" i="2"/>
  <c r="AE31" i="2"/>
  <c r="AE64" i="2"/>
  <c r="AE30" i="2"/>
  <c r="AE65" i="2"/>
  <c r="AE91" i="2"/>
  <c r="AE25" i="2"/>
  <c r="AE32" i="2"/>
  <c r="AE88" i="2"/>
  <c r="AE33" i="2"/>
  <c r="AE60" i="2"/>
  <c r="AE85" i="2"/>
  <c r="AE84" i="2"/>
  <c r="AE86" i="2"/>
  <c r="AE83" i="2"/>
  <c r="AE89" i="2"/>
  <c r="AE16" i="2"/>
  <c r="AE67" i="2"/>
  <c r="AE6" i="2"/>
  <c r="AE7" i="2"/>
  <c r="AE15" i="2"/>
  <c r="AE18" i="2"/>
  <c r="AE28" i="2"/>
  <c r="AE26" i="2"/>
  <c r="AE68" i="2"/>
  <c r="AE72" i="2"/>
  <c r="AE29" i="2"/>
  <c r="AE66" i="2"/>
  <c r="AE69" i="2"/>
  <c r="AE70" i="2"/>
  <c r="AE87" i="2"/>
  <c r="AE71" i="2"/>
  <c r="AE11" i="3"/>
  <c r="AF24" i="2"/>
  <c r="AD70" i="2"/>
  <c r="AD19" i="2"/>
  <c r="P19" i="2" l="1"/>
  <c r="M19" i="2"/>
  <c r="M70" i="2"/>
  <c r="N24" i="2"/>
  <c r="Q24" i="2"/>
  <c r="Q11" i="3"/>
  <c r="N11" i="3"/>
  <c r="P10" i="2"/>
  <c r="M10" i="2"/>
  <c r="M68" i="2"/>
  <c r="P68" i="2"/>
  <c r="Q7" i="2"/>
  <c r="N7" i="2"/>
  <c r="Q28" i="2"/>
  <c r="N28" i="2"/>
  <c r="Q86" i="2"/>
  <c r="N86" i="2"/>
  <c r="M6" i="2"/>
  <c r="P6" i="2"/>
  <c r="M15" i="2"/>
  <c r="P15" i="2"/>
  <c r="P86" i="2"/>
  <c r="M86" i="2"/>
  <c r="P85" i="2"/>
  <c r="M85" i="2"/>
  <c r="N15" i="2"/>
  <c r="Q15" i="2"/>
  <c r="Q8" i="2"/>
  <c r="N8" i="2"/>
  <c r="Q21" i="2"/>
  <c r="N21" i="2"/>
  <c r="Q67" i="2"/>
  <c r="N67" i="2"/>
  <c r="Q25" i="2"/>
  <c r="N25" i="2"/>
  <c r="Q85" i="2"/>
  <c r="N85" i="2"/>
  <c r="Q7" i="3"/>
  <c r="N7" i="3"/>
  <c r="N13" i="3"/>
  <c r="Q13" i="3"/>
  <c r="P8" i="2"/>
  <c r="M8" i="2"/>
  <c r="N14" i="2"/>
  <c r="Q14" i="2"/>
  <c r="Q87" i="2"/>
  <c r="N87" i="2"/>
  <c r="P66" i="2"/>
  <c r="M66" i="2"/>
  <c r="M72" i="2"/>
  <c r="P72" i="2"/>
  <c r="Q10" i="2"/>
  <c r="N10" i="2"/>
  <c r="Q64" i="2"/>
  <c r="N64" i="2"/>
  <c r="P21" i="2"/>
  <c r="M21" i="2"/>
  <c r="P17" i="2"/>
  <c r="M17" i="2"/>
  <c r="M16" i="2"/>
  <c r="P16" i="2"/>
  <c r="P4" i="2"/>
  <c r="M4" i="2"/>
  <c r="M28" i="2"/>
  <c r="P28" i="2"/>
  <c r="P25" i="2"/>
  <c r="M25" i="2"/>
  <c r="M88" i="2"/>
  <c r="N26" i="2"/>
  <c r="Q26" i="2"/>
  <c r="Q17" i="2"/>
  <c r="N17" i="2"/>
  <c r="Q68" i="2"/>
  <c r="N68" i="2"/>
  <c r="Q29" i="2"/>
  <c r="N29" i="2"/>
  <c r="Q32" i="2"/>
  <c r="N32" i="2"/>
  <c r="Q10" i="3"/>
  <c r="N10" i="3"/>
  <c r="N9" i="3"/>
  <c r="Q9" i="3"/>
  <c r="M14" i="2"/>
  <c r="P14" i="2"/>
  <c r="Q31" i="2"/>
  <c r="N31" i="2"/>
  <c r="P7" i="2"/>
  <c r="M7" i="2"/>
  <c r="P11" i="2"/>
  <c r="M11" i="2"/>
  <c r="P32" i="2"/>
  <c r="M32" i="2"/>
  <c r="Q18" i="2"/>
  <c r="N18" i="2"/>
  <c r="Q91" i="2"/>
  <c r="N91" i="2"/>
  <c r="P31" i="2"/>
  <c r="M31" i="2"/>
  <c r="N22" i="2"/>
  <c r="Q22" i="2"/>
  <c r="P9" i="2"/>
  <c r="M9" i="2"/>
  <c r="P67" i="2"/>
  <c r="M67" i="2"/>
  <c r="P91" i="2"/>
  <c r="M91" i="2"/>
  <c r="Q16" i="2"/>
  <c r="N16" i="2"/>
  <c r="Q72" i="2"/>
  <c r="N72" i="2"/>
  <c r="Q66" i="2"/>
  <c r="N66" i="2"/>
  <c r="Q71" i="2"/>
  <c r="N71" i="2"/>
  <c r="Q14" i="3"/>
  <c r="N14" i="3"/>
  <c r="P18" i="2"/>
  <c r="M18" i="2"/>
  <c r="P20" i="2"/>
  <c r="M20" i="2"/>
  <c r="M13" i="2"/>
  <c r="P13" i="2"/>
  <c r="P30" i="2"/>
  <c r="M30" i="2"/>
  <c r="P71" i="2"/>
  <c r="M71" i="2"/>
  <c r="P84" i="2"/>
  <c r="M84" i="2"/>
  <c r="Q19" i="2"/>
  <c r="N19" i="2"/>
  <c r="N4" i="2"/>
  <c r="Q4" i="2"/>
  <c r="N33" i="2"/>
  <c r="Q33" i="2"/>
  <c r="N84" i="2"/>
  <c r="Q84" i="2"/>
  <c r="N4" i="3"/>
  <c r="Q4" i="3"/>
  <c r="N11" i="2"/>
  <c r="Q11" i="2"/>
  <c r="M24" i="2"/>
  <c r="P24" i="2"/>
  <c r="P22" i="2"/>
  <c r="M22" i="2"/>
  <c r="P65" i="2"/>
  <c r="M65" i="2"/>
  <c r="P33" i="2"/>
  <c r="M33" i="2"/>
  <c r="P90" i="2"/>
  <c r="M90" i="2"/>
  <c r="Q6" i="2"/>
  <c r="N6" i="2"/>
  <c r="Q9" i="2"/>
  <c r="N9" i="2"/>
  <c r="Q30" i="2"/>
  <c r="N30" i="2"/>
  <c r="Q60" i="2"/>
  <c r="N60" i="2"/>
  <c r="N90" i="2"/>
  <c r="Q90" i="2"/>
  <c r="Q5" i="3"/>
  <c r="N5" i="3"/>
  <c r="M69" i="2"/>
  <c r="P29" i="2"/>
  <c r="M29" i="2"/>
  <c r="M5" i="2"/>
  <c r="P5" i="2"/>
  <c r="P87" i="2"/>
  <c r="M87" i="2"/>
  <c r="M60" i="2"/>
  <c r="P60" i="2"/>
  <c r="M83" i="2"/>
  <c r="P83" i="2"/>
  <c r="N5" i="2"/>
  <c r="Q5" i="2"/>
  <c r="Q20" i="2"/>
  <c r="N20" i="2"/>
  <c r="N13" i="2"/>
  <c r="Q13" i="2"/>
  <c r="Q65" i="2"/>
  <c r="N65" i="2"/>
  <c r="N83" i="2"/>
  <c r="Q83" i="2"/>
  <c r="Q8" i="3"/>
  <c r="N8" i="3"/>
  <c r="M89" i="2"/>
  <c r="P26" i="2"/>
  <c r="M26" i="2"/>
  <c r="P64" i="2"/>
  <c r="M64" i="2"/>
  <c r="N6" i="3"/>
  <c r="Q6" i="3"/>
  <c r="H2" i="1"/>
  <c r="H18" i="1"/>
  <c r="H8" i="1"/>
  <c r="H21" i="1"/>
  <c r="H5" i="1"/>
  <c r="H17" i="1"/>
  <c r="H19" i="1"/>
  <c r="H7" i="1"/>
  <c r="H12" i="1"/>
  <c r="H16" i="1"/>
  <c r="H4" i="1"/>
  <c r="H11" i="1"/>
  <c r="H15" i="1"/>
  <c r="H22" i="1"/>
  <c r="H10" i="1"/>
  <c r="H14" i="1"/>
  <c r="H20" i="1"/>
  <c r="H6" i="1"/>
  <c r="H9" i="1"/>
  <c r="H13" i="1"/>
  <c r="H23" i="1"/>
  <c r="H24" i="1"/>
  <c r="H32" i="1"/>
  <c r="H38" i="1"/>
  <c r="H42" i="1"/>
  <c r="H46" i="1"/>
  <c r="H50" i="1"/>
  <c r="H54" i="1"/>
  <c r="H57" i="1"/>
  <c r="H94" i="1"/>
  <c r="H99" i="1"/>
  <c r="H62" i="1"/>
  <c r="H75" i="1"/>
  <c r="H81" i="1"/>
  <c r="H88" i="1"/>
  <c r="H102" i="1"/>
  <c r="H31" i="1"/>
  <c r="H41" i="1"/>
  <c r="H45" i="1"/>
  <c r="H49" i="1"/>
  <c r="H53" i="1"/>
  <c r="H59" i="1"/>
  <c r="H92" i="1"/>
  <c r="H56" i="1"/>
  <c r="H74" i="1"/>
  <c r="H80" i="1"/>
  <c r="H86" i="1"/>
  <c r="H98" i="1"/>
  <c r="H34" i="1"/>
  <c r="H37" i="1"/>
  <c r="H40" i="1"/>
  <c r="H44" i="1"/>
  <c r="H48" i="1"/>
  <c r="H52" i="1"/>
  <c r="H61" i="1"/>
  <c r="H91" i="1"/>
  <c r="H26" i="1"/>
  <c r="H58" i="1"/>
  <c r="H70" i="1"/>
  <c r="H77" i="1"/>
  <c r="H79" i="1"/>
  <c r="H85" i="1"/>
  <c r="H100" i="1"/>
  <c r="H33" i="1"/>
  <c r="H36" i="1"/>
  <c r="H39" i="1"/>
  <c r="H43" i="1"/>
  <c r="H47" i="1"/>
  <c r="H51" i="1"/>
  <c r="H55" i="1"/>
  <c r="H63" i="1"/>
  <c r="H89" i="1"/>
  <c r="H95" i="1"/>
  <c r="H25" i="1"/>
  <c r="H60" i="1"/>
  <c r="H69" i="1"/>
  <c r="H76" i="1"/>
  <c r="H84" i="1"/>
  <c r="H105" i="1"/>
  <c r="H104" i="1"/>
  <c r="H103" i="1"/>
</calcChain>
</file>

<file path=xl/sharedStrings.xml><?xml version="1.0" encoding="utf-8"?>
<sst xmlns="http://schemas.openxmlformats.org/spreadsheetml/2006/main" count="669" uniqueCount="419">
  <si>
    <t>十五五投资线</t>
    <phoneticPr fontId="3" type="noConversion"/>
  </si>
  <si>
    <t>指数/主动</t>
    <phoneticPr fontId="3" type="noConversion"/>
  </si>
  <si>
    <t>投资线</t>
    <phoneticPr fontId="3" type="noConversion"/>
  </si>
  <si>
    <t>产业趋势观察池</t>
    <phoneticPr fontId="3" type="noConversion"/>
  </si>
  <si>
    <t>基金经理</t>
    <phoneticPr fontId="3" type="noConversion"/>
  </si>
  <si>
    <t>重仓方向</t>
    <phoneticPr fontId="3" type="noConversion"/>
  </si>
  <si>
    <t>6月以来</t>
    <phoneticPr fontId="3" type="noConversion"/>
  </si>
  <si>
    <t>Q2以来</t>
    <phoneticPr fontId="3" type="noConversion"/>
  </si>
  <si>
    <t>2026YTD</t>
    <phoneticPr fontId="3" type="noConversion"/>
  </si>
  <si>
    <t>近1年</t>
    <phoneticPr fontId="3" type="noConversion"/>
  </si>
  <si>
    <t>近2年</t>
    <phoneticPr fontId="3" type="noConversion"/>
  </si>
  <si>
    <t>近3年</t>
    <phoneticPr fontId="3" type="noConversion"/>
  </si>
  <si>
    <t>2025年</t>
    <phoneticPr fontId="3" type="noConversion"/>
  </si>
  <si>
    <t>2024年</t>
    <phoneticPr fontId="3" type="noConversion"/>
  </si>
  <si>
    <t>2023年</t>
    <phoneticPr fontId="3" type="noConversion"/>
  </si>
  <si>
    <t>2022年</t>
    <phoneticPr fontId="3" type="noConversion"/>
  </si>
  <si>
    <t>2021年</t>
    <phoneticPr fontId="3" type="noConversion"/>
  </si>
  <si>
    <t>2020年</t>
    <phoneticPr fontId="3" type="noConversion"/>
  </si>
  <si>
    <t>2019年</t>
    <phoneticPr fontId="3" type="noConversion"/>
  </si>
  <si>
    <t>成立日期</t>
    <phoneticPr fontId="3" type="noConversion"/>
  </si>
  <si>
    <t>申万前三大行业占比</t>
    <phoneticPr fontId="3" type="noConversion"/>
  </si>
  <si>
    <t>932381.CSI</t>
    <phoneticPr fontId="9" type="noConversion"/>
  </si>
  <si>
    <t>科创创业50等权指数</t>
    <phoneticPr fontId="3" type="noConversion"/>
  </si>
  <si>
    <t>基准指数</t>
    <phoneticPr fontId="3" type="noConversion"/>
  </si>
  <si>
    <t>931187.CSI</t>
    <phoneticPr fontId="9" type="noConversion"/>
  </si>
  <si>
    <t>科技100</t>
    <phoneticPr fontId="3" type="noConversion"/>
  </si>
  <si>
    <t>000688.SH</t>
    <phoneticPr fontId="9" type="noConversion"/>
  </si>
  <si>
    <t>科创50</t>
    <phoneticPr fontId="3" type="noConversion"/>
  </si>
  <si>
    <t>399673.SZ</t>
    <phoneticPr fontId="9" type="noConversion"/>
  </si>
  <si>
    <t>创业板50</t>
    <phoneticPr fontId="3" type="noConversion"/>
  </si>
  <si>
    <t>js的基金，转换效率高</t>
    <phoneticPr fontId="3" type="noConversion"/>
  </si>
  <si>
    <t>指数</t>
    <phoneticPr fontId="3" type="noConversion"/>
  </si>
  <si>
    <t>013315.OF</t>
  </si>
  <si>
    <t>嘉实中证科创创业50ETF发起式联接A</t>
    <phoneticPr fontId="3" type="noConversion"/>
  </si>
  <si>
    <t>主动</t>
    <phoneticPr fontId="3" type="noConversion"/>
  </si>
  <si>
    <t>001170.OF</t>
    <phoneticPr fontId="3" type="noConversion"/>
  </si>
  <si>
    <t>宏利复兴伟业A</t>
    <phoneticPr fontId="3" type="noConversion"/>
  </si>
  <si>
    <t>海外算力</t>
    <phoneticPr fontId="3" type="noConversion"/>
  </si>
  <si>
    <t>主动</t>
    <phoneticPr fontId="3" type="noConversion"/>
  </si>
  <si>
    <t>016370.OF</t>
    <phoneticPr fontId="3" type="noConversion"/>
  </si>
  <si>
    <t>信澳业绩驱动A</t>
    <phoneticPr fontId="3" type="noConversion"/>
  </si>
  <si>
    <t>017488.OF</t>
    <phoneticPr fontId="3" type="noConversion"/>
  </si>
  <si>
    <t>嘉实信息产业A</t>
    <phoneticPr fontId="3" type="noConversion"/>
  </si>
  <si>
    <t>海外算力、应用</t>
    <phoneticPr fontId="3" type="noConversion"/>
  </si>
  <si>
    <t>931994.CSI</t>
    <phoneticPr fontId="3" type="noConversion"/>
  </si>
  <si>
    <t>004320.OF</t>
    <phoneticPr fontId="3" type="noConversion"/>
  </si>
  <si>
    <t>前海开源沪港深乐享生活</t>
    <phoneticPr fontId="3" type="noConversion"/>
  </si>
  <si>
    <t>000411.OF</t>
    <phoneticPr fontId="3" type="noConversion"/>
  </si>
  <si>
    <t>景顺长城优质成长</t>
    <phoneticPr fontId="3" type="noConversion"/>
  </si>
  <si>
    <t>海外算力</t>
    <phoneticPr fontId="3" type="noConversion"/>
  </si>
  <si>
    <t>001480.OF</t>
    <phoneticPr fontId="9" type="noConversion"/>
  </si>
  <si>
    <t>财通成长优选</t>
    <phoneticPr fontId="3" type="noConversion"/>
  </si>
  <si>
    <t>001323.OF</t>
    <phoneticPr fontId="3" type="noConversion"/>
  </si>
  <si>
    <t>东吴移动互联网A</t>
    <phoneticPr fontId="3" type="noConversion"/>
  </si>
  <si>
    <t>海外算力+应用</t>
    <phoneticPr fontId="3" type="noConversion"/>
  </si>
  <si>
    <t>001513.OF</t>
    <phoneticPr fontId="3" type="noConversion"/>
  </si>
  <si>
    <t>易方达信息产业A</t>
    <phoneticPr fontId="3" type="noConversion"/>
  </si>
  <si>
    <t>931160.CSI</t>
    <phoneticPr fontId="3" type="noConversion"/>
  </si>
  <si>
    <t>中证全指通信设备</t>
    <phoneticPr fontId="3" type="noConversion"/>
  </si>
  <si>
    <t>海外算力--指数</t>
    <phoneticPr fontId="3" type="noConversion"/>
  </si>
  <si>
    <t>013840.OF</t>
    <phoneticPr fontId="3" type="noConversion"/>
  </si>
  <si>
    <t>银华集成电路A</t>
    <phoneticPr fontId="3" type="noConversion"/>
  </si>
  <si>
    <t>自主可控</t>
    <phoneticPr fontId="3" type="noConversion"/>
  </si>
  <si>
    <t>017744.OF</t>
    <phoneticPr fontId="3" type="noConversion"/>
  </si>
  <si>
    <t>嘉实绿色主题A</t>
    <phoneticPr fontId="3" type="noConversion"/>
  </si>
  <si>
    <t>008185.OF</t>
    <phoneticPr fontId="3" type="noConversion"/>
  </si>
  <si>
    <t>诺安研究优选A</t>
    <phoneticPr fontId="3" type="noConversion"/>
  </si>
  <si>
    <t>自主可控</t>
    <phoneticPr fontId="3" type="noConversion"/>
  </si>
  <si>
    <t>019437.OF</t>
    <phoneticPr fontId="3" type="noConversion"/>
  </si>
  <si>
    <t>华商科创创业精选A</t>
    <phoneticPr fontId="3" type="noConversion"/>
  </si>
  <si>
    <t>162214.OF</t>
    <phoneticPr fontId="3" type="noConversion"/>
  </si>
  <si>
    <t>宏利领先小盘</t>
    <phoneticPr fontId="3" type="noConversion"/>
  </si>
  <si>
    <t>931743.CSI</t>
    <phoneticPr fontId="3" type="noConversion"/>
  </si>
  <si>
    <t>中证半导体材料设备</t>
    <phoneticPr fontId="3" type="noConversion"/>
  </si>
  <si>
    <t>自主可控-指数</t>
    <phoneticPr fontId="3" type="noConversion"/>
  </si>
  <si>
    <t>AIDC</t>
    <phoneticPr fontId="3" type="noConversion"/>
  </si>
  <si>
    <t>主观</t>
    <phoneticPr fontId="3" type="noConversion"/>
  </si>
  <si>
    <t>002164.OF</t>
    <phoneticPr fontId="3" type="noConversion"/>
  </si>
  <si>
    <t>汇添富新睿精选混合C</t>
    <phoneticPr fontId="3" type="noConversion"/>
  </si>
  <si>
    <t>AI电力</t>
    <phoneticPr fontId="3" type="noConversion"/>
  </si>
  <si>
    <t>001664.OF</t>
    <phoneticPr fontId="3" type="noConversion"/>
  </si>
  <si>
    <t>平安鑫安混合C</t>
    <phoneticPr fontId="3" type="noConversion"/>
  </si>
  <si>
    <t>AI电力</t>
    <phoneticPr fontId="3" type="noConversion"/>
  </si>
  <si>
    <t>931994.CSI</t>
  </si>
  <si>
    <t>中证电网设备</t>
    <phoneticPr fontId="3" type="noConversion"/>
  </si>
  <si>
    <t>电力-指数</t>
    <phoneticPr fontId="3" type="noConversion"/>
  </si>
  <si>
    <t>指数-创业板50</t>
    <phoneticPr fontId="3" type="noConversion"/>
  </si>
  <si>
    <t>全球AI产业链</t>
    <phoneticPr fontId="3" type="noConversion"/>
  </si>
  <si>
    <t>160422.OF</t>
    <phoneticPr fontId="3" type="noConversion"/>
  </si>
  <si>
    <t>华安创业板50ETF联接A</t>
    <phoneticPr fontId="3" type="noConversion"/>
  </si>
  <si>
    <t>电新31.22%、通信29.13%、电子14.62%、计算机4.33%。易中天25%</t>
    <phoneticPr fontId="3" type="noConversion"/>
  </si>
  <si>
    <t>指数-创业板人工智能</t>
    <phoneticPr fontId="3" type="noConversion"/>
  </si>
  <si>
    <t>024662.OF</t>
    <phoneticPr fontId="3" type="noConversion"/>
  </si>
  <si>
    <t>富国创业板人工智能ETF发起式联接A</t>
    <phoneticPr fontId="3" type="noConversion"/>
  </si>
  <si>
    <t>通信57.39%、计算机17.97%、电子11.91%、传媒10.75%。易中天40%</t>
    <phoneticPr fontId="3" type="noConversion"/>
  </si>
  <si>
    <t>全球AI产业链</t>
    <phoneticPr fontId="3" type="noConversion"/>
  </si>
  <si>
    <t>161631.OF</t>
    <phoneticPr fontId="3" type="noConversion"/>
  </si>
  <si>
    <t>融通中证人工智能主题指数(LOF)A</t>
    <phoneticPr fontId="3" type="noConversion"/>
  </si>
  <si>
    <t>通信35.15%、计算机31.09%、电子27.88%，中际旭创和新易盛占比25%</t>
    <phoneticPr fontId="3" type="noConversion"/>
  </si>
  <si>
    <t>通信设备</t>
    <phoneticPr fontId="3" type="noConversion"/>
  </si>
  <si>
    <t>全球AI产业链-海外算力</t>
    <phoneticPr fontId="3" type="noConversion"/>
  </si>
  <si>
    <t>007817.OF</t>
    <phoneticPr fontId="3" type="noConversion"/>
  </si>
  <si>
    <t>国泰中证全指通信设备ETF发起式联接A</t>
    <phoneticPr fontId="3" type="noConversion"/>
  </si>
  <si>
    <t>通信81%、计算机12%</t>
    <phoneticPr fontId="3" type="noConversion"/>
  </si>
  <si>
    <t>自主创新产业链</t>
    <phoneticPr fontId="3" type="noConversion"/>
  </si>
  <si>
    <t>017188.OF</t>
    <phoneticPr fontId="3" type="noConversion"/>
  </si>
  <si>
    <t>嘉实上证科创板50指数增强发起式A</t>
    <phoneticPr fontId="3" type="noConversion"/>
  </si>
  <si>
    <t>国产算力</t>
    <phoneticPr fontId="3" type="noConversion"/>
  </si>
  <si>
    <t>电子76.7%、计算机5.97%、医药5.8%</t>
    <phoneticPr fontId="3" type="noConversion"/>
  </si>
  <si>
    <t>芯片</t>
    <phoneticPr fontId="3" type="noConversion"/>
  </si>
  <si>
    <t>自主创新-国产算力</t>
    <phoneticPr fontId="3" type="noConversion"/>
  </si>
  <si>
    <t>017469.OF</t>
    <phoneticPr fontId="3" type="noConversion"/>
  </si>
  <si>
    <t>嘉实上证科创板芯片ETF发起联接A</t>
    <phoneticPr fontId="3" type="noConversion"/>
  </si>
  <si>
    <t>电子96%</t>
    <phoneticPr fontId="3" type="noConversion"/>
  </si>
  <si>
    <t>019632.OF</t>
    <phoneticPr fontId="3" type="noConversion"/>
  </si>
  <si>
    <t>国泰中证半导体材料设备主题ETF发起式联接A</t>
    <phoneticPr fontId="3" type="noConversion"/>
  </si>
  <si>
    <t>银华集成电路混合A</t>
    <phoneticPr fontId="3" type="noConversion"/>
  </si>
  <si>
    <t>014854.OF</t>
    <phoneticPr fontId="3" type="noConversion"/>
  </si>
  <si>
    <t xml:space="preserve">嘉实中证半导体指数增强发起式A
</t>
    <phoneticPr fontId="3" type="noConversion"/>
  </si>
  <si>
    <t>科技成长</t>
    <phoneticPr fontId="3" type="noConversion"/>
  </si>
  <si>
    <t>东吴刘元海</t>
  </si>
  <si>
    <t>易方达郑希</t>
  </si>
  <si>
    <t>000411.OF</t>
    <phoneticPr fontId="3" type="noConversion"/>
  </si>
  <si>
    <t>景顺长城张仲维</t>
    <phoneticPr fontId="3" type="noConversion"/>
  </si>
  <si>
    <t>景气成长</t>
    <phoneticPr fontId="3" type="noConversion"/>
  </si>
  <si>
    <t>005903.OF</t>
    <phoneticPr fontId="3" type="noConversion"/>
  </si>
  <si>
    <t>宏利孙硕</t>
  </si>
  <si>
    <t>001480.OF</t>
    <phoneticPr fontId="9" type="noConversion"/>
  </si>
  <si>
    <t>财通金梓才</t>
    <phoneticPr fontId="3" type="noConversion"/>
  </si>
  <si>
    <t>AIDC</t>
    <phoneticPr fontId="3" type="noConversion"/>
  </si>
  <si>
    <t>全球产业链</t>
    <phoneticPr fontId="3" type="noConversion"/>
  </si>
  <si>
    <t>025857.OF</t>
    <phoneticPr fontId="3" type="noConversion"/>
  </si>
  <si>
    <t>华夏中证电网设备主题ETF发起式联接C</t>
    <phoneticPr fontId="3" type="noConversion"/>
  </si>
  <si>
    <t>海外算力-AIDC</t>
    <phoneticPr fontId="3" type="noConversion"/>
  </si>
  <si>
    <t>主观</t>
    <phoneticPr fontId="3" type="noConversion"/>
  </si>
  <si>
    <t>021034.OF</t>
    <phoneticPr fontId="3" type="noConversion"/>
  </si>
  <si>
    <t>易方达国证新能源电池ETF发起式联接C</t>
    <phoneticPr fontId="3" type="noConversion"/>
  </si>
  <si>
    <t>002164.OF</t>
    <phoneticPr fontId="3" type="noConversion"/>
  </si>
  <si>
    <t>汇添富新睿精选混合C</t>
    <phoneticPr fontId="3" type="noConversion"/>
  </si>
  <si>
    <t>001664.OF</t>
    <phoneticPr fontId="3" type="noConversion"/>
  </si>
  <si>
    <t>平安鑫安混合C</t>
    <phoneticPr fontId="3" type="noConversion"/>
  </si>
  <si>
    <t>创新药</t>
    <phoneticPr fontId="3" type="noConversion"/>
  </si>
  <si>
    <t>024701.OF</t>
    <phoneticPr fontId="3" type="noConversion"/>
  </si>
  <si>
    <t>嘉实中证港股通创新药ETF发起式联接C</t>
    <phoneticPr fontId="3" type="noConversion"/>
  </si>
  <si>
    <t>015121.OF</t>
  </si>
  <si>
    <t>汇添富医疗服务灵活配置混合C</t>
  </si>
  <si>
    <t>AI端侧应用-机器人</t>
    <phoneticPr fontId="3" type="noConversion"/>
  </si>
  <si>
    <t>024620.OF</t>
  </si>
  <si>
    <t>嘉实中证机器人ETF联接C</t>
  </si>
  <si>
    <t>019458.OF</t>
    <phoneticPr fontId="3" type="noConversion"/>
  </si>
  <si>
    <t>平安先进制造主题股票发起C</t>
    <phoneticPr fontId="3" type="noConversion"/>
  </si>
  <si>
    <t>航空航天</t>
    <phoneticPr fontId="3" type="noConversion"/>
  </si>
  <si>
    <t>025490.OF</t>
    <phoneticPr fontId="3" type="noConversion"/>
  </si>
  <si>
    <t>平安中证卫星产业指数A</t>
    <phoneticPr fontId="3" type="noConversion"/>
  </si>
  <si>
    <t>001475.OF</t>
    <phoneticPr fontId="3" type="noConversion"/>
  </si>
  <si>
    <t>易方达国防军工</t>
    <phoneticPr fontId="3" type="noConversion"/>
  </si>
  <si>
    <t>970070.SZ</t>
    <phoneticPr fontId="3" type="noConversion"/>
  </si>
  <si>
    <t>创业板人工智能</t>
    <phoneticPr fontId="3" type="noConversion"/>
  </si>
  <si>
    <t>931743.CSI</t>
    <phoneticPr fontId="3" type="noConversion"/>
  </si>
  <si>
    <t>000685.SH</t>
    <phoneticPr fontId="3" type="noConversion"/>
  </si>
  <si>
    <t>科创芯片</t>
    <phoneticPr fontId="3" type="noConversion"/>
  </si>
  <si>
    <t>商业航天</t>
    <phoneticPr fontId="3" type="noConversion"/>
  </si>
  <si>
    <t>CN5082.SZ</t>
    <phoneticPr fontId="3" type="noConversion"/>
  </si>
  <si>
    <t>国证航空航天</t>
    <phoneticPr fontId="3" type="noConversion"/>
  </si>
  <si>
    <t>机器人</t>
    <phoneticPr fontId="3" type="noConversion"/>
  </si>
  <si>
    <t>H30590.CSI</t>
    <phoneticPr fontId="3" type="noConversion"/>
  </si>
  <si>
    <t>中证机器人</t>
    <phoneticPr fontId="3" type="noConversion"/>
  </si>
  <si>
    <t>储能</t>
    <phoneticPr fontId="3" type="noConversion"/>
  </si>
  <si>
    <t>980027.SZ</t>
    <phoneticPr fontId="3" type="noConversion"/>
  </si>
  <si>
    <t>国证新能源电池</t>
    <phoneticPr fontId="3" type="noConversion"/>
  </si>
  <si>
    <t>备选池</t>
    <phoneticPr fontId="3" type="noConversion"/>
  </si>
  <si>
    <t>011608.OF</t>
    <phoneticPr fontId="3" type="noConversion"/>
  </si>
  <si>
    <t>易方达上证科创板50成份ETF联接A</t>
  </si>
  <si>
    <t>018344.OF</t>
    <phoneticPr fontId="3" type="noConversion"/>
  </si>
  <si>
    <t xml:space="preserve">华夏中证机器人ETF发起式联接A           </t>
    <phoneticPr fontId="3" type="noConversion"/>
  </si>
  <si>
    <t>014880.OF</t>
    <phoneticPr fontId="3" type="noConversion"/>
  </si>
  <si>
    <t xml:space="preserve">天弘中证机器人ETF发起式联接A          </t>
    <phoneticPr fontId="3" type="noConversion"/>
  </si>
  <si>
    <t>020464.OF</t>
    <phoneticPr fontId="3" type="noConversion"/>
  </si>
  <si>
    <t>招商中证半导体产业ETF发起式联接A</t>
    <phoneticPr fontId="3" type="noConversion"/>
  </si>
  <si>
    <t>人工智能</t>
    <phoneticPr fontId="3" type="noConversion"/>
  </si>
  <si>
    <t>全球产业链北美算力</t>
    <phoneticPr fontId="3" type="noConversion"/>
  </si>
  <si>
    <t>025492.OF</t>
    <phoneticPr fontId="3" type="noConversion"/>
  </si>
  <si>
    <t>国泰创业板人工智能ETF发起式联接A</t>
    <phoneticPr fontId="3" type="noConversion"/>
  </si>
  <si>
    <t>通信49.47%、计算机24.76%、电子13.04%、传媒10.75%</t>
    <phoneticPr fontId="3" type="noConversion"/>
  </si>
  <si>
    <t>011839.OF</t>
    <phoneticPr fontId="3" type="noConversion"/>
  </si>
  <si>
    <t>天弘中证人工智能主题指数A</t>
    <phoneticPr fontId="3" type="noConversion"/>
  </si>
  <si>
    <t>全球产业链-创新药</t>
    <phoneticPr fontId="3" type="noConversion"/>
  </si>
  <si>
    <t>023481.OF</t>
  </si>
  <si>
    <t>万家中证港股通创新药ETF发起式联接A</t>
    <phoneticPr fontId="3" type="noConversion"/>
  </si>
  <si>
    <t>021963.OF</t>
    <phoneticPr fontId="3" type="noConversion"/>
  </si>
  <si>
    <t>天弘国证新能源电池指数发起式A</t>
    <phoneticPr fontId="9" type="noConversion"/>
  </si>
  <si>
    <t>021033.OF</t>
    <phoneticPr fontId="3" type="noConversion"/>
  </si>
  <si>
    <t>易方达国证新能源电池ETF发起式联接A</t>
  </si>
  <si>
    <t>025732.OF</t>
    <phoneticPr fontId="3" type="noConversion"/>
  </si>
  <si>
    <t>华安国证航天航空行业ETF发起式联接A</t>
    <phoneticPr fontId="3" type="noConversion"/>
  </si>
  <si>
    <t>024411.OF</t>
    <phoneticPr fontId="3" type="noConversion"/>
  </si>
  <si>
    <t>华夏上证科创板人工智能ETF联接A</t>
    <phoneticPr fontId="3" type="noConversion"/>
  </si>
  <si>
    <t>电子57.82%、计算机32.83%</t>
    <phoneticPr fontId="3" type="noConversion"/>
  </si>
  <si>
    <t>002067.OF</t>
    <phoneticPr fontId="3" type="noConversion"/>
  </si>
  <si>
    <t>诺安精选回报</t>
    <phoneticPr fontId="3" type="noConversion"/>
  </si>
  <si>
    <t>001437.OF</t>
    <phoneticPr fontId="9" type="noConversion"/>
  </si>
  <si>
    <t>易方达武阳</t>
    <phoneticPr fontId="3" type="noConversion"/>
  </si>
  <si>
    <t>000940.OF</t>
    <phoneticPr fontId="3" type="noConversion"/>
  </si>
  <si>
    <t>富国曹晋</t>
    <phoneticPr fontId="3" type="noConversion"/>
  </si>
  <si>
    <t>人工智能综合指数比较</t>
    <phoneticPr fontId="3" type="noConversion"/>
  </si>
  <si>
    <t>930713.CSI</t>
    <phoneticPr fontId="3" type="noConversion"/>
  </si>
  <si>
    <t>中证人工智能主题</t>
    <phoneticPr fontId="3" type="noConversion"/>
  </si>
  <si>
    <t>012733.OF</t>
    <phoneticPr fontId="3" type="noConversion"/>
  </si>
  <si>
    <t>易方达中证人工智能主题ETF联接A</t>
    <phoneticPr fontId="3" type="noConversion"/>
  </si>
  <si>
    <t>管理费0.15%，但是收益更低？</t>
    <phoneticPr fontId="3" type="noConversion"/>
  </si>
  <si>
    <t>管理费0.8%</t>
    <phoneticPr fontId="3" type="noConversion"/>
  </si>
  <si>
    <t>931071.CSI</t>
    <phoneticPr fontId="3" type="noConversion"/>
  </si>
  <si>
    <t>中证人工智能产业指数</t>
    <phoneticPr fontId="3" type="noConversion"/>
  </si>
  <si>
    <t>008020.OF</t>
    <phoneticPr fontId="3" type="noConversion"/>
  </si>
  <si>
    <t>华富中证人工智能产业ETF联接A（只有1只）</t>
    <phoneticPr fontId="3" type="noConversion"/>
  </si>
  <si>
    <t>024662.OF</t>
  </si>
  <si>
    <t>富国创业板人工智能ETF发起式联接A</t>
    <phoneticPr fontId="3" type="noConversion"/>
  </si>
  <si>
    <t>950180.SH</t>
    <phoneticPr fontId="3" type="noConversion"/>
  </si>
  <si>
    <t>上证科创板人工智能（简称“科创AI”</t>
    <phoneticPr fontId="3" type="noConversion"/>
  </si>
  <si>
    <t>024874.OF</t>
    <phoneticPr fontId="3" type="noConversion"/>
  </si>
  <si>
    <t>嘉实上证科创板人工智能指数发起式A</t>
    <phoneticPr fontId="3" type="noConversion"/>
  </si>
  <si>
    <t>932456.CSI</t>
    <phoneticPr fontId="3" type="noConversion"/>
  </si>
  <si>
    <t>科创创业AI</t>
    <phoneticPr fontId="3" type="noConversion"/>
  </si>
  <si>
    <t>027047.OF</t>
    <phoneticPr fontId="3" type="noConversion"/>
  </si>
  <si>
    <t>景顺长城中证科创创业人工智能ETF发起式联接A</t>
    <phoneticPr fontId="3" type="noConversion"/>
  </si>
  <si>
    <t>027033.OF</t>
    <phoneticPr fontId="3" type="noConversion"/>
  </si>
  <si>
    <t>中银中证科创创业人工智能指数发起式A</t>
    <phoneticPr fontId="3" type="noConversion"/>
  </si>
  <si>
    <t>931643.CSI</t>
    <phoneticPr fontId="3" type="noConversion"/>
  </si>
  <si>
    <t>科创创业50</t>
    <phoneticPr fontId="3" type="noConversion"/>
  </si>
  <si>
    <t>这个指数编制没有产业链逻辑</t>
    <phoneticPr fontId="3" type="noConversion"/>
  </si>
  <si>
    <t>市值加权</t>
    <phoneticPr fontId="3" type="noConversion"/>
  </si>
  <si>
    <t>012894.OF</t>
    <phoneticPr fontId="3" type="noConversion"/>
  </si>
  <si>
    <t>天弘中证科创创业50ETF联接A</t>
    <phoneticPr fontId="3" type="noConversion"/>
  </si>
  <si>
    <t>013315.OF</t>
    <phoneticPr fontId="3" type="noConversion"/>
  </si>
  <si>
    <t>嘉实中证科创创业50ETF发起式联接A</t>
    <phoneticPr fontId="3" type="noConversion"/>
  </si>
  <si>
    <t>中证电网设备主题</t>
    <phoneticPr fontId="3" type="noConversion"/>
  </si>
  <si>
    <t>新能源电池</t>
    <phoneticPr fontId="3" type="noConversion"/>
  </si>
  <si>
    <t>020899.OF</t>
  </si>
  <si>
    <t>天弘中证全指通信设备指数发起式A</t>
  </si>
  <si>
    <t>宽基指数</t>
    <phoneticPr fontId="3" type="noConversion"/>
  </si>
  <si>
    <t>指增观察池</t>
    <phoneticPr fontId="3" type="noConversion"/>
  </si>
  <si>
    <t>累计收益收益率</t>
    <phoneticPr fontId="3" type="noConversion"/>
  </si>
  <si>
    <t>年化超额收益率</t>
    <phoneticPr fontId="3" type="noConversion"/>
  </si>
  <si>
    <t>年化IR</t>
    <phoneticPr fontId="3" type="noConversion"/>
  </si>
  <si>
    <t>6月以来</t>
  </si>
  <si>
    <t>Q2以来</t>
  </si>
  <si>
    <t>2026YTD</t>
  </si>
  <si>
    <t>近1年</t>
    <phoneticPr fontId="3" type="noConversion"/>
  </si>
  <si>
    <t>近3年</t>
    <phoneticPr fontId="3" type="noConversion"/>
  </si>
  <si>
    <t>近1年</t>
    <phoneticPr fontId="3" type="noConversion"/>
  </si>
  <si>
    <t>近2年</t>
    <phoneticPr fontId="3" type="noConversion"/>
  </si>
  <si>
    <t>近1年</t>
    <phoneticPr fontId="3" type="noConversion"/>
  </si>
  <si>
    <t>近3年</t>
    <phoneticPr fontId="3" type="noConversion"/>
  </si>
  <si>
    <t>6月以来</t>
    <phoneticPr fontId="3" type="noConversion"/>
  </si>
  <si>
    <t>2026YTD</t>
    <phoneticPr fontId="3" type="noConversion"/>
  </si>
  <si>
    <t>近2年</t>
    <phoneticPr fontId="3" type="noConversion"/>
  </si>
  <si>
    <t>近3年</t>
    <phoneticPr fontId="3" type="noConversion"/>
  </si>
  <si>
    <t>2025年</t>
    <phoneticPr fontId="3" type="noConversion"/>
  </si>
  <si>
    <t>2024年</t>
    <phoneticPr fontId="3" type="noConversion"/>
  </si>
  <si>
    <t>1年超额收益率</t>
    <phoneticPr fontId="18" type="noConversion"/>
  </si>
  <si>
    <t>超额收益标准差</t>
    <phoneticPr fontId="18" type="noConversion"/>
  </si>
  <si>
    <t>2年年化超额收益率</t>
    <phoneticPr fontId="18" type="noConversion"/>
  </si>
  <si>
    <t>超额标准差</t>
    <phoneticPr fontId="18" type="noConversion"/>
  </si>
  <si>
    <t>3年年化超额收益率</t>
    <phoneticPr fontId="18" type="noConversion"/>
  </si>
  <si>
    <t>超额标准差</t>
    <phoneticPr fontId="18" type="noConversion"/>
  </si>
  <si>
    <t>pm管理日期</t>
    <phoneticPr fontId="3" type="noConversion"/>
  </si>
  <si>
    <t>基金成立日</t>
    <phoneticPr fontId="3" type="noConversion"/>
  </si>
  <si>
    <t>跟踪代码</t>
    <phoneticPr fontId="3" type="noConversion"/>
  </si>
  <si>
    <t>中证500</t>
    <phoneticPr fontId="3" type="noConversion"/>
  </si>
  <si>
    <t>015453.OF</t>
  </si>
  <si>
    <t>中欧中证500指数增强A</t>
  </si>
  <si>
    <t>中证500</t>
    <phoneticPr fontId="3" type="noConversion"/>
  </si>
  <si>
    <t>014155.OF</t>
  </si>
  <si>
    <t>国泰海通中证500指数增强A</t>
  </si>
  <si>
    <t>008778.OF</t>
    <phoneticPr fontId="3" type="noConversion"/>
  </si>
  <si>
    <t>中证500</t>
    <phoneticPr fontId="3" type="noConversion"/>
  </si>
  <si>
    <t>001556.OF</t>
  </si>
  <si>
    <t>天弘中证500指数增强A</t>
  </si>
  <si>
    <t>006593.OF</t>
  </si>
  <si>
    <t>博道中证500指数增强A</t>
  </si>
  <si>
    <t>006729.OF</t>
  </si>
  <si>
    <t>万家中证500指数增强发起式A</t>
  </si>
  <si>
    <t>中证500</t>
    <phoneticPr fontId="3" type="noConversion"/>
  </si>
  <si>
    <t>004945.OF</t>
  </si>
  <si>
    <t>长信中证500指数增强A</t>
  </si>
  <si>
    <t>中证500</t>
    <phoneticPr fontId="3" type="noConversion"/>
  </si>
  <si>
    <t>007994.OF</t>
  </si>
  <si>
    <t>华夏中证500指数增强A</t>
  </si>
  <si>
    <t>000905.SH</t>
    <phoneticPr fontId="3" type="noConversion"/>
  </si>
  <si>
    <t>中证500</t>
    <phoneticPr fontId="3" type="noConversion"/>
  </si>
  <si>
    <t>中证1000</t>
    <phoneticPr fontId="3" type="noConversion"/>
  </si>
  <si>
    <t>015867.OF</t>
  </si>
  <si>
    <t>国泰海通中证1000指数增强A</t>
  </si>
  <si>
    <t>中证1000</t>
    <phoneticPr fontId="3" type="noConversion"/>
  </si>
  <si>
    <t>017953.OF</t>
  </si>
  <si>
    <t>汇添富中证1000指数增强A</t>
  </si>
  <si>
    <t>中证1000</t>
    <phoneticPr fontId="3" type="noConversion"/>
  </si>
  <si>
    <t>019240.OF</t>
  </si>
  <si>
    <t>华泰柏瑞中证1000指数增强A</t>
  </si>
  <si>
    <t>中证1000</t>
    <phoneticPr fontId="3" type="noConversion"/>
  </si>
  <si>
    <t>014201.OF</t>
  </si>
  <si>
    <t>天弘中证1000指数增强A</t>
  </si>
  <si>
    <t>中证1000</t>
    <phoneticPr fontId="3" type="noConversion"/>
  </si>
  <si>
    <t>016776.OF</t>
    <phoneticPr fontId="3" type="noConversion"/>
  </si>
  <si>
    <t>中证1000</t>
    <phoneticPr fontId="3" type="noConversion"/>
  </si>
  <si>
    <t>017644.OF</t>
  </si>
  <si>
    <t>博道中证1000指数增强A</t>
  </si>
  <si>
    <t>015495.OF</t>
  </si>
  <si>
    <t>景顺长城中证1000指数增强A</t>
  </si>
  <si>
    <t>006165.OF</t>
  </si>
  <si>
    <t>建信中证1000指数增强A</t>
  </si>
  <si>
    <t>中证1000</t>
    <phoneticPr fontId="3" type="noConversion"/>
  </si>
  <si>
    <t>005313.OF</t>
  </si>
  <si>
    <t>万家中证1000指数增强A</t>
  </si>
  <si>
    <t>004194.OF</t>
  </si>
  <si>
    <t>招商中证1000指数增强A</t>
  </si>
  <si>
    <t>000852.SH</t>
  </si>
  <si>
    <t>中证1000</t>
    <phoneticPr fontId="3" type="noConversion"/>
  </si>
  <si>
    <t>中证2000</t>
    <phoneticPr fontId="3" type="noConversion"/>
  </si>
  <si>
    <t>019923.OF</t>
  </si>
  <si>
    <t>华泰柏瑞中证2000指数增强A</t>
  </si>
  <si>
    <t>中证2000</t>
    <phoneticPr fontId="3" type="noConversion"/>
  </si>
  <si>
    <t>019918.OF</t>
  </si>
  <si>
    <t>招商中证2000指数增强A</t>
  </si>
  <si>
    <t>中证2000</t>
    <phoneticPr fontId="3" type="noConversion"/>
  </si>
  <si>
    <t>019920.OF</t>
  </si>
  <si>
    <t>万家中证2000指数增强A</t>
  </si>
  <si>
    <t>932000.CSI</t>
    <phoneticPr fontId="3" type="noConversion"/>
  </si>
  <si>
    <t>中证2000</t>
    <phoneticPr fontId="3" type="noConversion"/>
  </si>
  <si>
    <t>沪深300</t>
    <phoneticPr fontId="3" type="noConversion"/>
  </si>
  <si>
    <t>003957.OF</t>
  </si>
  <si>
    <t>安信量化精选沪深300指数增强A</t>
  </si>
  <si>
    <t>沪深300</t>
    <phoneticPr fontId="3" type="noConversion"/>
  </si>
  <si>
    <t>007044.OF</t>
  </si>
  <si>
    <t>博道沪深300指数增强A</t>
  </si>
  <si>
    <t>沪深300</t>
    <phoneticPr fontId="3" type="noConversion"/>
  </si>
  <si>
    <t>008592.OF</t>
  </si>
  <si>
    <t>天弘沪深300指数增强发起式A</t>
  </si>
  <si>
    <t>沪深300</t>
    <phoneticPr fontId="3" type="noConversion"/>
  </si>
  <si>
    <t>000311.OF</t>
    <phoneticPr fontId="3" type="noConversion"/>
  </si>
  <si>
    <t>景顺长城沪深300指数增强</t>
    <phoneticPr fontId="3" type="noConversion"/>
  </si>
  <si>
    <t>010736.OF</t>
  </si>
  <si>
    <t>易方达沪深300指数精选增强A</t>
  </si>
  <si>
    <t>002670.OF</t>
  </si>
  <si>
    <t>万家沪深300指数增强A</t>
  </si>
  <si>
    <t>000300.SH</t>
    <phoneticPr fontId="3" type="noConversion"/>
  </si>
  <si>
    <t>160706.OF</t>
    <phoneticPr fontId="3" type="noConversion"/>
  </si>
  <si>
    <t>嘉实沪深300ETF联接(LOF)A</t>
  </si>
  <si>
    <t>110020.OF</t>
  </si>
  <si>
    <t>易方达沪深300ETF发起式联接A</t>
  </si>
  <si>
    <t>000051.OF</t>
  </si>
  <si>
    <t>华夏沪深300ETF联接A</t>
  </si>
  <si>
    <t>000008.OF</t>
  </si>
  <si>
    <t>嘉实中证500ETF联接A</t>
  </si>
  <si>
    <t>001052.OF</t>
  </si>
  <si>
    <t>华夏中证500ETF联接A</t>
  </si>
  <si>
    <t>160119.SZ</t>
  </si>
  <si>
    <t>南方中证500ETF联接(LOF)A</t>
  </si>
  <si>
    <t>011860.OF</t>
  </si>
  <si>
    <t>南方中证1000ETF发起式联接A</t>
  </si>
  <si>
    <t>006486.OF</t>
  </si>
  <si>
    <t>广发中证1000ETF联接A</t>
  </si>
  <si>
    <t>013922.OF</t>
  </si>
  <si>
    <t>华夏中证1000ETF发起式联接A</t>
  </si>
  <si>
    <t>019891.OF</t>
  </si>
  <si>
    <t>华夏中证2000ETF发起式联接A</t>
  </si>
  <si>
    <t>019870.OF</t>
  </si>
  <si>
    <t>华泰柏瑞中证2000ETF发起式联接A</t>
  </si>
  <si>
    <t>代码</t>
    <phoneticPr fontId="3" type="noConversion"/>
  </si>
  <si>
    <t>框架稳定、长期信息比率高</t>
    <phoneticPr fontId="3" type="noConversion"/>
  </si>
  <si>
    <t>等权</t>
    <phoneticPr fontId="3" type="noConversion"/>
  </si>
  <si>
    <t>成立日期</t>
    <phoneticPr fontId="3" type="noConversion"/>
  </si>
  <si>
    <t>000906.SH</t>
  </si>
  <si>
    <t>中证800</t>
    <phoneticPr fontId="3" type="noConversion"/>
  </si>
  <si>
    <t>基准</t>
    <phoneticPr fontId="3" type="noConversion"/>
  </si>
  <si>
    <t>019555.OF</t>
    <phoneticPr fontId="3" type="noConversion"/>
  </si>
  <si>
    <t>中银中证1000指数增强</t>
    <phoneticPr fontId="3" type="noConversion"/>
  </si>
  <si>
    <t>-</t>
    <phoneticPr fontId="3" type="noConversion"/>
  </si>
  <si>
    <t>-</t>
    <phoneticPr fontId="3" type="noConversion"/>
  </si>
  <si>
    <t>007044.OF</t>
    <phoneticPr fontId="3" type="noConversion"/>
  </si>
  <si>
    <t>博道沪深300指数增强A</t>
    <phoneticPr fontId="3" type="noConversion"/>
  </si>
  <si>
    <t>003957.OF</t>
    <phoneticPr fontId="3" type="noConversion"/>
  </si>
  <si>
    <t>安信量化精选沪深300指数增强A</t>
    <phoneticPr fontId="3" type="noConversion"/>
  </si>
  <si>
    <t>000905.SH</t>
    <phoneticPr fontId="3" type="noConversion"/>
  </si>
  <si>
    <t>中证1000</t>
    <phoneticPr fontId="3" type="noConversion"/>
  </si>
  <si>
    <t>932000.CSI</t>
    <phoneticPr fontId="3" type="noConversion"/>
  </si>
  <si>
    <t>-</t>
    <phoneticPr fontId="3" type="noConversion"/>
  </si>
  <si>
    <t>-</t>
    <phoneticPr fontId="3" type="noConversion"/>
  </si>
  <si>
    <t>007044.OF</t>
    <phoneticPr fontId="3" type="noConversion"/>
  </si>
  <si>
    <t>博道沪深300指数增强A</t>
    <phoneticPr fontId="3" type="noConversion"/>
  </si>
  <si>
    <t>000905.SH</t>
    <phoneticPr fontId="3" type="noConversion"/>
  </si>
  <si>
    <t>中证500</t>
    <phoneticPr fontId="3" type="noConversion"/>
  </si>
  <si>
    <t>中证1000</t>
    <phoneticPr fontId="3" type="noConversion"/>
  </si>
  <si>
    <t>932000.CSI</t>
    <phoneticPr fontId="3" type="noConversion"/>
  </si>
  <si>
    <t>中证2000</t>
    <phoneticPr fontId="3" type="noConversion"/>
  </si>
  <si>
    <t>000300.SH</t>
    <phoneticPr fontId="3" type="noConversion"/>
  </si>
  <si>
    <t>沪深300</t>
    <phoneticPr fontId="3" type="noConversion"/>
  </si>
  <si>
    <t>大类分类</t>
    <phoneticPr fontId="3" type="noConversion"/>
  </si>
  <si>
    <t>基金代码</t>
    <phoneticPr fontId="3" type="noConversion"/>
  </si>
  <si>
    <t>基金规模</t>
    <phoneticPr fontId="3" type="noConversion"/>
  </si>
  <si>
    <t>年化超额收益率</t>
    <phoneticPr fontId="3" type="noConversion"/>
  </si>
  <si>
    <t>超额收益标准差</t>
    <phoneticPr fontId="18" type="noConversion"/>
  </si>
  <si>
    <t>2年年化超额收益率</t>
    <phoneticPr fontId="18" type="noConversion"/>
  </si>
  <si>
    <t>3年年化超额收益率</t>
    <phoneticPr fontId="18" type="noConversion"/>
  </si>
  <si>
    <t>pm管理日期</t>
    <phoneticPr fontId="3" type="noConversion"/>
  </si>
  <si>
    <t>基金成立日</t>
    <phoneticPr fontId="3" type="noConversion"/>
  </si>
  <si>
    <t>跟踪代码</t>
    <phoneticPr fontId="3" type="noConversion"/>
  </si>
  <si>
    <t>生息</t>
    <phoneticPr fontId="3" type="noConversion"/>
  </si>
  <si>
    <t>161119.OF</t>
    <phoneticPr fontId="3" type="noConversion"/>
  </si>
  <si>
    <t>006491.OF</t>
    <phoneticPr fontId="3" type="noConversion"/>
  </si>
  <si>
    <t>009593.OF</t>
    <phoneticPr fontId="3" type="noConversion"/>
  </si>
  <si>
    <t>008015.OF</t>
    <phoneticPr fontId="3" type="noConversion"/>
  </si>
  <si>
    <t>009325.OF</t>
    <phoneticPr fontId="3" type="noConversion"/>
  </si>
  <si>
    <t>003376.OF</t>
    <phoneticPr fontId="3" type="noConversion"/>
  </si>
  <si>
    <t>009803.OF</t>
    <phoneticPr fontId="3" type="noConversion"/>
  </si>
  <si>
    <t>018996.OF</t>
    <phoneticPr fontId="3" type="noConversion"/>
  </si>
  <si>
    <t>保障</t>
    <phoneticPr fontId="3" type="noConversion"/>
  </si>
  <si>
    <t>000216.OF</t>
    <phoneticPr fontId="3" type="noConversion"/>
  </si>
  <si>
    <t>016581.OF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</si>
</sst>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 * #,##0.00_ ;_ * \-#,##0.00_ ;_ * &quot;-&quot;??_ ;_ @_ "/>
    <numFmt numFmtId="176" formatCode="0.0_ "/>
    <numFmt numFmtId="177" formatCode="0.0_ ;[Red]\-0.0\ "/>
    <numFmt numFmtId="178" formatCode="yyyy\-mm\-dd"/>
    <numFmt numFmtId="179" formatCode="0.0_);[Red]\(0.0\)"/>
    <numFmt numFmtId="180" formatCode="0.0%"/>
    <numFmt numFmtId="181" formatCode="0_);[Red]\(0\)"/>
    <numFmt numFmtId="182" formatCode="#,##0.0"/>
  </numFmts>
  <fonts count="20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color rgb="FF000000"/>
      <name val="华文中宋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华文中宋"/>
      <family val="3"/>
      <charset val="134"/>
    </font>
    <font>
      <b/>
      <sz val="12"/>
      <color theme="1"/>
      <name val="华文中宋"/>
      <family val="3"/>
      <charset val="134"/>
    </font>
    <font>
      <sz val="9"/>
      <color theme="1"/>
      <name val="华文中宋"/>
      <family val="3"/>
      <charset val="134"/>
    </font>
    <font>
      <b/>
      <sz val="10"/>
      <color theme="1"/>
      <name val="华文中宋"/>
      <family val="3"/>
      <charset val="134"/>
    </font>
    <font>
      <b/>
      <sz val="9"/>
      <color theme="1"/>
      <name val="华文中宋"/>
      <family val="3"/>
      <charset val="134"/>
    </font>
    <font>
      <sz val="9"/>
      <name val="宋体"/>
      <family val="2"/>
      <charset val="134"/>
      <scheme val="minor"/>
    </font>
    <font>
      <sz val="10"/>
      <name val="华文中宋"/>
      <family val="3"/>
      <charset val="134"/>
    </font>
    <font>
      <sz val="9"/>
      <name val="华文中宋"/>
      <family val="3"/>
      <charset val="134"/>
    </font>
    <font>
      <sz val="10"/>
      <color rgb="FFC00000"/>
      <name val="华文中宋"/>
      <family val="3"/>
      <charset val="134"/>
    </font>
    <font>
      <sz val="9"/>
      <color rgb="FFC00000"/>
      <name val="华文中宋"/>
      <family val="3"/>
      <charset val="134"/>
    </font>
    <font>
      <sz val="10"/>
      <color rgb="FF00B050"/>
      <name val="华文中宋"/>
      <family val="3"/>
      <charset val="134"/>
    </font>
    <font>
      <sz val="7"/>
      <color rgb="FF1B63D9"/>
      <name val="Microsoft YaHei"/>
      <family val="2"/>
      <charset val="134"/>
    </font>
    <font>
      <sz val="7"/>
      <color rgb="FF474762"/>
      <name val="Microsoft YaHei"/>
      <family val="2"/>
      <charset val="134"/>
    </font>
    <font>
      <b/>
      <sz val="10"/>
      <name val="华文中宋"/>
      <family val="3"/>
      <charset val="134"/>
    </font>
    <font>
      <sz val="9"/>
      <name val="宋体"/>
      <family val="3"/>
      <charset val="134"/>
    </font>
    <font>
      <sz val="10"/>
      <color rgb="FFFF0000"/>
      <name val="华文中宋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96">
    <xf numFmtId="0" fontId="0" fillId="0" borderId="0" xfId="0"/>
    <xf numFmtId="0" fontId="2" fillId="2" borderId="0" xfId="0" applyFont="1" applyFill="1" applyAlignment="1">
      <alignment horizontal="center" vertical="center" wrapText="1" readingOrder="1"/>
    </xf>
    <xf numFmtId="0" fontId="2" fillId="2" borderId="0" xfId="0" applyFont="1" applyFill="1" applyAlignment="1">
      <alignment horizontal="left" vertical="center" wrapText="1" readingOrder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14" fontId="4" fillId="2" borderId="0" xfId="0" applyNumberFormat="1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76" fontId="7" fillId="2" borderId="0" xfId="1" applyNumberFormat="1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center"/>
    </xf>
    <xf numFmtId="0" fontId="7" fillId="2" borderId="0" xfId="0" applyFont="1" applyFill="1"/>
    <xf numFmtId="0" fontId="6" fillId="2" borderId="0" xfId="0" applyFont="1" applyFill="1" applyAlignment="1">
      <alignment horizontal="center" vertical="center" wrapText="1"/>
    </xf>
    <xf numFmtId="176" fontId="10" fillId="2" borderId="0" xfId="1" applyNumberFormat="1" applyFont="1" applyFill="1" applyAlignment="1">
      <alignment horizontal="center" vertical="center"/>
    </xf>
    <xf numFmtId="176" fontId="11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76" fontId="12" fillId="3" borderId="0" xfId="1" applyNumberFormat="1" applyFont="1" applyFill="1" applyAlignment="1">
      <alignment horizontal="center" vertical="center"/>
    </xf>
    <xf numFmtId="176" fontId="13" fillId="3" borderId="0" xfId="0" applyNumberFormat="1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2" fillId="3" borderId="0" xfId="0" applyFont="1" applyFill="1"/>
    <xf numFmtId="0" fontId="13" fillId="3" borderId="0" xfId="0" applyFont="1" applyFill="1" applyAlignment="1">
      <alignment horizontal="center" vertical="center" wrapText="1" readingOrder="1"/>
    </xf>
    <xf numFmtId="0" fontId="12" fillId="3" borderId="0" xfId="0" applyFont="1" applyFill="1" applyAlignment="1">
      <alignment horizontal="center" vertical="center" wrapText="1" readingOrder="1"/>
    </xf>
    <xf numFmtId="0" fontId="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6" fontId="10" fillId="3" borderId="0" xfId="1" applyNumberFormat="1" applyFont="1" applyFill="1" applyAlignment="1">
      <alignment horizontal="center" vertical="center"/>
    </xf>
    <xf numFmtId="176" fontId="11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176" fontId="12" fillId="4" borderId="0" xfId="1" applyNumberFormat="1" applyFont="1" applyFill="1" applyAlignment="1">
      <alignment horizontal="center" vertical="center"/>
    </xf>
    <xf numFmtId="176" fontId="13" fillId="4" borderId="0" xfId="0" applyNumberFormat="1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2" fillId="4" borderId="0" xfId="0" applyFont="1" applyFill="1"/>
    <xf numFmtId="0" fontId="4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76" fontId="10" fillId="4" borderId="0" xfId="1" applyNumberFormat="1" applyFont="1" applyFill="1" applyAlignment="1">
      <alignment horizontal="center" vertical="center"/>
    </xf>
    <xf numFmtId="176" fontId="11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4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76" fontId="10" fillId="5" borderId="0" xfId="1" applyNumberFormat="1" applyFont="1" applyFill="1" applyAlignment="1">
      <alignment horizontal="center" vertical="center"/>
    </xf>
    <xf numFmtId="176" fontId="11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/>
    <xf numFmtId="0" fontId="4" fillId="2" borderId="0" xfId="0" applyFont="1" applyFill="1" applyAlignment="1">
      <alignment horizontal="left" vertical="top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176" fontId="10" fillId="6" borderId="0" xfId="1" applyNumberFormat="1" applyFont="1" applyFill="1" applyAlignment="1">
      <alignment horizontal="center" vertical="center"/>
    </xf>
    <xf numFmtId="176" fontId="11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vertical="top"/>
    </xf>
    <xf numFmtId="0" fontId="4" fillId="6" borderId="0" xfId="0" applyFont="1" applyFill="1"/>
    <xf numFmtId="0" fontId="12" fillId="2" borderId="0" xfId="0" applyFont="1" applyFill="1" applyAlignment="1">
      <alignment horizontal="left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/>
    </xf>
    <xf numFmtId="0" fontId="12" fillId="6" borderId="0" xfId="0" applyFont="1" applyFill="1" applyAlignment="1">
      <alignment horizontal="left"/>
    </xf>
    <xf numFmtId="0" fontId="14" fillId="6" borderId="0" xfId="0" applyFont="1" applyFill="1" applyAlignment="1">
      <alignment horizontal="left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4" fillId="7" borderId="0" xfId="0" applyFont="1" applyFill="1" applyAlignment="1">
      <alignment horizontal="left"/>
    </xf>
    <xf numFmtId="176" fontId="10" fillId="7" borderId="0" xfId="1" applyNumberFormat="1" applyFont="1" applyFill="1" applyAlignment="1">
      <alignment horizontal="center" vertical="center"/>
    </xf>
    <xf numFmtId="176" fontId="11" fillId="7" borderId="0" xfId="0" applyNumberFormat="1" applyFont="1" applyFill="1" applyAlignment="1">
      <alignment horizontal="center"/>
    </xf>
    <xf numFmtId="0" fontId="4" fillId="7" borderId="0" xfId="0" applyFont="1" applyFill="1"/>
    <xf numFmtId="0" fontId="14" fillId="7" borderId="0" xfId="0" applyFont="1" applyFill="1" applyAlignment="1">
      <alignment horizontal="left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left"/>
    </xf>
    <xf numFmtId="176" fontId="10" fillId="8" borderId="0" xfId="1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left" vertical="center"/>
    </xf>
    <xf numFmtId="176" fontId="10" fillId="9" borderId="0" xfId="1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left"/>
    </xf>
    <xf numFmtId="0" fontId="4" fillId="9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horizontal="left" vertical="top"/>
    </xf>
    <xf numFmtId="0" fontId="4" fillId="8" borderId="0" xfId="0" applyFont="1" applyFill="1" applyAlignment="1">
      <alignment horizontal="left" vertical="top"/>
    </xf>
    <xf numFmtId="0" fontId="4" fillId="8" borderId="0" xfId="0" applyFont="1" applyFill="1" applyAlignment="1">
      <alignment horizontal="center" vertical="top"/>
    </xf>
    <xf numFmtId="176" fontId="10" fillId="2" borderId="0" xfId="0" applyNumberFormat="1" applyFont="1" applyFill="1" applyAlignment="1">
      <alignment horizontal="center"/>
    </xf>
    <xf numFmtId="176" fontId="10" fillId="2" borderId="0" xfId="0" applyNumberFormat="1" applyFont="1" applyFill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177" fontId="10" fillId="6" borderId="0" xfId="1" applyNumberFormat="1" applyFont="1" applyFill="1" applyAlignment="1">
      <alignment horizontal="center" vertical="center"/>
    </xf>
    <xf numFmtId="178" fontId="6" fillId="6" borderId="0" xfId="0" applyNumberFormat="1" applyFont="1" applyFill="1" applyAlignment="1">
      <alignment horizontal="center"/>
    </xf>
    <xf numFmtId="179" fontId="10" fillId="8" borderId="0" xfId="1" applyNumberFormat="1" applyFont="1" applyFill="1" applyAlignment="1">
      <alignment horizontal="center" vertical="center"/>
    </xf>
    <xf numFmtId="178" fontId="6" fillId="2" borderId="0" xfId="0" applyNumberFormat="1" applyFont="1" applyFill="1" applyAlignment="1">
      <alignment horizontal="center"/>
    </xf>
    <xf numFmtId="177" fontId="10" fillId="2" borderId="0" xfId="1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177" fontId="10" fillId="7" borderId="0" xfId="1" applyNumberFormat="1" applyFont="1" applyFill="1" applyAlignment="1">
      <alignment horizontal="center" vertical="center"/>
    </xf>
    <xf numFmtId="178" fontId="6" fillId="7" borderId="0" xfId="0" applyNumberFormat="1" applyFont="1" applyFill="1" applyAlignment="1">
      <alignment horizontal="center"/>
    </xf>
    <xf numFmtId="0" fontId="4" fillId="10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 vertical="top"/>
    </xf>
    <xf numFmtId="0" fontId="6" fillId="10" borderId="0" xfId="0" applyFont="1" applyFill="1" applyAlignment="1">
      <alignment horizontal="center"/>
    </xf>
    <xf numFmtId="0" fontId="4" fillId="10" borderId="0" xfId="0" applyFont="1" applyFill="1"/>
    <xf numFmtId="177" fontId="10" fillId="9" borderId="0" xfId="1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wrapText="1"/>
    </xf>
    <xf numFmtId="0" fontId="4" fillId="11" borderId="0" xfId="0" applyFont="1" applyFill="1" applyAlignment="1">
      <alignment horizontal="center"/>
    </xf>
    <xf numFmtId="0" fontId="15" fillId="12" borderId="0" xfId="0" applyFont="1" applyFill="1" applyAlignment="1">
      <alignment horizontal="center" vertical="center" wrapText="1"/>
    </xf>
    <xf numFmtId="0" fontId="16" fillId="12" borderId="0" xfId="0" applyFont="1" applyFill="1" applyAlignment="1">
      <alignment horizontal="left" vertical="center"/>
    </xf>
    <xf numFmtId="0" fontId="15" fillId="0" borderId="0" xfId="0" applyFont="1"/>
    <xf numFmtId="0" fontId="16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14" fontId="4" fillId="11" borderId="0" xfId="0" applyNumberFormat="1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14" fontId="4" fillId="10" borderId="0" xfId="0" applyNumberFormat="1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vertical="center" wrapText="1"/>
    </xf>
    <xf numFmtId="0" fontId="4" fillId="3" borderId="0" xfId="0" applyFont="1" applyFill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left" vertical="center"/>
      <protection locked="0"/>
    </xf>
    <xf numFmtId="178" fontId="4" fillId="3" borderId="0" xfId="0" applyNumberFormat="1" applyFont="1" applyFill="1" applyAlignment="1" applyProtection="1">
      <alignment horizontal="center" vertical="center"/>
      <protection locked="0"/>
    </xf>
    <xf numFmtId="180" fontId="10" fillId="3" borderId="0" xfId="2" applyNumberFormat="1" applyFont="1" applyFill="1" applyAlignment="1">
      <alignment horizontal="center" vertical="center"/>
    </xf>
    <xf numFmtId="179" fontId="10" fillId="3" borderId="0" xfId="1" applyNumberFormat="1" applyFont="1" applyFill="1" applyAlignment="1">
      <alignment horizontal="center" vertical="center"/>
    </xf>
    <xf numFmtId="177" fontId="10" fillId="3" borderId="0" xfId="1" applyNumberFormat="1" applyFont="1" applyFill="1" applyAlignment="1">
      <alignment horizontal="center" vertical="center"/>
    </xf>
    <xf numFmtId="180" fontId="4" fillId="0" borderId="0" xfId="2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right"/>
    </xf>
    <xf numFmtId="0" fontId="19" fillId="3" borderId="0" xfId="0" applyFont="1" applyFill="1" applyAlignment="1">
      <alignment horizontal="center" vertical="center"/>
    </xf>
    <xf numFmtId="0" fontId="19" fillId="3" borderId="0" xfId="0" applyFont="1" applyFill="1" applyAlignment="1" applyProtection="1">
      <alignment horizontal="center" vertical="center"/>
      <protection locked="0"/>
    </xf>
    <xf numFmtId="0" fontId="19" fillId="3" borderId="0" xfId="0" applyFont="1" applyFill="1" applyAlignment="1" applyProtection="1">
      <alignment horizontal="left" vertical="center"/>
      <protection locked="0"/>
    </xf>
    <xf numFmtId="178" fontId="19" fillId="3" borderId="0" xfId="0" applyNumberFormat="1" applyFont="1" applyFill="1" applyAlignment="1" applyProtection="1">
      <alignment horizontal="center" vertical="center"/>
      <protection locked="0"/>
    </xf>
    <xf numFmtId="180" fontId="19" fillId="3" borderId="0" xfId="2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78" fontId="4" fillId="2" borderId="0" xfId="0" applyNumberFormat="1" applyFont="1" applyFill="1" applyAlignment="1" applyProtection="1">
      <alignment horizontal="center" vertical="center"/>
      <protection locked="0"/>
    </xf>
    <xf numFmtId="180" fontId="10" fillId="2" borderId="0" xfId="2" applyNumberFormat="1" applyFont="1" applyFill="1" applyAlignment="1">
      <alignment horizontal="center" vertical="center"/>
    </xf>
    <xf numFmtId="179" fontId="10" fillId="2" borderId="0" xfId="1" applyNumberFormat="1" applyFont="1" applyFill="1" applyAlignment="1">
      <alignment horizontal="center" vertical="center"/>
    </xf>
    <xf numFmtId="180" fontId="4" fillId="2" borderId="0" xfId="2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78" fontId="4" fillId="2" borderId="0" xfId="0" applyNumberFormat="1" applyFont="1" applyFill="1" applyAlignment="1">
      <alignment horizontal="right"/>
    </xf>
    <xf numFmtId="0" fontId="0" fillId="2" borderId="0" xfId="0" applyFill="1"/>
    <xf numFmtId="179" fontId="10" fillId="0" borderId="0" xfId="1" applyNumberFormat="1" applyFont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3" borderId="0" xfId="0" applyFont="1" applyFill="1" applyAlignment="1" applyProtection="1">
      <alignment horizontal="center" vertical="center"/>
      <protection locked="0"/>
    </xf>
    <xf numFmtId="0" fontId="4" fillId="13" borderId="0" xfId="0" applyFont="1" applyFill="1" applyAlignment="1" applyProtection="1">
      <alignment horizontal="left" vertical="center"/>
      <protection locked="0"/>
    </xf>
    <xf numFmtId="178" fontId="4" fillId="13" borderId="0" xfId="0" applyNumberFormat="1" applyFont="1" applyFill="1" applyAlignment="1" applyProtection="1">
      <alignment horizontal="center" vertical="center"/>
      <protection locked="0"/>
    </xf>
    <xf numFmtId="180" fontId="10" fillId="13" borderId="0" xfId="2" applyNumberFormat="1" applyFont="1" applyFill="1" applyAlignment="1">
      <alignment horizontal="center" vertical="center"/>
    </xf>
    <xf numFmtId="179" fontId="10" fillId="13" borderId="0" xfId="1" applyNumberFormat="1" applyFont="1" applyFill="1" applyAlignment="1">
      <alignment horizontal="center" vertical="center"/>
    </xf>
    <xf numFmtId="177" fontId="10" fillId="13" borderId="0" xfId="1" applyNumberFormat="1" applyFont="1" applyFill="1" applyAlignment="1">
      <alignment horizontal="center" vertical="center"/>
    </xf>
    <xf numFmtId="180" fontId="4" fillId="13" borderId="0" xfId="2" applyNumberFormat="1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178" fontId="4" fillId="13" borderId="0" xfId="0" applyNumberFormat="1" applyFont="1" applyFill="1" applyAlignment="1">
      <alignment horizontal="right"/>
    </xf>
    <xf numFmtId="0" fontId="4" fillId="13" borderId="0" xfId="0" applyFont="1" applyFill="1"/>
    <xf numFmtId="0" fontId="0" fillId="13" borderId="0" xfId="0" applyFill="1"/>
    <xf numFmtId="0" fontId="19" fillId="13" borderId="0" xfId="0" applyFont="1" applyFill="1" applyAlignment="1">
      <alignment horizontal="center" vertical="center"/>
    </xf>
    <xf numFmtId="0" fontId="19" fillId="13" borderId="0" xfId="0" applyFont="1" applyFill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left" vertical="center"/>
      <protection locked="0"/>
    </xf>
    <xf numFmtId="178" fontId="19" fillId="13" borderId="0" xfId="0" applyNumberFormat="1" applyFont="1" applyFill="1" applyAlignment="1" applyProtection="1">
      <alignment horizontal="center" vertical="center"/>
      <protection locked="0"/>
    </xf>
    <xf numFmtId="180" fontId="19" fillId="13" borderId="0" xfId="2" applyNumberFormat="1" applyFont="1" applyFill="1" applyAlignment="1">
      <alignment horizontal="center" vertical="center"/>
    </xf>
    <xf numFmtId="0" fontId="10" fillId="13" borderId="0" xfId="1" applyNumberFormat="1" applyFont="1" applyFill="1" applyAlignment="1">
      <alignment horizontal="center" vertical="center"/>
    </xf>
    <xf numFmtId="180" fontId="4" fillId="3" borderId="0" xfId="2" applyNumberFormat="1" applyFont="1" applyFill="1" applyAlignment="1">
      <alignment horizontal="center" vertical="center"/>
    </xf>
    <xf numFmtId="0" fontId="4" fillId="7" borderId="0" xfId="0" applyFont="1" applyFill="1" applyAlignment="1" applyProtection="1">
      <alignment horizontal="center" vertical="center"/>
      <protection locked="0"/>
    </xf>
    <xf numFmtId="0" fontId="4" fillId="7" borderId="0" xfId="0" applyFont="1" applyFill="1" applyAlignment="1" applyProtection="1">
      <alignment horizontal="left" vertical="center"/>
      <protection locked="0"/>
    </xf>
    <xf numFmtId="178" fontId="4" fillId="7" borderId="0" xfId="0" applyNumberFormat="1" applyFont="1" applyFill="1" applyAlignment="1" applyProtection="1">
      <alignment horizontal="left" vertical="center"/>
      <protection locked="0"/>
    </xf>
    <xf numFmtId="180" fontId="10" fillId="7" borderId="0" xfId="2" applyNumberFormat="1" applyFont="1" applyFill="1" applyAlignment="1">
      <alignment horizontal="center" vertical="center"/>
    </xf>
    <xf numFmtId="179" fontId="10" fillId="7" borderId="0" xfId="1" applyNumberFormat="1" applyFont="1" applyFill="1" applyAlignment="1">
      <alignment horizontal="center" vertical="center"/>
    </xf>
    <xf numFmtId="180" fontId="4" fillId="7" borderId="0" xfId="2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78" fontId="4" fillId="7" borderId="0" xfId="0" applyNumberFormat="1" applyFont="1" applyFill="1" applyAlignment="1">
      <alignment horizontal="right"/>
    </xf>
    <xf numFmtId="0" fontId="0" fillId="7" borderId="0" xfId="0" applyFill="1"/>
    <xf numFmtId="178" fontId="4" fillId="2" borderId="0" xfId="0" applyNumberFormat="1" applyFont="1" applyFill="1" applyAlignment="1" applyProtection="1">
      <alignment horizontal="left" vertical="center"/>
      <protection locked="0"/>
    </xf>
    <xf numFmtId="0" fontId="4" fillId="13" borderId="0" xfId="0" applyFont="1" applyFill="1" applyAlignment="1">
      <alignment horizontal="left" vertical="center"/>
    </xf>
    <xf numFmtId="0" fontId="4" fillId="0" borderId="0" xfId="0" applyFont="1" applyAlignment="1">
      <alignment horizontal="center"/>
    </xf>
    <xf numFmtId="180" fontId="4" fillId="7" borderId="0" xfId="2" applyNumberFormat="1" applyFont="1" applyFill="1" applyAlignment="1" applyProtection="1">
      <alignment horizontal="center" vertical="center"/>
      <protection locked="0"/>
    </xf>
    <xf numFmtId="178" fontId="4" fillId="0" borderId="0" xfId="0" applyNumberFormat="1" applyFont="1" applyAlignment="1">
      <alignment horizontal="center"/>
    </xf>
    <xf numFmtId="180" fontId="4" fillId="3" borderId="0" xfId="2" applyNumberFormat="1" applyFont="1" applyFill="1" applyAlignment="1" applyProtection="1">
      <alignment horizontal="center" vertical="center"/>
      <protection locked="0"/>
    </xf>
    <xf numFmtId="180" fontId="4" fillId="13" borderId="0" xfId="2" applyNumberFormat="1" applyFont="1" applyFill="1" applyAlignment="1" applyProtection="1">
      <alignment horizontal="center" vertical="center"/>
      <protection locked="0"/>
    </xf>
    <xf numFmtId="181" fontId="4" fillId="0" borderId="0" xfId="1" applyNumberFormat="1" applyFont="1" applyAlignment="1">
      <alignment horizontal="right"/>
    </xf>
    <xf numFmtId="178" fontId="4" fillId="7" borderId="0" xfId="0" applyNumberFormat="1" applyFont="1" applyFill="1" applyAlignment="1" applyProtection="1">
      <alignment horizontal="center" vertical="center"/>
      <protection locked="0"/>
    </xf>
    <xf numFmtId="0" fontId="4" fillId="3" borderId="0" xfId="0" applyFont="1" applyFill="1" applyAlignment="1">
      <alignment horizontal="center" vertical="center"/>
    </xf>
    <xf numFmtId="182" fontId="4" fillId="3" borderId="0" xfId="0" applyNumberFormat="1" applyFont="1" applyFill="1" applyAlignment="1" applyProtection="1">
      <alignment horizontal="center" vertical="center"/>
      <protection locked="0"/>
    </xf>
    <xf numFmtId="10" fontId="10" fillId="3" borderId="0" xfId="2" applyNumberFormat="1" applyFont="1" applyFill="1" applyAlignment="1">
      <alignment horizontal="center" vertical="center"/>
    </xf>
    <xf numFmtId="182" fontId="19" fillId="3" borderId="0" xfId="0" applyNumberFormat="1" applyFont="1" applyFill="1" applyAlignment="1" applyProtection="1">
      <alignment horizontal="center" vertical="center"/>
      <protection locked="0"/>
    </xf>
    <xf numFmtId="10" fontId="19" fillId="3" borderId="0" xfId="2" applyNumberFormat="1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2" fontId="4" fillId="13" borderId="0" xfId="0" applyNumberFormat="1" applyFont="1" applyFill="1" applyAlignment="1" applyProtection="1">
      <alignment horizontal="center" vertical="center"/>
      <protection locked="0"/>
    </xf>
  </cellXfs>
  <cellStyles count="3">
    <cellStyle name="百分比" xfId="2" builtinId="5"/>
    <cellStyle name="常规" xfId="0" builtinId="0"/>
    <cellStyle name="千位分隔" xfId="1" builtinId="3"/>
  </cellStyles>
  <dxfs count="20"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W117"/>
  <sheetViews>
    <sheetView zoomScaleNormal="100" workbookViewId="0">
      <pane xSplit="20" ySplit="39" topLeftCell="U40" activePane="bottomRight" state="frozen"/>
      <selection pane="topRight" activeCell="H1" sqref="H1"/>
      <selection pane="bottomLeft" activeCell="A13" sqref="A13"/>
      <selection pane="bottomRight" activeCell="F25" sqref="F25"/>
    </sheetView>
  </sheetViews>
  <sheetFormatPr defaultColWidth="9.6328125" defaultRowHeight="14"/>
  <cols>
    <col min="1" max="1" width="26.81640625" style="3" customWidth="1"/>
    <col min="2" max="2" width="20.54296875" style="3" customWidth="1"/>
    <col min="3" max="3" width="12.26953125" style="3" customWidth="1"/>
    <col min="4" max="4" width="17.81640625" style="4" bestFit="1" customWidth="1"/>
    <col min="5" max="5" width="21.7265625" style="4" customWidth="1"/>
    <col min="6" max="6" width="12.90625" style="4" bestFit="1" customWidth="1"/>
    <col min="7" max="7" width="14.7265625" style="3" customWidth="1"/>
    <col min="8" max="8" width="10" style="4" bestFit="1" customWidth="1"/>
    <col min="9" max="10" width="12.08984375" style="97" bestFit="1" customWidth="1"/>
    <col min="11" max="11" width="10" style="4" bestFit="1" customWidth="1"/>
    <col min="12" max="13" width="11.453125" style="4" bestFit="1" customWidth="1"/>
    <col min="14" max="14" width="13.08984375" style="97" customWidth="1"/>
    <col min="15" max="16" width="12.7265625" style="97" bestFit="1" customWidth="1"/>
    <col min="17" max="17" width="14" style="97" customWidth="1"/>
    <col min="18" max="19" width="13.08984375" style="97" customWidth="1"/>
    <col min="20" max="20" width="12.7265625" style="4" bestFit="1" customWidth="1"/>
    <col min="21" max="21" width="11.7265625" style="8" bestFit="1" customWidth="1"/>
    <col min="22" max="22" width="37.7265625" style="4" bestFit="1" customWidth="1"/>
    <col min="23" max="23" width="9.6328125" style="4"/>
    <col min="24" max="16384" width="9.6328125" style="9"/>
  </cols>
  <sheetData>
    <row r="1" spans="1:23" ht="17">
      <c r="A1" s="1"/>
      <c r="B1" s="2"/>
      <c r="E1" s="5"/>
      <c r="F1" s="5"/>
      <c r="H1" s="6">
        <v>46174</v>
      </c>
      <c r="I1" s="7">
        <v>46113</v>
      </c>
      <c r="J1" s="7">
        <v>46023</v>
      </c>
      <c r="K1" s="6">
        <v>45813</v>
      </c>
      <c r="L1" s="6">
        <v>45448</v>
      </c>
      <c r="M1" s="6">
        <v>45082</v>
      </c>
      <c r="N1" s="6">
        <v>45658</v>
      </c>
      <c r="O1" s="7">
        <v>45292</v>
      </c>
      <c r="P1" s="6">
        <v>44927</v>
      </c>
      <c r="Q1" s="7">
        <v>44562</v>
      </c>
      <c r="R1" s="6">
        <v>44197</v>
      </c>
      <c r="S1" s="7">
        <v>43831</v>
      </c>
      <c r="T1" s="6">
        <v>43466</v>
      </c>
    </row>
    <row r="2" spans="1:23">
      <c r="A2" s="1"/>
      <c r="B2" s="2"/>
      <c r="H2" s="6">
        <f>M2</f>
        <v>46177</v>
      </c>
      <c r="I2" s="7">
        <v>46177</v>
      </c>
      <c r="J2" s="7">
        <v>46177</v>
      </c>
      <c r="K2" s="6">
        <f>J2</f>
        <v>46177</v>
      </c>
      <c r="L2" s="6">
        <f>K2</f>
        <v>46177</v>
      </c>
      <c r="M2" s="6">
        <f>L2</f>
        <v>46177</v>
      </c>
      <c r="N2" s="6">
        <v>46022</v>
      </c>
      <c r="O2" s="7">
        <v>45657</v>
      </c>
      <c r="P2" s="6">
        <v>45291</v>
      </c>
      <c r="Q2" s="7">
        <v>44926</v>
      </c>
      <c r="R2" s="6">
        <v>44561</v>
      </c>
      <c r="S2" s="7">
        <v>44196</v>
      </c>
      <c r="T2" s="6">
        <v>43830</v>
      </c>
    </row>
    <row r="3" spans="1:23" s="17" customFormat="1" ht="17.5" thickBot="1">
      <c r="A3" s="10" t="s">
        <v>0</v>
      </c>
      <c r="B3" s="10" t="s">
        <v>1</v>
      </c>
      <c r="C3" s="10" t="s">
        <v>2</v>
      </c>
      <c r="D3" s="11" t="s">
        <v>3</v>
      </c>
      <c r="E3" s="12">
        <f>K2</f>
        <v>46177</v>
      </c>
      <c r="F3" s="12" t="s">
        <v>4</v>
      </c>
      <c r="G3" s="10" t="s">
        <v>5</v>
      </c>
      <c r="H3" s="13" t="s">
        <v>6</v>
      </c>
      <c r="I3" s="13" t="s">
        <v>7</v>
      </c>
      <c r="J3" s="13" t="s">
        <v>8</v>
      </c>
      <c r="K3" s="13" t="s">
        <v>9</v>
      </c>
      <c r="L3" s="14" t="s">
        <v>10</v>
      </c>
      <c r="M3" s="14" t="s">
        <v>11</v>
      </c>
      <c r="N3" s="14" t="s">
        <v>12</v>
      </c>
      <c r="O3" s="15" t="s">
        <v>13</v>
      </c>
      <c r="P3" s="14" t="s">
        <v>14</v>
      </c>
      <c r="Q3" s="15" t="s">
        <v>15</v>
      </c>
      <c r="R3" s="15" t="s">
        <v>16</v>
      </c>
      <c r="S3" s="15" t="s">
        <v>17</v>
      </c>
      <c r="T3" s="14" t="s">
        <v>18</v>
      </c>
      <c r="U3" s="16" t="s">
        <v>19</v>
      </c>
      <c r="V3" s="16" t="s">
        <v>20</v>
      </c>
      <c r="W3" s="16"/>
    </row>
    <row r="4" spans="1:23" s="23" customFormat="1">
      <c r="A4" s="18"/>
      <c r="B4" s="19"/>
      <c r="C4" s="18"/>
      <c r="D4" s="20" t="s">
        <v>21</v>
      </c>
      <c r="E4" s="18" t="s">
        <v>22</v>
      </c>
      <c r="F4" s="18" t="s">
        <v>23</v>
      </c>
      <c r="G4" s="18"/>
      <c r="H4" s="21">
        <f>[1]!thsiFinD("ths_int_chg_ratio_index",$D4,H$1,H$2,101)</f>
        <v>3.0608027858346001E-2</v>
      </c>
      <c r="I4" s="21">
        <f>[1]!thsiFinD("ths_int_chg_ratio_index",$D4,I$1,I$2,101)</f>
        <v>31.27037424852</v>
      </c>
      <c r="J4" s="21">
        <f>[1]!thsiFinD("ths_int_chg_ratio_index",$D4,J$1,J$2,101)</f>
        <v>25.685326070194002</v>
      </c>
      <c r="K4" s="21">
        <f>[1]!thsiFinD("ths_int_chg_ratio_index",$D4,K$1,K$2,101)</f>
        <v>89.018639228840001</v>
      </c>
      <c r="L4" s="21">
        <f>[1]!thsiFinD("ths_int_chg_ratio_index",$D4,L$1,L$2,101)</f>
        <v>104.1527533455</v>
      </c>
      <c r="M4" s="21">
        <f>[1]!thsiFinD("ths_int_chg_ratio_index",$D4,M$1,M$2,101)</f>
        <v>59.226830490265002</v>
      </c>
      <c r="N4" s="21">
        <f>[1]!thsiFinD("ths_int_chg_ratio_index",$D4,N$1,N$2,101)</f>
        <v>41.194122414936999</v>
      </c>
      <c r="O4" s="21">
        <f>[1]!thsiFinD("ths_int_chg_ratio_index",$D4,O$1,O$2,101)</f>
        <v>5.2329716253517997</v>
      </c>
      <c r="P4" s="21">
        <f>[1]!thsiFinD("ths_int_chg_ratio_index",$D4,P$1,P$2,101)</f>
        <v>-17.221613602706999</v>
      </c>
      <c r="Q4" s="21">
        <f>[1]!thsiFinD("ths_int_chg_ratio_index",$D4,Q$1,Q$2,101)</f>
        <v>-28.376268996773</v>
      </c>
      <c r="R4" s="21">
        <f>[1]!thsiFinD("ths_int_chg_ratio_index",$D4,R$1,R$2,101)</f>
        <v>-3.7797032963552</v>
      </c>
      <c r="S4" s="21">
        <f>[1]!thsiFinD("ths_int_chg_ratio_index",$D4,S$1,S$2,101)</f>
        <v>67.922439999999995</v>
      </c>
      <c r="T4" s="21">
        <f>[1]!thsiFinD("ths_int_chg_ratio_index",$D4,T$1,T$2,101)</f>
        <v>0</v>
      </c>
      <c r="U4" s="22"/>
      <c r="V4" s="19"/>
      <c r="W4" s="19"/>
    </row>
    <row r="5" spans="1:23" hidden="1">
      <c r="B5" s="4"/>
      <c r="D5" s="24" t="s">
        <v>24</v>
      </c>
      <c r="E5" s="3" t="s">
        <v>25</v>
      </c>
      <c r="F5" s="3"/>
      <c r="H5" s="25">
        <f>[1]!thsiFinD("ths_int_chg_ratio_index",$D5,H$1,H$2,101)</f>
        <v>-0.15832133705031001</v>
      </c>
      <c r="I5" s="25">
        <f>[1]!thsiFinD("ths_int_chg_ratio_index",$D5,I$1,I$2,101)</f>
        <v>14.444511230244</v>
      </c>
      <c r="J5" s="25">
        <f>[1]!thsiFinD("ths_int_chg_ratio_index",$D5,J$1,J$2,101)</f>
        <v>13.311773671227</v>
      </c>
      <c r="K5" s="25">
        <f>[1]!thsiFinD("ths_int_chg_ratio_index",$D5,K$1,K$2,101)</f>
        <v>70.619456822309004</v>
      </c>
      <c r="L5" s="25">
        <f>[1]!thsiFinD("ths_int_chg_ratio_index",$D5,L$1,L$2,101)</f>
        <v>88.488105970937994</v>
      </c>
      <c r="M5" s="25">
        <f>[1]!thsiFinD("ths_int_chg_ratio_index",$D5,M$1,M$2,101)</f>
        <v>63.304818191137002</v>
      </c>
      <c r="N5" s="25">
        <f>[1]!thsiFinD("ths_int_chg_ratio_index",$D5,N$1,N$2,101)</f>
        <v>48.320997713615</v>
      </c>
      <c r="O5" s="25">
        <f>[1]!thsiFinD("ths_int_chg_ratio_index",$D5,O$1,O$2,101)</f>
        <v>12.253017596334001</v>
      </c>
      <c r="P5" s="25">
        <f>[1]!thsiFinD("ths_int_chg_ratio_index",$D5,P$1,P$2,101)</f>
        <v>-3.4004902265094001</v>
      </c>
      <c r="Q5" s="25">
        <f>[1]!thsiFinD("ths_int_chg_ratio_index",$D5,Q$1,Q$2,101)</f>
        <v>-28.326539151245001</v>
      </c>
      <c r="R5" s="25">
        <f>[1]!thsiFinD("ths_int_chg_ratio_index",$D5,R$1,R$2,101)</f>
        <v>13.457197685551</v>
      </c>
      <c r="S5" s="25">
        <f>[1]!thsiFinD("ths_int_chg_ratio_index",$D5,S$1,S$2,101)</f>
        <v>45.521437886325003</v>
      </c>
      <c r="T5" s="25">
        <f>[1]!thsiFinD("ths_int_chg_ratio_index",$D5,T$1,T$2,101)</f>
        <v>49.222049880592003</v>
      </c>
      <c r="U5" s="26"/>
    </row>
    <row r="6" spans="1:23" hidden="1">
      <c r="B6" s="4"/>
      <c r="D6" s="24" t="s">
        <v>26</v>
      </c>
      <c r="E6" s="3" t="s">
        <v>27</v>
      </c>
      <c r="F6" s="3"/>
      <c r="H6" s="25">
        <f>[1]!thsiFinD("ths_int_chg_ratio_index",$D6,H$1,H$2,101)</f>
        <v>-0.75739866206321005</v>
      </c>
      <c r="I6" s="25">
        <f>[1]!thsiFinD("ths_int_chg_ratio_index",$D6,I$1,I$2,101)</f>
        <v>38.344478654401001</v>
      </c>
      <c r="J6" s="25">
        <f>[1]!thsiFinD("ths_int_chg_ratio_index",$D6,J$1,J$2,101)</f>
        <v>29.300598229340999</v>
      </c>
      <c r="K6" s="25">
        <f>[1]!thsiFinD("ths_int_chg_ratio_index",$D6,K$1,K$2,101)</f>
        <v>76.253951635850996</v>
      </c>
      <c r="L6" s="25">
        <f>[1]!thsiFinD("ths_int_chg_ratio_index",$D6,L$1,L$2,101)</f>
        <v>130.62260553048</v>
      </c>
      <c r="M6" s="25">
        <f>[1]!thsiFinD("ths_int_chg_ratio_index",$D6,M$1,M$2,101)</f>
        <v>65.012286257941994</v>
      </c>
      <c r="N6" s="25">
        <f>[1]!thsiFinD("ths_int_chg_ratio_index",$D6,N$1,N$2,101)</f>
        <v>35.924074251218997</v>
      </c>
      <c r="O6" s="25">
        <f>[1]!thsiFinD("ths_int_chg_ratio_index",$D6,O$1,O$2,101)</f>
        <v>16.071495849729001</v>
      </c>
      <c r="P6" s="25">
        <f>[1]!thsiFinD("ths_int_chg_ratio_index",$D6,P$1,P$2,101)</f>
        <v>-11.240689960231</v>
      </c>
      <c r="Q6" s="25">
        <f>[1]!thsiFinD("ths_int_chg_ratio_index",$D6,Q$1,Q$2,101)</f>
        <v>-31.346828026238001</v>
      </c>
      <c r="R6" s="25">
        <f>[1]!thsiFinD("ths_int_chg_ratio_index",$D6,R$1,R$2,101)</f>
        <v>0.37091163761912999</v>
      </c>
      <c r="S6" s="25">
        <f>[1]!thsiFinD("ths_int_chg_ratio_index",$D6,S$1,S$2,101)</f>
        <v>39.302720000000001</v>
      </c>
      <c r="T6" s="25">
        <f>[1]!thsiFinD("ths_int_chg_ratio_index",$D6,T$1,T$2,101)</f>
        <v>0</v>
      </c>
      <c r="U6" s="26"/>
    </row>
    <row r="7" spans="1:23" hidden="1">
      <c r="B7" s="4"/>
      <c r="D7" s="24" t="s">
        <v>28</v>
      </c>
      <c r="E7" s="3" t="s">
        <v>29</v>
      </c>
      <c r="F7" s="3"/>
      <c r="H7" s="25">
        <f>[1]!thsiFinD("ths_int_chg_ratio_index",$D7,H$1,H$2,101)</f>
        <v>1.5096544202291999</v>
      </c>
      <c r="I7" s="25">
        <f>[1]!thsiFinD("ths_int_chg_ratio_index",$D7,I$1,I$2,101)</f>
        <v>32.523723865063999</v>
      </c>
      <c r="J7" s="25">
        <f>[1]!thsiFinD("ths_int_chg_ratio_index",$D7,J$1,J$2,101)</f>
        <v>30.957524362230998</v>
      </c>
      <c r="K7" s="25">
        <f>[1]!thsiFinD("ths_int_chg_ratio_index",$D7,K$1,K$2,101)</f>
        <v>122.85784545487</v>
      </c>
      <c r="L7" s="25">
        <f>[1]!thsiFinD("ths_int_chg_ratio_index",$D7,L$1,L$2,101)</f>
        <v>151.06087737180999</v>
      </c>
      <c r="M7" s="25">
        <f>[1]!thsiFinD("ths_int_chg_ratio_index",$D7,M$1,M$2,101)</f>
        <v>107.48449651058</v>
      </c>
      <c r="N7" s="25">
        <f>[1]!thsiFinD("ths_int_chg_ratio_index",$D7,N$1,N$2,101)</f>
        <v>57.452684138696</v>
      </c>
      <c r="O7" s="25">
        <f>[1]!thsiFinD("ths_int_chg_ratio_index",$D7,O$1,O$2,101)</f>
        <v>21.068440165636002</v>
      </c>
      <c r="P7" s="25">
        <f>[1]!thsiFinD("ths_int_chg_ratio_index",$D7,P$1,P$2,101)</f>
        <v>-23.995075459380001</v>
      </c>
      <c r="Q7" s="25">
        <f>[1]!thsiFinD("ths_int_chg_ratio_index",$D7,Q$1,Q$2,101)</f>
        <v>-29.832627757638999</v>
      </c>
      <c r="R7" s="25">
        <f>[1]!thsiFinD("ths_int_chg_ratio_index",$D7,R$1,R$2,101)</f>
        <v>16.880603126977</v>
      </c>
      <c r="S7" s="25">
        <f>[1]!thsiFinD("ths_int_chg_ratio_index",$D7,S$1,S$2,101)</f>
        <v>88.736296992678007</v>
      </c>
      <c r="T7" s="25">
        <f>[1]!thsiFinD("ths_int_chg_ratio_index",$D7,T$1,T$2,101)</f>
        <v>50.925713126471003</v>
      </c>
      <c r="U7" s="26"/>
    </row>
    <row r="8" spans="1:23" hidden="1">
      <c r="A8" s="3" t="s">
        <v>30</v>
      </c>
      <c r="B8" s="4" t="s">
        <v>31</v>
      </c>
      <c r="C8" s="27"/>
      <c r="D8" s="28" t="s">
        <v>32</v>
      </c>
      <c r="E8" s="3" t="s">
        <v>33</v>
      </c>
      <c r="F8" s="3"/>
      <c r="H8" s="25">
        <f>[1]!thsiFinD("ths_int_chg_ratio_index",$D8,H$1,H$2,101)</f>
        <v>0</v>
      </c>
      <c r="I8" s="25">
        <f>[1]!thsiFinD("ths_int_chg_ratio_index",$D8,I$1,I$2,101)</f>
        <v>0</v>
      </c>
      <c r="J8" s="25">
        <f>[1]!thsiFinD("ths_int_chg_ratio_index",$D8,J$1,J$2,101)</f>
        <v>0</v>
      </c>
      <c r="K8" s="25">
        <f>[1]!thsiFinD("ths_int_chg_ratio_index",$D8,K$1,K$2,101)</f>
        <v>0</v>
      </c>
      <c r="L8" s="25">
        <f>[1]!thsiFinD("ths_int_chg_ratio_index",$D8,L$1,L$2,101)</f>
        <v>0</v>
      </c>
      <c r="M8" s="25">
        <f>[1]!thsiFinD("ths_int_chg_ratio_index",$D8,M$1,M$2,101)</f>
        <v>0</v>
      </c>
      <c r="N8" s="25">
        <f>[1]!thsiFinD("ths_int_chg_ratio_index",$D8,N$1,N$2,101)</f>
        <v>0</v>
      </c>
      <c r="O8" s="25">
        <f>[1]!thsiFinD("ths_int_chg_ratio_index",$D8,O$1,O$2,101)</f>
        <v>0</v>
      </c>
      <c r="P8" s="25">
        <f>[1]!thsiFinD("ths_int_chg_ratio_index",$D8,P$1,P$2,101)</f>
        <v>0</v>
      </c>
      <c r="Q8" s="25">
        <f>[1]!thsiFinD("ths_int_chg_ratio_index",$D8,Q$1,Q$2,101)</f>
        <v>0</v>
      </c>
      <c r="R8" s="25">
        <f>[1]!thsiFinD("ths_int_chg_ratio_index",$D8,R$1,R$2,101)</f>
        <v>0</v>
      </c>
      <c r="S8" s="25">
        <f>[1]!thsiFinD("ths_int_chg_ratio_index",$D8,S$1,S$2,101)</f>
        <v>0</v>
      </c>
      <c r="T8" s="25">
        <f>[1]!thsiFinD("ths_int_chg_ratio_index",$D8,T$1,T$2,101)</f>
        <v>0</v>
      </c>
      <c r="U8" s="26"/>
    </row>
    <row r="9" spans="1:23" s="34" customFormat="1">
      <c r="A9" s="29"/>
      <c r="B9" s="29" t="s">
        <v>34</v>
      </c>
      <c r="C9" s="29"/>
      <c r="D9" s="30" t="s">
        <v>35</v>
      </c>
      <c r="E9" s="29" t="s">
        <v>36</v>
      </c>
      <c r="F9" s="29" t="str">
        <f>[1]!thsiFinD("ths_fund_manager_current_fund",D9)</f>
        <v>孙硕</v>
      </c>
      <c r="G9" s="29" t="s">
        <v>37</v>
      </c>
      <c r="H9" s="31">
        <f>[1]!thsiFinD("ths_adjustment_nvg_ratio_fund",$D9,H$1,H$2,101)</f>
        <v>6.8426395939085998</v>
      </c>
      <c r="I9" s="31">
        <f>[1]!thsiFinD("ths_adjustment_nvg_ratio_fund",$D9,I$1,I$2,101)</f>
        <v>75.166444740345995</v>
      </c>
      <c r="J9" s="31">
        <f>[1]!thsiFinD("ths_adjustment_nvg_ratio_fund",$D9,J$1,J$2,101)</f>
        <v>98.941398865783995</v>
      </c>
      <c r="K9" s="31">
        <f>[1]!thsiFinD("ths_adjustment_nvg_ratio_fund",$D9,K$1,K$2,101)</f>
        <v>315.31176006314001</v>
      </c>
      <c r="L9" s="31">
        <f>[1]!thsiFinD("ths_adjustment_nvg_ratio_fund",$D9,L$1,L$2,101)</f>
        <v>414.87279843444003</v>
      </c>
      <c r="M9" s="31">
        <f>[1]!thsiFinD("ths_adjustment_nvg_ratio_fund",$D9,M$1,M$2,101)</f>
        <v>281.58085569253001</v>
      </c>
      <c r="N9" s="31">
        <f>[1]!thsiFinD("ths_adjustment_nvg_ratio_fund",$D9,N$1,N$2,101)</f>
        <v>102.06264323911</v>
      </c>
      <c r="O9" s="31">
        <f>[1]!thsiFinD("ths_adjustment_nvg_ratio_fund",$D9,O$1,O$2,101)</f>
        <v>33.299389002037003</v>
      </c>
      <c r="P9" s="31">
        <f>[1]!thsiFinD("ths_adjustment_nvg_ratio_fund",$D9,P$1,P$2,101)</f>
        <v>-6.2082139446036004</v>
      </c>
      <c r="Q9" s="31">
        <f>[1]!thsiFinD("ths_adjustment_nvg_ratio_fund",$D9,Q$1,Q$2,101)</f>
        <v>-33.943217665615002</v>
      </c>
      <c r="R9" s="31">
        <f>[1]!thsiFinD("ths_adjustment_nvg_ratio_fund",$D9,R$1,R$2,101)</f>
        <v>-15.331196581197</v>
      </c>
      <c r="S9" s="31">
        <f>[1]!thsiFinD("ths_adjustment_nvg_ratio_fund",$D9,S$1,S$2,101)</f>
        <v>71.900826446281002</v>
      </c>
      <c r="T9" s="31">
        <f>[1]!thsiFinD("ths_adjustment_nvg_ratio_fund",$D9,T$1,T$2,101)</f>
        <v>52.094972067039002</v>
      </c>
      <c r="U9" s="32" t="str">
        <f>[1]!thsiFinD("ths_fund_establishment_date_fund",D9)</f>
        <v>2015-04-21</v>
      </c>
      <c r="V9" s="33"/>
      <c r="W9" s="33"/>
    </row>
    <row r="10" spans="1:23" s="34" customFormat="1">
      <c r="A10" s="29"/>
      <c r="B10" s="29" t="s">
        <v>38</v>
      </c>
      <c r="C10" s="29"/>
      <c r="D10" s="35" t="s">
        <v>39</v>
      </c>
      <c r="E10" s="36" t="s">
        <v>40</v>
      </c>
      <c r="F10" s="36" t="str">
        <f>[1]!thsiFinD("ths_fund_manager_current_fund",D10)</f>
        <v>童昌希</v>
      </c>
      <c r="G10" s="29" t="s">
        <v>37</v>
      </c>
      <c r="H10" s="31">
        <f>[1]!thsiFinD("ths_adjustment_nvg_ratio_fund",$D10,H$1,H$2,101)</f>
        <v>6.3711107528615001</v>
      </c>
      <c r="I10" s="31">
        <f>[1]!thsiFinD("ths_adjustment_nvg_ratio_fund",$D10,I$1,I$2,101)</f>
        <v>70.100541376642994</v>
      </c>
      <c r="J10" s="31">
        <f>[1]!thsiFinD("ths_adjustment_nvg_ratio_fund",$D10,J$1,J$2,101)</f>
        <v>86.833163438667995</v>
      </c>
      <c r="K10" s="31">
        <f>[1]!thsiFinD("ths_adjustment_nvg_ratio_fund",$D10,K$1,K$2,101)</f>
        <v>390.71842927264998</v>
      </c>
      <c r="L10" s="31">
        <f>[1]!thsiFinD("ths_adjustment_nvg_ratio_fund",$D10,L$1,L$2,101)</f>
        <v>513.10165396766001</v>
      </c>
      <c r="M10" s="31">
        <f>[1]!thsiFinD("ths_adjustment_nvg_ratio_fund",$D10,M$1,M$2,101)</f>
        <v>346.18609683527001</v>
      </c>
      <c r="N10" s="31">
        <f>[1]!thsiFinD("ths_adjustment_nvg_ratio_fund",$D10,N$1,N$2,101)</f>
        <v>143.08920704846</v>
      </c>
      <c r="O10" s="31">
        <f>[1]!thsiFinD("ths_adjustment_nvg_ratio_fund",$D10,O$1,O$2,101)</f>
        <v>28.339222614840999</v>
      </c>
      <c r="P10" s="31">
        <f>[1]!thsiFinD("ths_adjustment_nvg_ratio_fund",$D10,P$1,P$2,101)</f>
        <v>-39.529914529914997</v>
      </c>
      <c r="Q10" s="31">
        <f>[1]!thsiFinD("ths_adjustment_nvg_ratio_fund",$D10,Q$1,Q$2,101)</f>
        <v>0</v>
      </c>
      <c r="R10" s="31">
        <f>[1]!thsiFinD("ths_adjustment_nvg_ratio_fund",$D10,R$1,R$2,101)</f>
        <v>0</v>
      </c>
      <c r="S10" s="31">
        <f>[1]!thsiFinD("ths_adjustment_nvg_ratio_fund",$D10,S$1,S$2,101)</f>
        <v>0</v>
      </c>
      <c r="T10" s="31">
        <f>[1]!thsiFinD("ths_adjustment_nvg_ratio_fund",$D10,T$1,T$2,101)</f>
        <v>0</v>
      </c>
      <c r="U10" s="32" t="str">
        <f>[1]!thsiFinD("ths_fund_establishment_date_fund",D10)</f>
        <v>2022-08-25</v>
      </c>
      <c r="V10" s="33"/>
      <c r="W10" s="33"/>
    </row>
    <row r="11" spans="1:23" s="34" customFormat="1">
      <c r="A11" s="29"/>
      <c r="B11" s="29" t="s">
        <v>34</v>
      </c>
      <c r="C11" s="29"/>
      <c r="D11" s="35" t="s">
        <v>41</v>
      </c>
      <c r="E11" s="36" t="s">
        <v>42</v>
      </c>
      <c r="F11" s="36" t="str">
        <f>[1]!thsiFinD("ths_fund_manager_current_fund",D11)</f>
        <v>李涛</v>
      </c>
      <c r="G11" s="29" t="s">
        <v>43</v>
      </c>
      <c r="H11" s="31">
        <f>[1]!thsiFinD("ths_adjustment_nvg_ratio_fund",$D11,H$1,H$2,101)</f>
        <v>5.6783144912640999</v>
      </c>
      <c r="I11" s="31">
        <f>[1]!thsiFinD("ths_adjustment_nvg_ratio_fund",$D11,I$1,I$2,101)</f>
        <v>66.047638272103001</v>
      </c>
      <c r="J11" s="31">
        <f>[1]!thsiFinD("ths_adjustment_nvg_ratio_fund",$D11,J$1,J$2,101)</f>
        <v>76.221079691517005</v>
      </c>
      <c r="K11" s="31">
        <f>[1]!thsiFinD("ths_adjustment_nvg_ratio_fund",$D11,K$1,K$2,101)</f>
        <v>204.66666666667001</v>
      </c>
      <c r="L11" s="31">
        <f>[1]!thsiFinD("ths_adjustment_nvg_ratio_fund",$D11,L$1,L$2,101)</f>
        <v>286.37858149366002</v>
      </c>
      <c r="M11" s="31">
        <f>[1]!thsiFinD("ths_adjustment_nvg_ratio_fund",$D11,M$1,M$2,101)</f>
        <v>189.72950126795999</v>
      </c>
      <c r="N11" s="31">
        <f>[1]!thsiFinD("ths_adjustment_nvg_ratio_fund",$D11,N$1,N$2,101)</f>
        <v>62.546138310467001</v>
      </c>
      <c r="O11" s="31">
        <f>[1]!thsiFinD("ths_adjustment_nvg_ratio_fund",$D11,O$1,O$2,101)</f>
        <v>21.316323082122</v>
      </c>
      <c r="P11" s="31">
        <f>[1]!thsiFinD("ths_adjustment_nvg_ratio_fund",$D11,P$1,P$2,101)</f>
        <v>19.038519561501001</v>
      </c>
      <c r="Q11" s="31">
        <f>[1]!thsiFinD("ths_adjustment_nvg_ratio_fund",$D11,Q$1,Q$2,101)</f>
        <v>0</v>
      </c>
      <c r="R11" s="31">
        <f>[1]!thsiFinD("ths_adjustment_nvg_ratio_fund",$D11,R$1,R$2,101)</f>
        <v>0</v>
      </c>
      <c r="S11" s="31">
        <f>[1]!thsiFinD("ths_adjustment_nvg_ratio_fund",$D11,S$1,S$2,101)</f>
        <v>0</v>
      </c>
      <c r="T11" s="31">
        <f>[1]!thsiFinD("ths_adjustment_nvg_ratio_fund",$D11,T$1,T$2,101)</f>
        <v>0</v>
      </c>
      <c r="U11" s="32" t="str">
        <f>[1]!thsiFinD("ths_fund_establishment_date_fund",D11)</f>
        <v>2022-12-16</v>
      </c>
      <c r="V11" s="33"/>
      <c r="W11" s="33"/>
    </row>
    <row r="12" spans="1:23" s="42" customFormat="1">
      <c r="A12" s="37" t="s">
        <v>44</v>
      </c>
      <c r="B12" s="37"/>
      <c r="C12" s="37"/>
      <c r="D12" s="38" t="s">
        <v>45</v>
      </c>
      <c r="E12" s="37" t="s">
        <v>46</v>
      </c>
      <c r="F12" s="37" t="str">
        <f>[1]!thsiFinD("ths_fund_manager_current_fund",D12)</f>
        <v>魏淳,梁策</v>
      </c>
      <c r="G12" s="37" t="s">
        <v>37</v>
      </c>
      <c r="H12" s="39">
        <f>[1]!thsiFinD("ths_adjustment_nvg_ratio_fund",$D12,H$1,H$2,101)</f>
        <v>3.6564358363666001</v>
      </c>
      <c r="I12" s="39">
        <f>[1]!thsiFinD("ths_adjustment_nvg_ratio_fund",$D12,I$1,I$2,101)</f>
        <v>77.910324969147993</v>
      </c>
      <c r="J12" s="39">
        <f>[1]!thsiFinD("ths_adjustment_nvg_ratio_fund",$D12,J$1,J$2,101)</f>
        <v>102.4516544279</v>
      </c>
      <c r="K12" s="39">
        <f>[1]!thsiFinD("ths_adjustment_nvg_ratio_fund",$D12,K$1,K$2,101)</f>
        <v>408.63653068725</v>
      </c>
      <c r="L12" s="39">
        <f>[1]!thsiFinD("ths_adjustment_nvg_ratio_fund",$D12,L$1,L$2,101)</f>
        <v>498.66770481876</v>
      </c>
      <c r="M12" s="39">
        <f>[1]!thsiFinD("ths_adjustment_nvg_ratio_fund",$D12,M$1,M$2,101)</f>
        <v>261.15025311830999</v>
      </c>
      <c r="N12" s="39">
        <f>[1]!thsiFinD("ths_adjustment_nvg_ratio_fund",$D12,N$1,N$2,101)</f>
        <v>122.08433500097</v>
      </c>
      <c r="O12" s="39">
        <f>[1]!thsiFinD("ths_adjustment_nvg_ratio_fund",$D12,O$1,O$2,101)</f>
        <v>10.472293999426</v>
      </c>
      <c r="P12" s="39">
        <f>[1]!thsiFinD("ths_adjustment_nvg_ratio_fund",$D12,P$1,P$2,101)</f>
        <v>4.4456106154884001</v>
      </c>
      <c r="Q12" s="39">
        <f>[1]!thsiFinD("ths_adjustment_nvg_ratio_fund",$D12,Q$1,Q$2,101)</f>
        <v>-17.071806030463001</v>
      </c>
      <c r="R12" s="39"/>
      <c r="S12" s="39"/>
      <c r="T12" s="39"/>
      <c r="U12" s="40"/>
      <c r="V12" s="41"/>
      <c r="W12" s="41"/>
    </row>
    <row r="13" spans="1:23" s="42" customFormat="1">
      <c r="A13" s="37"/>
      <c r="B13" s="37" t="s">
        <v>34</v>
      </c>
      <c r="C13" s="37"/>
      <c r="D13" s="38" t="s">
        <v>47</v>
      </c>
      <c r="E13" s="37" t="s">
        <v>48</v>
      </c>
      <c r="F13" s="37" t="str">
        <f>[1]!thsiFinD("ths_fund_manager_current_fund",D13)</f>
        <v>张仲维</v>
      </c>
      <c r="G13" s="37" t="s">
        <v>49</v>
      </c>
      <c r="H13" s="39">
        <f>[1]!thsiFinD("ths_adjustment_nvg_ratio_fund",$D13,H$1,H$2,101)</f>
        <v>5.3633572162977998</v>
      </c>
      <c r="I13" s="39">
        <f>[1]!thsiFinD("ths_adjustment_nvg_ratio_fund",$D13,I$1,I$2,101)</f>
        <v>64.546035804959004</v>
      </c>
      <c r="J13" s="39">
        <f>[1]!thsiFinD("ths_adjustment_nvg_ratio_fund",$D13,J$1,J$2,101)</f>
        <v>72.486595173275006</v>
      </c>
      <c r="K13" s="39">
        <f>[1]!thsiFinD("ths_adjustment_nvg_ratio_fund",$D13,K$1,K$2,101)</f>
        <v>251.0914051844</v>
      </c>
      <c r="L13" s="39">
        <f>[1]!thsiFinD("ths_adjustment_nvg_ratio_fund",$D13,L$1,L$2,101)</f>
        <v>306.23520126192</v>
      </c>
      <c r="M13" s="39">
        <f>[1]!thsiFinD("ths_adjustment_nvg_ratio_fund",$D13,M$1,M$2,101)</f>
        <v>325.54865714802003</v>
      </c>
      <c r="N13" s="39">
        <f>[1]!thsiFinD("ths_adjustment_nvg_ratio_fund",$D13,N$1,N$2,101)</f>
        <v>91.527599490601006</v>
      </c>
      <c r="O13" s="39">
        <f>[1]!thsiFinD("ths_adjustment_nvg_ratio_fund",$D13,O$1,O$2,101)</f>
        <v>32.145886342102003</v>
      </c>
      <c r="P13" s="39">
        <f>[1]!thsiFinD("ths_adjustment_nvg_ratio_fund",$D13,P$1,P$2,101)</f>
        <v>-11.648463028741</v>
      </c>
      <c r="Q13" s="39">
        <f>[1]!thsiFinD("ths_adjustment_nvg_ratio_fund",$D13,Q$1,Q$2,101)</f>
        <v>-11.249293387151999</v>
      </c>
      <c r="R13" s="39">
        <f>[1]!thsiFinD("ths_adjustment_nvg_ratio_fund",$D13,R$1,R$2,101)</f>
        <v>0</v>
      </c>
      <c r="S13" s="39">
        <f>[1]!thsiFinD("ths_adjustment_nvg_ratio_fund",$D13,S$1,S$2,101)</f>
        <v>37.344720494731</v>
      </c>
      <c r="T13" s="39">
        <f>[1]!thsiFinD("ths_adjustment_nvg_ratio_fund",$D13,T$1,T$2,101)</f>
        <v>39.847991311458998</v>
      </c>
      <c r="U13" s="40" t="str">
        <f>[1]!thsiFinD("ths_fund_establishment_date_fund",D13)</f>
        <v>2014-01-02</v>
      </c>
      <c r="V13" s="41"/>
      <c r="W13" s="41"/>
    </row>
    <row r="14" spans="1:23" s="42" customFormat="1">
      <c r="A14" s="37"/>
      <c r="B14" s="37" t="s">
        <v>34</v>
      </c>
      <c r="C14" s="37"/>
      <c r="D14" s="38" t="s">
        <v>50</v>
      </c>
      <c r="E14" s="37" t="s">
        <v>51</v>
      </c>
      <c r="F14" s="37" t="str">
        <f>[1]!thsiFinD("ths_fund_manager_current_fund",D14)</f>
        <v>金梓才</v>
      </c>
      <c r="G14" s="37" t="s">
        <v>37</v>
      </c>
      <c r="H14" s="39">
        <f>[1]!thsiFinD("ths_adjustment_nvg_ratio_fund",$D14,H$1,H$2,101)</f>
        <v>6.8810374487230002</v>
      </c>
      <c r="I14" s="39">
        <f>[1]!thsiFinD("ths_adjustment_nvg_ratio_fund",$D14,I$1,I$2,101)</f>
        <v>89.600938967136003</v>
      </c>
      <c r="J14" s="39">
        <f>[1]!thsiFinD("ths_adjustment_nvg_ratio_fund",$D14,J$1,J$2,101)</f>
        <v>103.14386317907</v>
      </c>
      <c r="K14" s="39">
        <f>[1]!thsiFinD("ths_adjustment_nvg_ratio_fund",$D14,K$1,K$2,101)</f>
        <v>414.78648820904999</v>
      </c>
      <c r="L14" s="39">
        <f>[1]!thsiFinD("ths_adjustment_nvg_ratio_fund",$D14,L$1,L$2,101)</f>
        <v>362.33543216943002</v>
      </c>
      <c r="M14" s="39">
        <f>[1]!thsiFinD("ths_adjustment_nvg_ratio_fund",$D14,M$1,M$2,101)</f>
        <v>298.07787087234999</v>
      </c>
      <c r="N14" s="39">
        <f>[1]!thsiFinD("ths_adjustment_nvg_ratio_fund",$D14,N$1,N$2,101)</f>
        <v>84.244670991659007</v>
      </c>
      <c r="O14" s="39">
        <f>[1]!thsiFinD("ths_adjustment_nvg_ratio_fund",$D14,O$1,O$2,101)</f>
        <v>48.622589531679999</v>
      </c>
      <c r="P14" s="39">
        <f>[1]!thsiFinD("ths_adjustment_nvg_ratio_fund",$D14,P$1,P$2,101)</f>
        <v>-30.493058879846998</v>
      </c>
      <c r="Q14" s="39">
        <f>[1]!thsiFinD("ths_adjustment_nvg_ratio_fund",$D14,Q$1,Q$2,101)</f>
        <v>-10.22776106575</v>
      </c>
      <c r="R14" s="39">
        <f>[1]!thsiFinD("ths_adjustment_nvg_ratio_fund",$D14,R$1,R$2,101)</f>
        <v>24.772117962466002</v>
      </c>
      <c r="S14" s="39">
        <f>[1]!thsiFinD("ths_adjustment_nvg_ratio_fund",$D14,S$1,S$2,101)</f>
        <v>48.961661341853002</v>
      </c>
      <c r="T14" s="39">
        <f>[1]!thsiFinD("ths_adjustment_nvg_ratio_fund",$D14,T$1,T$2,101)</f>
        <v>72.928176795580001</v>
      </c>
      <c r="U14" s="40" t="str">
        <f>[1]!thsiFinD("ths_fund_establishment_date_fund",D14)</f>
        <v>2015-06-29</v>
      </c>
      <c r="V14" s="41"/>
      <c r="W14" s="41"/>
    </row>
    <row r="15" spans="1:23" s="42" customFormat="1">
      <c r="A15" s="37"/>
      <c r="B15" s="37" t="s">
        <v>34</v>
      </c>
      <c r="C15" s="37"/>
      <c r="D15" s="38" t="s">
        <v>52</v>
      </c>
      <c r="E15" s="37" t="s">
        <v>53</v>
      </c>
      <c r="F15" s="37" t="str">
        <f>[1]!thsiFinD("ths_fund_manager_current_fund",D15)</f>
        <v>刘元海</v>
      </c>
      <c r="G15" s="37" t="s">
        <v>54</v>
      </c>
      <c r="H15" s="39">
        <f>[1]!thsiFinD("ths_adjustment_nvg_ratio_fund",$D15,H$1,H$2,101)</f>
        <v>2.6441434103183998</v>
      </c>
      <c r="I15" s="39">
        <f>[1]!thsiFinD("ths_adjustment_nvg_ratio_fund",$D15,I$1,I$2,101)</f>
        <v>42.116769324194998</v>
      </c>
      <c r="J15" s="39">
        <f>[1]!thsiFinD("ths_adjustment_nvg_ratio_fund",$D15,J$1,J$2,101)</f>
        <v>37.912513469827999</v>
      </c>
      <c r="K15" s="39">
        <f>[1]!thsiFinD("ths_adjustment_nvg_ratio_fund",$D15,K$1,K$2,101)</f>
        <v>163.95862202314001</v>
      </c>
      <c r="L15" s="39">
        <f>[1]!thsiFinD("ths_adjustment_nvg_ratio_fund",$D15,L$1,L$2,101)</f>
        <v>204.4378368333</v>
      </c>
      <c r="M15" s="39">
        <f>[1]!thsiFinD("ths_adjustment_nvg_ratio_fund",$D15,M$1,M$2,101)</f>
        <v>216.99756182515</v>
      </c>
      <c r="N15" s="39">
        <f>[1]!thsiFinD("ths_adjustment_nvg_ratio_fund",$D15,N$1,N$2,101)</f>
        <v>85.565206523776993</v>
      </c>
      <c r="O15" s="39">
        <f>[1]!thsiFinD("ths_adjustment_nvg_ratio_fund",$D15,O$1,O$2,101)</f>
        <v>32.398444609911003</v>
      </c>
      <c r="P15" s="39">
        <f>[1]!thsiFinD("ths_adjustment_nvg_ratio_fund",$D15,P$1,P$2,101)</f>
        <v>44.919369342365997</v>
      </c>
      <c r="Q15" s="39">
        <f>[1]!thsiFinD("ths_adjustment_nvg_ratio_fund",$D15,Q$1,Q$2,101)</f>
        <v>-33.795046832830998</v>
      </c>
      <c r="R15" s="39">
        <f>[1]!thsiFinD("ths_adjustment_nvg_ratio_fund",$D15,R$1,R$2,101)</f>
        <v>51.064212482762997</v>
      </c>
      <c r="S15" s="39">
        <f>[1]!thsiFinD("ths_adjustment_nvg_ratio_fund",$D15,S$1,S$2,101)</f>
        <v>66.125498007968005</v>
      </c>
      <c r="T15" s="39">
        <f>[1]!thsiFinD("ths_adjustment_nvg_ratio_fund",$D15,T$1,T$2,101)</f>
        <v>30.051813471502999</v>
      </c>
      <c r="U15" s="40" t="str">
        <f>[1]!thsiFinD("ths_fund_establishment_date_fund",D15)</f>
        <v>2015-05-27</v>
      </c>
      <c r="V15" s="41"/>
      <c r="W15" s="41"/>
    </row>
    <row r="16" spans="1:23" s="42" customFormat="1">
      <c r="A16" s="37"/>
      <c r="B16" s="37" t="s">
        <v>34</v>
      </c>
      <c r="C16" s="37"/>
      <c r="D16" s="38" t="s">
        <v>55</v>
      </c>
      <c r="E16" s="37" t="s">
        <v>56</v>
      </c>
      <c r="F16" s="37" t="str">
        <f>[1]!thsiFinD("ths_fund_manager_current_fund",D16)</f>
        <v>郑希</v>
      </c>
      <c r="G16" s="37" t="s">
        <v>37</v>
      </c>
      <c r="H16" s="39">
        <f>[1]!thsiFinD("ths_adjustment_nvg_ratio_fund",$D16,H$1,H$2,101)</f>
        <v>4.6391752577782004</v>
      </c>
      <c r="I16" s="39">
        <f>[1]!thsiFinD("ths_adjustment_nvg_ratio_fund",$D16,I$1,I$2,101)</f>
        <v>62.950410273989</v>
      </c>
      <c r="J16" s="39">
        <f>[1]!thsiFinD("ths_adjustment_nvg_ratio_fund",$D16,J$1,J$2,101)</f>
        <v>68.679186005424995</v>
      </c>
      <c r="K16" s="39">
        <f>[1]!thsiFinD("ths_adjustment_nvg_ratio_fund",$D16,K$1,K$2,101)</f>
        <v>273.26766651060001</v>
      </c>
      <c r="L16" s="39">
        <f>[1]!thsiFinD("ths_adjustment_nvg_ratio_fund",$D16,L$1,L$2,101)</f>
        <v>329.06895060258</v>
      </c>
      <c r="M16" s="39">
        <f>[1]!thsiFinD("ths_adjustment_nvg_ratio_fund",$D16,M$1,M$2,101)</f>
        <v>259.04384088145002</v>
      </c>
      <c r="N16" s="39">
        <f>[1]!thsiFinD("ths_adjustment_nvg_ratio_fund",$D16,N$1,N$2,101)</f>
        <v>108.05116629043999</v>
      </c>
      <c r="O16" s="39">
        <f>[1]!thsiFinD("ths_adjustment_nvg_ratio_fund",$D16,O$1,O$2,101)</f>
        <v>24.906015037593999</v>
      </c>
      <c r="P16" s="39">
        <f>[1]!thsiFinD("ths_adjustment_nvg_ratio_fund",$D16,P$1,P$2,101)</f>
        <v>-8.8260497000857008</v>
      </c>
      <c r="Q16" s="39">
        <f>[1]!thsiFinD("ths_adjustment_nvg_ratio_fund",$D16,Q$1,Q$2,101)</f>
        <v>-24.122236671001001</v>
      </c>
      <c r="R16" s="39">
        <f>[1]!thsiFinD("ths_adjustment_nvg_ratio_fund",$D16,R$1,R$2,101)</f>
        <v>24.787018255578001</v>
      </c>
      <c r="S16" s="39">
        <f>[1]!thsiFinD("ths_adjustment_nvg_ratio_fund",$D16,S$1,S$2,101)</f>
        <v>43.983644859812998</v>
      </c>
      <c r="T16" s="39">
        <f>[1]!thsiFinD("ths_adjustment_nvg_ratio_fund",$D16,T$1,T$2,101)</f>
        <v>75.589743589744003</v>
      </c>
      <c r="U16" s="40" t="str">
        <f>[1]!thsiFinD("ths_fund_establishment_date_fund",D16)</f>
        <v>2016-09-27</v>
      </c>
      <c r="V16" s="41"/>
      <c r="W16" s="41"/>
    </row>
    <row r="17" spans="1:23">
      <c r="B17" s="4"/>
      <c r="D17" s="28" t="s">
        <v>57</v>
      </c>
      <c r="E17" s="3" t="s">
        <v>58</v>
      </c>
      <c r="F17" s="3" t="s">
        <v>59</v>
      </c>
      <c r="H17" s="25">
        <f>[1]!thsiFinD("ths_int_chg_ratio_index",$D17,H$1,H$2,101)</f>
        <v>7.4140966853231998</v>
      </c>
      <c r="I17" s="25">
        <f>[1]!thsiFinD("ths_int_chg_ratio_index",$D17,I$1,I$2,101)</f>
        <v>60.354300558226001</v>
      </c>
      <c r="J17" s="25">
        <f>[1]!thsiFinD("ths_int_chg_ratio_index",$D17,J$1,J$2,101)</f>
        <v>66.710083126336002</v>
      </c>
      <c r="K17" s="25">
        <f>[1]!thsiFinD("ths_int_chg_ratio_index",$D17,K$1,K$2,101)</f>
        <v>309.12448829829998</v>
      </c>
      <c r="L17" s="25">
        <f>[1]!thsiFinD("ths_int_chg_ratio_index",$D17,L$1,L$2,101)</f>
        <v>344.93838794063998</v>
      </c>
      <c r="M17" s="25">
        <f>[1]!thsiFinD("ths_int_chg_ratio_index",$D17,M$1,M$2,101)</f>
        <v>344.01633459746</v>
      </c>
      <c r="N17" s="25">
        <f>[1]!thsiFinD("ths_int_chg_ratio_index",$D17,N$1,N$2,101)</f>
        <v>125.72804811912999</v>
      </c>
      <c r="O17" s="25">
        <f>[1]!thsiFinD("ths_int_chg_ratio_index",$D17,O$1,O$2,101)</f>
        <v>30.178309783288999</v>
      </c>
      <c r="P17" s="25">
        <f>[1]!thsiFinD("ths_int_chg_ratio_index",$D17,P$1,P$2,101)</f>
        <v>24.267796272058</v>
      </c>
      <c r="Q17" s="25">
        <f>[1]!thsiFinD("ths_int_chg_ratio_index",$D17,Q$1,Q$2,101)</f>
        <v>-27.807412326226999</v>
      </c>
      <c r="R17" s="25">
        <f>[1]!thsiFinD("ths_int_chg_ratio_index",$D17,R$1,R$2,101)</f>
        <v>5.6156779176232003</v>
      </c>
      <c r="S17" s="25">
        <f>[1]!thsiFinD("ths_int_chg_ratio_index",$D17,S$1,S$2,101)</f>
        <v>-6.2518543675181002</v>
      </c>
      <c r="T17" s="25">
        <f>[1]!thsiFinD("ths_int_chg_ratio_index",$D17,T$1,T$2,101)</f>
        <v>37.627240365896</v>
      </c>
      <c r="U17" s="26"/>
    </row>
    <row r="18" spans="1:23" s="48" customFormat="1">
      <c r="A18" s="43"/>
      <c r="B18" s="43"/>
      <c r="C18" s="43"/>
      <c r="D18" s="44" t="s">
        <v>60</v>
      </c>
      <c r="E18" s="43" t="s">
        <v>61</v>
      </c>
      <c r="F18" s="43" t="str">
        <f>[1]!thsiFinD("ths_fund_manager_current_fund",D18)</f>
        <v>方建</v>
      </c>
      <c r="G18" s="43" t="s">
        <v>62</v>
      </c>
      <c r="H18" s="45">
        <f>[1]!thsiFinD("ths_adjustment_nvg_ratio_fund",$D18,H$1,H$2,101)</f>
        <v>0.75852868305698995</v>
      </c>
      <c r="I18" s="45">
        <f>[1]!thsiFinD("ths_adjustment_nvg_ratio_fund",$D18,I$1,I$2,101)</f>
        <v>56.497543070273998</v>
      </c>
      <c r="J18" s="45">
        <f>[1]!thsiFinD("ths_adjustment_nvg_ratio_fund",$D18,J$1,J$2,101)</f>
        <v>69.383570421632996</v>
      </c>
      <c r="K18" s="45">
        <f>[1]!thsiFinD("ths_adjustment_nvg_ratio_fund",$D18,K$1,K$2,101)</f>
        <v>172.88118096418</v>
      </c>
      <c r="L18" s="45">
        <f>[1]!thsiFinD("ths_adjustment_nvg_ratio_fund",$D18,L$1,L$2,101)</f>
        <v>247.54141467263</v>
      </c>
      <c r="M18" s="45">
        <f>[1]!thsiFinD("ths_adjustment_nvg_ratio_fund",$D18,M$1,M$2,101)</f>
        <v>145.87480234397</v>
      </c>
      <c r="N18" s="45">
        <f>[1]!thsiFinD("ths_adjustment_nvg_ratio_fund",$D18,N$1,N$2,101)</f>
        <v>55.655296229803</v>
      </c>
      <c r="O18" s="45">
        <f>[1]!thsiFinD("ths_adjustment_nvg_ratio_fund",$D18,O$1,O$2,101)</f>
        <v>10.956175298805</v>
      </c>
      <c r="P18" s="45">
        <f>[1]!thsiFinD("ths_adjustment_nvg_ratio_fund",$D18,P$1,P$2,101)</f>
        <v>4.5954392869545</v>
      </c>
      <c r="Q18" s="45">
        <f>[1]!thsiFinD("ths_adjustment_nvg_ratio_fund",$D18,Q$1,Q$2,101)</f>
        <v>-13.228204098031</v>
      </c>
      <c r="R18" s="45"/>
      <c r="S18" s="45"/>
      <c r="T18" s="45"/>
      <c r="U18" s="46"/>
      <c r="V18" s="47"/>
      <c r="W18" s="47"/>
    </row>
    <row r="19" spans="1:23" s="54" customFormat="1">
      <c r="A19" s="49"/>
      <c r="B19" s="49"/>
      <c r="C19" s="49"/>
      <c r="D19" s="50" t="s">
        <v>63</v>
      </c>
      <c r="E19" s="49" t="s">
        <v>64</v>
      </c>
      <c r="F19" s="49" t="str">
        <f>[1]!thsiFinD("ths_fund_manager_current_fund",D19)</f>
        <v>蔡丞丰</v>
      </c>
      <c r="G19" s="49" t="s">
        <v>62</v>
      </c>
      <c r="H19" s="51">
        <f>[1]!thsiFinD("ths_adjustment_nvg_ratio_fund",$D19,H$1,H$2,101)</f>
        <v>2.3760144274121</v>
      </c>
      <c r="I19" s="51">
        <f>[1]!thsiFinD("ths_adjustment_nvg_ratio_fund",$D19,I$1,I$2,101)</f>
        <v>58.225907602257998</v>
      </c>
      <c r="J19" s="51">
        <f>[1]!thsiFinD("ths_adjustment_nvg_ratio_fund",$D19,J$1,J$2,101)</f>
        <v>74.360746371803998</v>
      </c>
      <c r="K19" s="51">
        <f>[1]!thsiFinD("ths_adjustment_nvg_ratio_fund",$D19,K$1,K$2,101)</f>
        <v>136.43273635985</v>
      </c>
      <c r="L19" s="51">
        <f>[1]!thsiFinD("ths_adjustment_nvg_ratio_fund",$D19,L$1,L$2,101)</f>
        <v>261.97991391679</v>
      </c>
      <c r="M19" s="51">
        <f>[1]!thsiFinD("ths_adjustment_nvg_ratio_fund",$D19,M$1,M$2,101)</f>
        <v>140.54025423728999</v>
      </c>
      <c r="N19" s="51">
        <f>[1]!thsiFinD("ths_adjustment_nvg_ratio_fund",$D19,N$1,N$2,101)</f>
        <v>48.715313463515002</v>
      </c>
      <c r="O19" s="51">
        <f>[1]!thsiFinD("ths_adjustment_nvg_ratio_fund",$D19,O$1,O$2,101)</f>
        <v>15.390697061536001</v>
      </c>
      <c r="P19" s="51">
        <f>[1]!thsiFinD("ths_adjustment_nvg_ratio_fund",$D19,P$1,P$2,101)</f>
        <v>0</v>
      </c>
      <c r="Q19" s="51">
        <f>[1]!thsiFinD("ths_adjustment_nvg_ratio_fund",$D19,Q$1,Q$2,101)</f>
        <v>0</v>
      </c>
      <c r="R19" s="51"/>
      <c r="S19" s="51"/>
      <c r="T19" s="51"/>
      <c r="U19" s="52"/>
      <c r="V19" s="53"/>
      <c r="W19" s="53"/>
    </row>
    <row r="20" spans="1:23" s="54" customFormat="1">
      <c r="A20" s="49"/>
      <c r="B20" s="49"/>
      <c r="C20" s="49"/>
      <c r="D20" s="50" t="s">
        <v>65</v>
      </c>
      <c r="E20" s="49" t="s">
        <v>66</v>
      </c>
      <c r="F20" s="49" t="str">
        <f>[1]!thsiFinD("ths_fund_manager_current_fund",D20)</f>
        <v>邓心怡,周靖翔</v>
      </c>
      <c r="G20" s="49" t="s">
        <v>67</v>
      </c>
      <c r="H20" s="51">
        <f>[1]!thsiFinD("ths_adjustment_nvg_ratio_fund",$D20,H$1,H$2,101)</f>
        <v>1.2754327361069</v>
      </c>
      <c r="I20" s="51">
        <f>[1]!thsiFinD("ths_adjustment_nvg_ratio_fund",$D20,I$1,I$2,101)</f>
        <v>47.024246877296001</v>
      </c>
      <c r="J20" s="51">
        <f>[1]!thsiFinD("ths_adjustment_nvg_ratio_fund",$D20,J$1,J$2,101)</f>
        <v>44.019001007629001</v>
      </c>
      <c r="K20" s="51">
        <f>[1]!thsiFinD("ths_adjustment_nvg_ratio_fund",$D20,K$1,K$2,101)</f>
        <v>171.28524945769999</v>
      </c>
      <c r="L20" s="51">
        <f>[1]!thsiFinD("ths_adjustment_nvg_ratio_fund",$D20,L$1,L$2,101)</f>
        <v>129.97356625674999</v>
      </c>
      <c r="M20" s="51">
        <f>[1]!thsiFinD("ths_adjustment_nvg_ratio_fund",$D20,M$1,M$2,101)</f>
        <v>80.497925311203005</v>
      </c>
      <c r="N20" s="51">
        <f>[1]!thsiFinD("ths_adjustment_nvg_ratio_fund",$D20,N$1,N$2,101)</f>
        <v>87.200215575317003</v>
      </c>
      <c r="O20" s="51">
        <f>[1]!thsiFinD("ths_adjustment_nvg_ratio_fund",$D20,O$1,O$2,101)</f>
        <v>-23.571207908557</v>
      </c>
      <c r="P20" s="51">
        <f>[1]!thsiFinD("ths_adjustment_nvg_ratio_fund",$D20,P$1,P$2,101)</f>
        <v>-10.932770797028001</v>
      </c>
      <c r="Q20" s="51">
        <f>[1]!thsiFinD("ths_adjustment_nvg_ratio_fund",$D20,Q$1,Q$2,101)</f>
        <v>-26.633470156786</v>
      </c>
      <c r="R20" s="51"/>
      <c r="S20" s="51"/>
      <c r="T20" s="51"/>
      <c r="U20" s="52"/>
      <c r="V20" s="53"/>
      <c r="W20" s="53"/>
    </row>
    <row r="21" spans="1:23" s="54" customFormat="1">
      <c r="A21" s="49"/>
      <c r="B21" s="49"/>
      <c r="C21" s="49"/>
      <c r="D21" s="50" t="s">
        <v>68</v>
      </c>
      <c r="E21" s="49" t="s">
        <v>69</v>
      </c>
      <c r="F21" s="49" t="str">
        <f>[1]!thsiFinD("ths_fund_manager_current_fund",D21)</f>
        <v>刘力</v>
      </c>
      <c r="G21" s="49" t="s">
        <v>67</v>
      </c>
      <c r="H21" s="51">
        <f>[1]!thsiFinD("ths_adjustment_nvg_ratio_fund",$D21,H$1,H$2,101)</f>
        <v>0.29573299535275999</v>
      </c>
      <c r="I21" s="51">
        <f>[1]!thsiFinD("ths_adjustment_nvg_ratio_fund",$D21,I$1,I$2,101)</f>
        <v>45.478420730106002</v>
      </c>
      <c r="J21" s="51">
        <f>[1]!thsiFinD("ths_adjustment_nvg_ratio_fund",$D21,J$1,J$2,101)</f>
        <v>56.478342749528998</v>
      </c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2"/>
      <c r="V21" s="53"/>
      <c r="W21" s="53"/>
    </row>
    <row r="22" spans="1:23" s="54" customFormat="1">
      <c r="A22" s="49"/>
      <c r="B22" s="49"/>
      <c r="C22" s="49"/>
      <c r="D22" s="50" t="s">
        <v>70</v>
      </c>
      <c r="E22" s="49" t="s">
        <v>71</v>
      </c>
      <c r="F22" s="49" t="str">
        <f>[1]!thsiFinD("ths_fund_manager_current_fund",D22)</f>
        <v>张岩</v>
      </c>
      <c r="G22" s="49" t="s">
        <v>62</v>
      </c>
      <c r="H22" s="51">
        <f>[1]!thsiFinD("ths_adjustment_nvg_ratio_fund",$D22,H$1,H$2,101)</f>
        <v>2.8118609406953001</v>
      </c>
      <c r="I22" s="51">
        <f>[1]!thsiFinD("ths_adjustment_nvg_ratio_fund",$D22,I$1,I$2,101)</f>
        <v>50.975975975975999</v>
      </c>
      <c r="J22" s="51">
        <f>[1]!thsiFinD("ths_adjustment_nvg_ratio_fund",$D22,J$1,J$2,101)</f>
        <v>54.217791411043002</v>
      </c>
      <c r="K22" s="51">
        <f>[1]!thsiFinD("ths_adjustment_nvg_ratio_fund",$D22,K$1,K$2,101)</f>
        <v>137.98816568046999</v>
      </c>
      <c r="L22" s="51">
        <f>[1]!thsiFinD("ths_adjustment_nvg_ratio_fund",$D22,L$1,L$2,101)</f>
        <v>184.84419263455999</v>
      </c>
      <c r="M22" s="51">
        <f>[1]!thsiFinD("ths_adjustment_nvg_ratio_fund",$D22,M$1,M$2,101)</f>
        <v>130.61926605504999</v>
      </c>
      <c r="N22" s="51">
        <f>[1]!thsiFinD("ths_adjustment_nvg_ratio_fund",$D22,N$1,N$2,101)</f>
        <v>51.627906976744001</v>
      </c>
      <c r="O22" s="51">
        <f>[1]!thsiFinD("ths_adjustment_nvg_ratio_fund",$D22,O$1,O$2,101)</f>
        <v>13.157894736842</v>
      </c>
      <c r="P22" s="51">
        <f>[1]!thsiFinD("ths_adjustment_nvg_ratio_fund",$D22,P$1,P$2,101)</f>
        <v>-15.178571428571001</v>
      </c>
      <c r="Q22" s="51">
        <f>[1]!thsiFinD("ths_adjustment_nvg_ratio_fund",$D22,Q$1,Q$2,101)</f>
        <v>-24.067796610169001</v>
      </c>
      <c r="R22" s="51"/>
      <c r="S22" s="51"/>
      <c r="T22" s="51"/>
      <c r="U22" s="52"/>
      <c r="V22" s="53"/>
      <c r="W22" s="53"/>
    </row>
    <row r="23" spans="1:23">
      <c r="B23" s="4"/>
      <c r="C23" s="4"/>
      <c r="D23" s="28" t="s">
        <v>72</v>
      </c>
      <c r="E23" s="3" t="s">
        <v>73</v>
      </c>
      <c r="F23" s="3" t="s">
        <v>74</v>
      </c>
      <c r="H23" s="25">
        <f>[1]!thsiFinD("ths_int_chg_ratio_index",$D23,H$1,H$2,101)</f>
        <v>2.7088575657075999</v>
      </c>
      <c r="I23" s="25">
        <f>[1]!thsiFinD("ths_int_chg_ratio_index",$D23,I$1,I$2,101)</f>
        <v>52.296381987525002</v>
      </c>
      <c r="J23" s="25">
        <f>[1]!thsiFinD("ths_int_chg_ratio_index",$D23,J$1,J$2,101)</f>
        <v>62.207804571373998</v>
      </c>
      <c r="K23" s="25">
        <f>[1]!thsiFinD("ths_int_chg_ratio_index",$D23,K$1,K$2,101)</f>
        <v>148.10359879601</v>
      </c>
      <c r="L23" s="25">
        <f>[1]!thsiFinD("ths_int_chg_ratio_index",$D23,L$1,L$2,101)</f>
        <v>204.44343137960999</v>
      </c>
      <c r="M23" s="25">
        <f>[1]!thsiFinD("ths_int_chg_ratio_index",$D23,M$1,M$2,101)</f>
        <v>124.23475744015001</v>
      </c>
      <c r="N23" s="25">
        <f>[1]!thsiFinD("ths_int_chg_ratio_index",$D23,N$1,N$2,101)</f>
        <v>53.695369781139</v>
      </c>
      <c r="O23" s="25">
        <f>[1]!thsiFinD("ths_int_chg_ratio_index",$D23,O$1,O$2,101)</f>
        <v>9.6843433644834001</v>
      </c>
      <c r="P23" s="25">
        <f>[1]!thsiFinD("ths_int_chg_ratio_index",$D23,P$1,P$2,101)</f>
        <v>-5.1268308934466003</v>
      </c>
      <c r="Q23" s="25">
        <f>[1]!thsiFinD("ths_int_chg_ratio_index",$D23,Q$1,Q$2,101)</f>
        <v>-31.931260774134</v>
      </c>
      <c r="R23" s="25">
        <f>[1]!thsiFinD("ths_int_chg_ratio_index",$D23,R$1,R$2,101)</f>
        <v>34.423268690850001</v>
      </c>
      <c r="S23" s="25">
        <f>[1]!thsiFinD("ths_int_chg_ratio_index",$D23,S$1,S$2,101)</f>
        <v>60.62571366369</v>
      </c>
      <c r="T23" s="25">
        <f>[1]!thsiFinD("ths_int_chg_ratio_index",$D23,T$1,T$2,101)</f>
        <v>119.05450999999999</v>
      </c>
      <c r="U23" s="26"/>
    </row>
    <row r="24" spans="1:23" s="60" customFormat="1">
      <c r="A24" s="55" t="s">
        <v>75</v>
      </c>
      <c r="B24" s="55" t="s">
        <v>76</v>
      </c>
      <c r="C24" s="55"/>
      <c r="D24" s="56" t="s">
        <v>77</v>
      </c>
      <c r="E24" s="55" t="s">
        <v>78</v>
      </c>
      <c r="F24" s="55" t="str">
        <f>[1]!thsiFinD("ths_fund_manager_current_fund",D24)</f>
        <v>花秀宁</v>
      </c>
      <c r="G24" s="55" t="s">
        <v>79</v>
      </c>
      <c r="H24" s="57">
        <f>[1]!thsiFinD("ths_adjustment_nvg_ratio_fund",$D24,H$1,H$2,101)</f>
        <v>1.5358361760057999</v>
      </c>
      <c r="I24" s="57">
        <f>[1]!thsiFinD("ths_adjustment_nvg_ratio_fund",$D24,I$1,I$2,101)</f>
        <v>24.825174824361</v>
      </c>
      <c r="J24" s="57">
        <f>[1]!thsiFinD("ths_adjustment_nvg_ratio_fund",$D24,J$1,J$2,101)</f>
        <v>34.615384617578997</v>
      </c>
      <c r="K24" s="57">
        <f>[1]!thsiFinD("ths_adjustment_nvg_ratio_fund",$D24,K$1,K$2,101)</f>
        <v>107.79976717231</v>
      </c>
      <c r="L24" s="57">
        <f>[1]!thsiFinD("ths_adjustment_nvg_ratio_fund",$D24,L$1,L$2,101)</f>
        <v>112.5000000045</v>
      </c>
      <c r="M24" s="57">
        <f>[1]!thsiFinD("ths_adjustment_nvg_ratio_fund",$D24,M$1,M$2,101)</f>
        <v>71.965317919496002</v>
      </c>
      <c r="N24" s="57">
        <f>[1]!thsiFinD("ths_adjustment_nvg_ratio_fund",$D24,N$1,N$2,101)</f>
        <v>53.117782902526997</v>
      </c>
      <c r="O24" s="57">
        <f>[1]!thsiFinD("ths_adjustment_nvg_ratio_fund",$D24,O$1,O$2,101)</f>
        <v>2.3640661959039</v>
      </c>
      <c r="P24" s="57">
        <f>[1]!thsiFinD("ths_adjustment_nvg_ratio_fund",$D24,P$1,P$2,101)</f>
        <v>-27.568493149708999</v>
      </c>
      <c r="Q24" s="57">
        <f>[1]!thsiFinD("ths_adjustment_nvg_ratio_fund",$D24,Q$1,Q$2,101)</f>
        <v>-6.7979124927044996</v>
      </c>
      <c r="R24" s="57">
        <f>[1]!thsiFinD("ths_adjustment_nvg_ratio_fund",$D24,R$1,R$2,101)</f>
        <v>4.8472775550918996</v>
      </c>
      <c r="S24" s="57">
        <f>[1]!thsiFinD("ths_adjustment_nvg_ratio_fund",$D24,S$1,S$2,101)</f>
        <v>32.337434096052</v>
      </c>
      <c r="T24" s="57">
        <f>[1]!thsiFinD("ths_adjustment_nvg_ratio_fund",$D24,T$1,T$2,101)</f>
        <v>7.0792708071749004</v>
      </c>
      <c r="U24" s="58" t="str">
        <f>[1]!thsiFinD("ths_fund_establishment_date_fund",D24)</f>
        <v>2016-12-21</v>
      </c>
      <c r="V24" s="59"/>
      <c r="W24" s="59"/>
    </row>
    <row r="25" spans="1:23" s="60" customFormat="1">
      <c r="A25" s="55" t="s">
        <v>75</v>
      </c>
      <c r="B25" s="55" t="s">
        <v>76</v>
      </c>
      <c r="C25" s="55"/>
      <c r="D25" s="56" t="s">
        <v>80</v>
      </c>
      <c r="E25" s="55" t="s">
        <v>81</v>
      </c>
      <c r="F25" s="55" t="str">
        <f>[1]!thsiFinD("ths_fund_manager_current_fund",D25)</f>
        <v>林清源</v>
      </c>
      <c r="G25" s="55" t="s">
        <v>82</v>
      </c>
      <c r="H25" s="57">
        <f>[1]!thsiFinD("ths_adjustment_nvg_ratio_fund",$D25,H$1,H$2,101)</f>
        <v>2.7219528506939001</v>
      </c>
      <c r="I25" s="57">
        <f>[1]!thsiFinD("ths_adjustment_nvg_ratio_fund",$D25,I$1,I$2,101)</f>
        <v>22.714017496903999</v>
      </c>
      <c r="J25" s="57">
        <f>[1]!thsiFinD("ths_adjustment_nvg_ratio_fund",$D25,J$1,J$2,101)</f>
        <v>48.214802663321002</v>
      </c>
      <c r="K25" s="57">
        <f>[1]!thsiFinD("ths_adjustment_nvg_ratio_fund",$D25,K$1,K$2,101)</f>
        <v>147.61405771400999</v>
      </c>
      <c r="L25" s="57">
        <f>[1]!thsiFinD("ths_adjustment_nvg_ratio_fund",$D25,L$1,L$2,101)</f>
        <v>159.53869550524001</v>
      </c>
      <c r="M25" s="57">
        <f>[1]!thsiFinD("ths_adjustment_nvg_ratio_fund",$D25,M$1,M$2,101)</f>
        <v>148.15413199774</v>
      </c>
      <c r="N25" s="57">
        <f>[1]!thsiFinD("ths_adjustment_nvg_ratio_fund",$D25,N$1,N$2,101)</f>
        <v>73.671861907156</v>
      </c>
      <c r="O25" s="57">
        <f>[1]!thsiFinD("ths_adjustment_nvg_ratio_fund",$D25,O$1,O$2,101)</f>
        <v>0.85354517028649002</v>
      </c>
      <c r="P25" s="57">
        <f>[1]!thsiFinD("ths_adjustment_nvg_ratio_fund",$D25,P$1,P$2,101)</f>
        <v>-2.3679867986799001</v>
      </c>
      <c r="Q25" s="57">
        <f>[1]!thsiFinD("ths_adjustment_nvg_ratio_fund",$D25,Q$1,Q$2,101)</f>
        <v>-5.3790303692716002</v>
      </c>
      <c r="R25" s="57">
        <f>[1]!thsiFinD("ths_adjustment_nvg_ratio_fund",$D25,R$1,R$2,101)</f>
        <v>3.3317199096482999</v>
      </c>
      <c r="S25" s="57">
        <f>[1]!thsiFinD("ths_adjustment_nvg_ratio_fund",$D25,S$1,S$2,101)</f>
        <v>14.269911504425</v>
      </c>
      <c r="T25" s="57">
        <f>[1]!thsiFinD("ths_adjustment_nvg_ratio_fund",$D25,T$1,T$2,101)</f>
        <v>6.5618860510805002</v>
      </c>
      <c r="U25" s="58" t="str">
        <f>[1]!thsiFinD("ths_fund_establishment_date_fund",D25)</f>
        <v>2015-12-11</v>
      </c>
      <c r="V25" s="59"/>
      <c r="W25" s="59"/>
    </row>
    <row r="26" spans="1:23">
      <c r="B26" s="4"/>
      <c r="C26" s="4"/>
      <c r="D26" s="28" t="s">
        <v>83</v>
      </c>
      <c r="E26" s="3" t="s">
        <v>84</v>
      </c>
      <c r="F26" s="3" t="s">
        <v>85</v>
      </c>
      <c r="H26" s="25">
        <f>[1]!thsiFinD("ths_int_chg_ratio_index",$D26,H$1,H$2,101)</f>
        <v>1.5511532505643</v>
      </c>
      <c r="I26" s="25">
        <f>[1]!thsiFinD("ths_int_chg_ratio_index",$D26,I$1,I$2,101)</f>
        <v>13.775074303826999</v>
      </c>
      <c r="J26" s="25">
        <f>[1]!thsiFinD("ths_int_chg_ratio_index",$D26,J$1,J$2,101)</f>
        <v>41.464199526862998</v>
      </c>
      <c r="K26" s="25">
        <f>[1]!thsiFinD("ths_int_chg_ratio_index",$D26,K$1,K$2,101)</f>
        <v>99.522011733390002</v>
      </c>
      <c r="L26" s="25">
        <f>[1]!thsiFinD("ths_int_chg_ratio_index",$D26,L$1,L$2,101)</f>
        <v>86.415658571243995</v>
      </c>
      <c r="M26" s="25">
        <f>[1]!thsiFinD("ths_int_chg_ratio_index",$D26,M$1,M$2,101)</f>
        <v>89.884521688315004</v>
      </c>
      <c r="N26" s="25">
        <f>[1]!thsiFinD("ths_int_chg_ratio_index",$D26,N$1,N$2,101)</f>
        <v>32.516095545477</v>
      </c>
      <c r="O26" s="25">
        <f>[1]!thsiFinD("ths_int_chg_ratio_index",$D26,O$1,O$2,101)</f>
        <v>11.13443549716</v>
      </c>
      <c r="P26" s="25">
        <f>[1]!thsiFinD("ths_int_chg_ratio_index",$D26,P$1,P$2,101)</f>
        <v>-2.7659711653407002</v>
      </c>
      <c r="Q26" s="25">
        <f>[1]!thsiFinD("ths_int_chg_ratio_index",$D26,Q$1,Q$2,101)</f>
        <v>-18.815136001917001</v>
      </c>
      <c r="R26" s="25">
        <f>[1]!thsiFinD("ths_int_chg_ratio_index",$D26,R$1,R$2,101)</f>
        <v>57.293199295504003</v>
      </c>
      <c r="S26" s="25">
        <f>[1]!thsiFinD("ths_int_chg_ratio_index",$D26,S$1,S$2,101)</f>
        <v>27.211455125486001</v>
      </c>
      <c r="T26" s="25">
        <f>[1]!thsiFinD("ths_int_chg_ratio_index",$D26,T$1,T$2,101)</f>
        <v>8.1681094666293994</v>
      </c>
      <c r="U26" s="26"/>
    </row>
    <row r="27" spans="1:23">
      <c r="B27" s="4"/>
      <c r="C27" s="4"/>
      <c r="D27" s="8"/>
      <c r="E27" s="61"/>
      <c r="F27" s="61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6"/>
    </row>
    <row r="28" spans="1:23">
      <c r="B28" s="4"/>
      <c r="C28" s="4"/>
      <c r="D28" s="8"/>
      <c r="E28" s="61"/>
      <c r="F28" s="61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6"/>
    </row>
    <row r="29" spans="1:23">
      <c r="B29" s="4"/>
      <c r="C29" s="4"/>
      <c r="D29" s="8"/>
      <c r="E29" s="61"/>
      <c r="F29" s="61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6"/>
    </row>
    <row r="30" spans="1:23">
      <c r="B30" s="4"/>
      <c r="C30" s="4"/>
      <c r="D30" s="8"/>
      <c r="E30" s="61"/>
      <c r="F30" s="61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6"/>
    </row>
    <row r="31" spans="1:23" s="68" customFormat="1">
      <c r="A31" s="62"/>
      <c r="B31" s="62" t="s">
        <v>86</v>
      </c>
      <c r="C31" s="62" t="s">
        <v>87</v>
      </c>
      <c r="D31" s="63" t="s">
        <v>88</v>
      </c>
      <c r="E31" s="64" t="s">
        <v>89</v>
      </c>
      <c r="F31" s="64"/>
      <c r="G31" s="3" t="s">
        <v>37</v>
      </c>
      <c r="H31" s="65">
        <f>[1]!thsiFinD("ths_adjustment_nvg_ratio_fund",$D31,H$1,H$2,101)</f>
        <v>1.4618504209023999</v>
      </c>
      <c r="I31" s="65">
        <f>[1]!thsiFinD("ths_adjustment_nvg_ratio_fund",$D31,I$1,I$2,101)</f>
        <v>31.131155533093999</v>
      </c>
      <c r="J31" s="65">
        <f>[1]!thsiFinD("ths_adjustment_nvg_ratio_fund",$D31,J$1,J$2,101)</f>
        <v>29.349525068466999</v>
      </c>
      <c r="K31" s="65">
        <f>[1]!thsiFinD("ths_adjustment_nvg_ratio_fund",$D31,K$1,K$2,101)</f>
        <v>114.77340786791</v>
      </c>
      <c r="L31" s="65">
        <f>[1]!thsiFinD("ths_adjustment_nvg_ratio_fund",$D31,L$1,L$2,101)</f>
        <v>143.35695973950999</v>
      </c>
      <c r="M31" s="65">
        <f>[1]!thsiFinD("ths_adjustment_nvg_ratio_fund",$D31,M$1,M$2,101)</f>
        <v>105.21396325416001</v>
      </c>
      <c r="N31" s="65">
        <f>[1]!thsiFinD("ths_adjustment_nvg_ratio_fund",$D31,N$1,N$2,101)</f>
        <v>55.399850518523003</v>
      </c>
      <c r="O31" s="65">
        <f>[1]!thsiFinD("ths_adjustment_nvg_ratio_fund",$D31,O$1,O$2,101)</f>
        <v>20.767205715543</v>
      </c>
      <c r="P31" s="65">
        <f>[1]!thsiFinD("ths_adjustment_nvg_ratio_fund",$D31,P$1,P$2,101)</f>
        <v>-22.055461097283001</v>
      </c>
      <c r="Q31" s="65">
        <f>[1]!thsiFinD("ths_adjustment_nvg_ratio_fund",$D31,Q$1,Q$2,101)</f>
        <v>-28.081123247672</v>
      </c>
      <c r="R31" s="65">
        <f>[1]!thsiFinD("ths_adjustment_nvg_ratio_fund",$D31,R$1,R$2,101)</f>
        <v>15.651263569058001</v>
      </c>
      <c r="S31" s="65">
        <f>[1]!thsiFinD("ths_adjustment_nvg_ratio_fund",$D31,S$1,S$2,101)</f>
        <v>77.968481826002005</v>
      </c>
      <c r="T31" s="65">
        <f>[1]!thsiFinD("ths_adjustment_nvg_ratio_fund",$D31,T$1,T$2,101)</f>
        <v>45.758471677644998</v>
      </c>
      <c r="U31" s="66" t="str">
        <f>[1]!thsiFinD("ths_fund_establishment_date_fund",D31)</f>
        <v>2018-11-08</v>
      </c>
      <c r="V31" s="67" t="s">
        <v>90</v>
      </c>
      <c r="W31" s="63"/>
    </row>
    <row r="32" spans="1:23">
      <c r="B32" s="3" t="s">
        <v>91</v>
      </c>
      <c r="C32" s="3" t="s">
        <v>87</v>
      </c>
      <c r="D32" s="3" t="s">
        <v>92</v>
      </c>
      <c r="E32" s="69" t="s">
        <v>93</v>
      </c>
      <c r="F32" s="69"/>
      <c r="G32" s="3" t="s">
        <v>37</v>
      </c>
      <c r="H32" s="25">
        <f>[1]!thsiFinD("ths_adjustment_nvg_ratio_fund",$D32,H$1,H$2,101)</f>
        <v>3.9936029243774001</v>
      </c>
      <c r="I32" s="25">
        <f>[1]!thsiFinD("ths_adjustment_nvg_ratio_fund",$D32,I$1,I$2,101)</f>
        <v>40.418311944719001</v>
      </c>
      <c r="J32" s="25">
        <f>[1]!thsiFinD("ths_adjustment_nvg_ratio_fund",$D32,J$1,J$2,101)</f>
        <v>46.501448342453003</v>
      </c>
      <c r="K32" s="25">
        <f>[1]!thsiFinD("ths_adjustment_nvg_ratio_fund",$D32,K$1,K$2,101)</f>
        <v>0</v>
      </c>
      <c r="L32" s="25">
        <f>[1]!thsiFinD("ths_adjustment_nvg_ratio_fund",$D32,L$1,L$2,101)</f>
        <v>0</v>
      </c>
      <c r="M32" s="25">
        <f>[1]!thsiFinD("ths_adjustment_nvg_ratio_fund",$D32,M$1,M$2,101)</f>
        <v>0</v>
      </c>
      <c r="N32" s="25">
        <f>[1]!thsiFinD("ths_adjustment_nvg_ratio_fund",$D32,N$1,N$2,101)</f>
        <v>0</v>
      </c>
      <c r="O32" s="25">
        <f>[1]!thsiFinD("ths_adjustment_nvg_ratio_fund",$D32,O$1,O$2,101)</f>
        <v>0</v>
      </c>
      <c r="P32" s="25">
        <f>[1]!thsiFinD("ths_adjustment_nvg_ratio_fund",$D32,P$1,P$2,101)</f>
        <v>0</v>
      </c>
      <c r="Q32" s="25">
        <f>[1]!thsiFinD("ths_adjustment_nvg_ratio_fund",$D32,Q$1,Q$2,101)</f>
        <v>0</v>
      </c>
      <c r="R32" s="25">
        <f>[1]!thsiFinD("ths_adjustment_nvg_ratio_fund",$D32,R$1,R$2,101)</f>
        <v>0</v>
      </c>
      <c r="S32" s="25">
        <f>[1]!thsiFinD("ths_adjustment_nvg_ratio_fund",$D32,S$1,S$2,101)</f>
        <v>0</v>
      </c>
      <c r="T32" s="25">
        <f>[1]!thsiFinD("ths_adjustment_nvg_ratio_fund",$D32,T$1,T$2,101)</f>
        <v>0</v>
      </c>
      <c r="U32" s="26" t="str">
        <f>[1]!thsiFinD("ths_fund_establishment_date_fund",D32)</f>
        <v>2025-07-16</v>
      </c>
      <c r="V32" s="70" t="s">
        <v>94</v>
      </c>
    </row>
    <row r="33" spans="1:23">
      <c r="B33" s="3" t="s">
        <v>31</v>
      </c>
      <c r="C33" s="3" t="s">
        <v>95</v>
      </c>
      <c r="D33" s="4" t="s">
        <v>96</v>
      </c>
      <c r="E33" s="71" t="s">
        <v>97</v>
      </c>
      <c r="F33" s="71"/>
      <c r="G33" s="3" t="s">
        <v>37</v>
      </c>
      <c r="H33" s="25">
        <f>[1]!thsiFinD("ths_adjustment_nvg_ratio_fund",$D33,H$1,H$2,101)</f>
        <v>2.7457869737784</v>
      </c>
      <c r="I33" s="25">
        <f>[1]!thsiFinD("ths_adjustment_nvg_ratio_fund",$D33,I$1,I$2,101)</f>
        <v>39.225886087109998</v>
      </c>
      <c r="J33" s="25">
        <f>[1]!thsiFinD("ths_adjustment_nvg_ratio_fund",$D33,J$1,J$2,101)</f>
        <v>30.920698088961</v>
      </c>
      <c r="K33" s="25">
        <f>[1]!thsiFinD("ths_adjustment_nvg_ratio_fund",$D33,K$1,K$2,101)</f>
        <v>115.97483416535999</v>
      </c>
      <c r="L33" s="25">
        <f>[1]!thsiFinD("ths_adjustment_nvg_ratio_fund",$D33,L$1,L$2,101)</f>
        <v>168.39466304070999</v>
      </c>
      <c r="M33" s="25">
        <f>[1]!thsiFinD("ths_adjustment_nvg_ratio_fund",$D33,M$1,M$2,101)</f>
        <v>116.93913999176</v>
      </c>
      <c r="N33" s="25">
        <f>[1]!thsiFinD("ths_adjustment_nvg_ratio_fund",$D33,N$1,N$2,101)</f>
        <v>65.509433962263998</v>
      </c>
      <c r="O33" s="25">
        <f>[1]!thsiFinD("ths_adjustment_nvg_ratio_fund",$D33,O$1,O$2,101)</f>
        <v>20.753935376967998</v>
      </c>
      <c r="P33" s="25">
        <f>[1]!thsiFinD("ths_adjustment_nvg_ratio_fund",$D33,P$1,P$2,101)</f>
        <v>11.070212570167</v>
      </c>
      <c r="Q33" s="25">
        <f>[1]!thsiFinD("ths_adjustment_nvg_ratio_fund",$D33,Q$1,Q$2,101)</f>
        <v>-32.687066402379003</v>
      </c>
      <c r="R33" s="25">
        <f>[1]!thsiFinD("ths_adjustment_nvg_ratio_fund",$D33,R$1,R$2,101)</f>
        <v>10.628383471527</v>
      </c>
      <c r="S33" s="25">
        <f>[1]!thsiFinD("ths_adjustment_nvg_ratio_fund",$D33,S$1,S$2,101)</f>
        <v>26.752366889603</v>
      </c>
      <c r="T33" s="25">
        <f>[1]!thsiFinD("ths_adjustment_nvg_ratio_fund",$D33,T$1,T$2,101)</f>
        <v>59.151230301355</v>
      </c>
      <c r="U33" s="26" t="str">
        <f>[1]!thsiFinD("ths_fund_establishment_date_fund",D33)</f>
        <v>2017-04-10</v>
      </c>
      <c r="V33" s="70" t="s">
        <v>98</v>
      </c>
    </row>
    <row r="34" spans="1:23">
      <c r="A34" s="3" t="s">
        <v>99</v>
      </c>
      <c r="B34" s="3" t="s">
        <v>31</v>
      </c>
      <c r="C34" s="3" t="s">
        <v>100</v>
      </c>
      <c r="D34" s="4" t="s">
        <v>101</v>
      </c>
      <c r="E34" s="69" t="s">
        <v>102</v>
      </c>
      <c r="F34" s="69"/>
      <c r="G34" s="3" t="s">
        <v>37</v>
      </c>
      <c r="H34" s="25">
        <f>[1]!thsiFinD("ths_adjustment_nvg_ratio_fund",$D34,H$1,H$2,101)</f>
        <v>7.0935826450031998</v>
      </c>
      <c r="I34" s="25">
        <f>[1]!thsiFinD("ths_adjustment_nvg_ratio_fund",$D34,I$1,I$2,101)</f>
        <v>56.183605255320003</v>
      </c>
      <c r="J34" s="25">
        <f>[1]!thsiFinD("ths_adjustment_nvg_ratio_fund",$D34,J$1,J$2,101)</f>
        <v>61.856094382331001</v>
      </c>
      <c r="K34" s="25">
        <f>[1]!thsiFinD("ths_adjustment_nvg_ratio_fund",$D34,K$1,K$2,101)</f>
        <v>273.90270955475</v>
      </c>
      <c r="L34" s="25">
        <f>[1]!thsiFinD("ths_adjustment_nvg_ratio_fund",$D34,L$1,L$2,101)</f>
        <v>315.29391059485999</v>
      </c>
      <c r="M34" s="25">
        <f>[1]!thsiFinD("ths_adjustment_nvg_ratio_fund",$D34,M$1,M$2,101)</f>
        <v>322.77165636477997</v>
      </c>
      <c r="N34" s="25">
        <f>[1]!thsiFinD("ths_adjustment_nvg_ratio_fund",$D34,N$1,N$2,101)</f>
        <v>115.55407703112</v>
      </c>
      <c r="O34" s="25">
        <f>[1]!thsiFinD("ths_adjustment_nvg_ratio_fund",$D34,O$1,O$2,101)</f>
        <v>31.151832460733001</v>
      </c>
      <c r="P34" s="25">
        <f>[1]!thsiFinD("ths_adjustment_nvg_ratio_fund",$D34,P$1,P$2,101)</f>
        <v>25.71916138469</v>
      </c>
      <c r="Q34" s="25">
        <f>[1]!thsiFinD("ths_adjustment_nvg_ratio_fund",$D34,Q$1,Q$2,101)</f>
        <v>-25.214220601640999</v>
      </c>
      <c r="R34" s="25">
        <f>[1]!thsiFinD("ths_adjustment_nvg_ratio_fund",$D34,R$1,R$2,101)</f>
        <v>7.0661721647471998</v>
      </c>
      <c r="S34" s="25">
        <f>[1]!thsiFinD("ths_adjustment_nvg_ratio_fund",$D34,S$1,S$2,101)</f>
        <v>1.6165823663592001</v>
      </c>
      <c r="T34" s="25">
        <f>[1]!thsiFinD("ths_adjustment_nvg_ratio_fund",$D34,T$1,T$2,101)</f>
        <v>0</v>
      </c>
      <c r="U34" s="26" t="str">
        <f>[1]!thsiFinD("ths_fund_establishment_date_fund",D34)</f>
        <v>2019-09-03</v>
      </c>
      <c r="V34" s="27" t="s">
        <v>103</v>
      </c>
    </row>
    <row r="35" spans="1:23">
      <c r="A35" s="3" t="s">
        <v>27</v>
      </c>
      <c r="B35" s="3" t="s">
        <v>31</v>
      </c>
      <c r="C35" s="4" t="s">
        <v>104</v>
      </c>
      <c r="D35" s="4" t="s">
        <v>105</v>
      </c>
      <c r="E35" s="71" t="s">
        <v>106</v>
      </c>
      <c r="F35" s="71"/>
      <c r="G35" s="4" t="s">
        <v>107</v>
      </c>
      <c r="H35" s="25"/>
      <c r="I35" s="25">
        <f>[1]!thsiFinD("ths_adjustment_nvg_ratio_fund",$D35,I$1,I$2,101)</f>
        <v>38.224467701191003</v>
      </c>
      <c r="J35" s="25">
        <f>[1]!thsiFinD("ths_adjustment_nvg_ratio_fund",$D35,J$1,J$2,101)</f>
        <v>30.199197770072999</v>
      </c>
      <c r="K35" s="25"/>
      <c r="L35" s="25">
        <f>[1]!thsiFinD("ths_adjustment_nvg_ratio_fund",$D35,L$1,L$2,101)</f>
        <v>136.57813465102001</v>
      </c>
      <c r="M35" s="25">
        <f>[1]!thsiFinD("ths_adjustment_nvg_ratio_fund",$D35,M$1,M$2,101)</f>
        <v>75.359399322406006</v>
      </c>
      <c r="N35" s="25">
        <f>[1]!thsiFinD("ths_adjustment_nvg_ratio_fund",$D35,N$1,N$2,101)</f>
        <v>39.593812280534998</v>
      </c>
      <c r="O35" s="25">
        <f>[1]!thsiFinD("ths_adjustment_nvg_ratio_fund",$D35,O$1,O$2,101)</f>
        <v>13.252364574376999</v>
      </c>
      <c r="P35" s="25">
        <f>[1]!thsiFinD("ths_adjustment_nvg_ratio_fund",$D35,P$1,P$2,101)</f>
        <v>-7.6984126984127004</v>
      </c>
      <c r="Q35" s="25">
        <f>[1]!thsiFinD("ths_adjustment_nvg_ratio_fund",$D35,Q$1,Q$2,101)</f>
        <v>0</v>
      </c>
      <c r="R35" s="25">
        <f>[1]!thsiFinD("ths_adjustment_nvg_ratio_fund",$D35,R$1,R$2,101)</f>
        <v>0</v>
      </c>
      <c r="S35" s="25">
        <f>[1]!thsiFinD("ths_adjustment_nvg_ratio_fund",$D35,S$1,S$2,101)</f>
        <v>0</v>
      </c>
      <c r="T35" s="25">
        <f>[1]!thsiFinD("ths_adjustment_nvg_ratio_fund",$D35,T$1,T$2,101)</f>
        <v>0</v>
      </c>
      <c r="U35" s="26" t="str">
        <f>[1]!thsiFinD("ths_fund_establishment_date_fund",D35)</f>
        <v>2022-12-20</v>
      </c>
      <c r="V35" s="27" t="s">
        <v>108</v>
      </c>
    </row>
    <row r="36" spans="1:23" s="68" customFormat="1">
      <c r="A36" s="62" t="s">
        <v>109</v>
      </c>
      <c r="B36" s="62" t="s">
        <v>31</v>
      </c>
      <c r="C36" s="62" t="s">
        <v>110</v>
      </c>
      <c r="D36" s="63" t="s">
        <v>111</v>
      </c>
      <c r="E36" s="72" t="s">
        <v>112</v>
      </c>
      <c r="F36" s="72"/>
      <c r="G36" s="62" t="s">
        <v>107</v>
      </c>
      <c r="H36" s="65">
        <f>[1]!thsiFinD("ths_adjustment_nvg_ratio_fund",$D36,H$1,H$2,101)</f>
        <v>1.0430963491628</v>
      </c>
      <c r="I36" s="65">
        <f>[1]!thsiFinD("ths_adjustment_nvg_ratio_fund",$D36,I$1,I$2,101)</f>
        <v>54.793944491169</v>
      </c>
      <c r="J36" s="65">
        <f>[1]!thsiFinD("ths_adjustment_nvg_ratio_fund",$D36,J$1,J$2,101)</f>
        <v>51.131639722864001</v>
      </c>
      <c r="K36" s="65">
        <f>[1]!thsiFinD("ths_adjustment_nvg_ratio_fund",$D36,K$1,K$2,101)</f>
        <v>130.85606773283001</v>
      </c>
      <c r="L36" s="65">
        <f>[1]!thsiFinD("ths_adjustment_nvg_ratio_fund",$D36,L$1,L$2,101)</f>
        <v>257.11860295900999</v>
      </c>
      <c r="M36" s="65">
        <f>[1]!thsiFinD("ths_adjustment_nvg_ratio_fund",$D36,M$1,M$2,101)</f>
        <v>149.89816700610999</v>
      </c>
      <c r="N36" s="65">
        <f>[1]!thsiFinD("ths_adjustment_nvg_ratio_fund",$D36,N$1,N$2,101)</f>
        <v>55.506783719074001</v>
      </c>
      <c r="O36" s="65">
        <f>[1]!thsiFinD("ths_adjustment_nvg_ratio_fund",$D36,O$1,O$2,101)</f>
        <v>30.249480249480001</v>
      </c>
      <c r="P36" s="65">
        <f>[1]!thsiFinD("ths_adjustment_nvg_ratio_fund",$D36,P$1,P$2,101)</f>
        <v>5.1940951339529997</v>
      </c>
      <c r="Q36" s="65">
        <f>[1]!thsiFinD("ths_adjustment_nvg_ratio_fund",$D36,Q$1,Q$2,101)</f>
        <v>0</v>
      </c>
      <c r="R36" s="65">
        <f>[1]!thsiFinD("ths_adjustment_nvg_ratio_fund",$D36,R$1,R$2,101)</f>
        <v>0</v>
      </c>
      <c r="S36" s="65">
        <f>[1]!thsiFinD("ths_adjustment_nvg_ratio_fund",$D36,S$1,S$2,101)</f>
        <v>0</v>
      </c>
      <c r="T36" s="65">
        <f>[1]!thsiFinD("ths_adjustment_nvg_ratio_fund",$D36,T$1,T$2,101)</f>
        <v>0</v>
      </c>
      <c r="U36" s="66" t="str">
        <f>[1]!thsiFinD("ths_fund_establishment_date_fund",D36)</f>
        <v>2022-12-07</v>
      </c>
      <c r="V36" s="67" t="s">
        <v>113</v>
      </c>
      <c r="W36" s="63"/>
    </row>
    <row r="37" spans="1:23" s="68" customFormat="1">
      <c r="A37" s="62" t="s">
        <v>109</v>
      </c>
      <c r="B37" s="62" t="s">
        <v>31</v>
      </c>
      <c r="C37" s="62" t="s">
        <v>110</v>
      </c>
      <c r="D37" s="63" t="s">
        <v>114</v>
      </c>
      <c r="E37" s="72" t="s">
        <v>115</v>
      </c>
      <c r="F37" s="72"/>
      <c r="G37" s="62" t="s">
        <v>107</v>
      </c>
      <c r="H37" s="65">
        <f>[1]!thsiFinD("ths_adjustment_nvg_ratio_fund",$D37,H$1,H$2,101)</f>
        <v>2.7850521677682001</v>
      </c>
      <c r="I37" s="65">
        <f>[1]!thsiFinD("ths_adjustment_nvg_ratio_fund",$D37,I$1,I$2,101)</f>
        <v>48.465926148304</v>
      </c>
      <c r="J37" s="65">
        <f>[1]!thsiFinD("ths_adjustment_nvg_ratio_fund",$D37,J$1,J$2,101)</f>
        <v>55.809703843729999</v>
      </c>
      <c r="K37" s="65">
        <f>[1]!thsiFinD("ths_adjustment_nvg_ratio_fund",$D37,K$1,K$2,101)</f>
        <v>129.29339762610999</v>
      </c>
      <c r="L37" s="65"/>
      <c r="M37" s="65"/>
      <c r="N37" s="65">
        <f>[1]!thsiFinD("ths_adjustment_nvg_ratio_fund",$D37,N$1,N$2,101)</f>
        <v>47.875512486022998</v>
      </c>
      <c r="O37" s="65">
        <f>[1]!thsiFinD("ths_adjustment_nvg_ratio_fund",$D37,O$1,O$2,101)</f>
        <v>9.3317033414832995</v>
      </c>
      <c r="P37" s="65">
        <f>[1]!thsiFinD("ths_adjustment_nvg_ratio_fund",$D37,P$1,P$2,101)</f>
        <v>0</v>
      </c>
      <c r="Q37" s="65">
        <f>[1]!thsiFinD("ths_adjustment_nvg_ratio_fund",$D37,Q$1,Q$2,101)</f>
        <v>0</v>
      </c>
      <c r="R37" s="65">
        <f>[1]!thsiFinD("ths_adjustment_nvg_ratio_fund",$D37,R$1,R$2,101)</f>
        <v>0</v>
      </c>
      <c r="S37" s="65">
        <f>[1]!thsiFinD("ths_adjustment_nvg_ratio_fund",$D37,S$1,S$2,101)</f>
        <v>0</v>
      </c>
      <c r="T37" s="65">
        <f>[1]!thsiFinD("ths_adjustment_nvg_ratio_fund",$D37,T$1,T$2,101)</f>
        <v>0</v>
      </c>
      <c r="U37" s="66" t="str">
        <f>[1]!thsiFinD("ths_fund_establishment_date_fund",D37)</f>
        <v>2023-09-26</v>
      </c>
      <c r="V37" s="67"/>
      <c r="W37" s="63"/>
    </row>
    <row r="38" spans="1:23" s="68" customFormat="1">
      <c r="A38" s="62" t="s">
        <v>109</v>
      </c>
      <c r="B38" s="62" t="s">
        <v>34</v>
      </c>
      <c r="C38" s="62" t="s">
        <v>110</v>
      </c>
      <c r="D38" s="63" t="s">
        <v>60</v>
      </c>
      <c r="E38" s="73" t="s">
        <v>116</v>
      </c>
      <c r="F38" s="73"/>
      <c r="G38" s="62" t="s">
        <v>107</v>
      </c>
      <c r="H38" s="65">
        <f>[1]!thsiFinD("ths_adjustment_nvg_ratio_fund",$D38,H$1,H$2,101)</f>
        <v>0.75852868305698995</v>
      </c>
      <c r="I38" s="65">
        <f>[1]!thsiFinD("ths_adjustment_nvg_ratio_fund",$D38,I$1,I$2,101)</f>
        <v>56.497543070273998</v>
      </c>
      <c r="J38" s="65">
        <f>[1]!thsiFinD("ths_adjustment_nvg_ratio_fund",$D38,J$1,J$2,101)</f>
        <v>69.383570421632996</v>
      </c>
      <c r="K38" s="65">
        <f>[1]!thsiFinD("ths_adjustment_nvg_ratio_fund",$D38,K$1,K$2,101)</f>
        <v>172.88118096418</v>
      </c>
      <c r="L38" s="65">
        <f>[1]!thsiFinD("ths_adjustment_nvg_ratio_fund",$D38,L$1,L$2,101)</f>
        <v>247.54141467263</v>
      </c>
      <c r="M38" s="65">
        <f>[1]!thsiFinD("ths_adjustment_nvg_ratio_fund",$D38,M$1,M$2,101)</f>
        <v>145.87480234397</v>
      </c>
      <c r="N38" s="65">
        <f>[1]!thsiFinD("ths_adjustment_nvg_ratio_fund",$D38,N$1,N$2,101)</f>
        <v>55.655296229803</v>
      </c>
      <c r="O38" s="65">
        <f>[1]!thsiFinD("ths_adjustment_nvg_ratio_fund",$D38,O$1,O$2,101)</f>
        <v>10.956175298805</v>
      </c>
      <c r="P38" s="65">
        <f>[1]!thsiFinD("ths_adjustment_nvg_ratio_fund",$D38,P$1,P$2,101)</f>
        <v>4.5954392869545</v>
      </c>
      <c r="Q38" s="65">
        <f>[1]!thsiFinD("ths_adjustment_nvg_ratio_fund",$D38,Q$1,Q$2,101)</f>
        <v>-13.228204098031</v>
      </c>
      <c r="R38" s="65">
        <f>[1]!thsiFinD("ths_adjustment_nvg_ratio_fund",$D38,R$1,R$2,101)</f>
        <v>0</v>
      </c>
      <c r="S38" s="65">
        <f>[1]!thsiFinD("ths_adjustment_nvg_ratio_fund",$D38,S$1,S$2,101)</f>
        <v>0</v>
      </c>
      <c r="T38" s="65">
        <f>[1]!thsiFinD("ths_adjustment_nvg_ratio_fund",$D38,T$1,T$2,101)</f>
        <v>0</v>
      </c>
      <c r="U38" s="66" t="str">
        <f>[1]!thsiFinD("ths_fund_establishment_date_fund",D38)</f>
        <v>2021-12-08</v>
      </c>
      <c r="V38" s="67"/>
      <c r="W38" s="63"/>
    </row>
    <row r="39" spans="1:23" s="68" customFormat="1">
      <c r="A39" s="62" t="s">
        <v>109</v>
      </c>
      <c r="B39" s="62" t="s">
        <v>34</v>
      </c>
      <c r="C39" s="62" t="s">
        <v>110</v>
      </c>
      <c r="D39" s="63" t="s">
        <v>117</v>
      </c>
      <c r="E39" s="73" t="s">
        <v>118</v>
      </c>
      <c r="F39" s="73"/>
      <c r="G39" s="62" t="s">
        <v>107</v>
      </c>
      <c r="H39" s="65">
        <f>[1]!thsiFinD("ths_adjustment_nvg_ratio_fund",$D39,H$1,H$2,101)</f>
        <v>1.5582220719958999</v>
      </c>
      <c r="I39" s="65">
        <f>[1]!thsiFinD("ths_adjustment_nvg_ratio_fund",$D39,I$1,I$2,101)</f>
        <v>49.252396800954003</v>
      </c>
      <c r="J39" s="65">
        <f>[1]!thsiFinD("ths_adjustment_nvg_ratio_fund",$D39,J$1,J$2,101)</f>
        <v>51.449165784565999</v>
      </c>
      <c r="K39" s="65">
        <f>[1]!thsiFinD("ths_adjustment_nvg_ratio_fund",$D39,K$1,K$2,101)</f>
        <v>142.52159173460001</v>
      </c>
      <c r="L39" s="65">
        <f>[1]!thsiFinD("ths_adjustment_nvg_ratio_fund",$D39,L$1,L$2,101)</f>
        <v>222.65893470789999</v>
      </c>
      <c r="M39" s="65">
        <f>[1]!thsiFinD("ths_adjustment_nvg_ratio_fund",$D39,M$1,M$2,101)</f>
        <v>142.18926325971</v>
      </c>
      <c r="N39" s="65">
        <f>[1]!thsiFinD("ths_adjustment_nvg_ratio_fund",$D39,N$1,N$2,101)</f>
        <v>62.176081092128001</v>
      </c>
      <c r="O39" s="65">
        <f>[1]!thsiFinD("ths_adjustment_nvg_ratio_fund",$D39,O$1,O$2,101)</f>
        <v>20.226044226043999</v>
      </c>
      <c r="P39" s="65">
        <f>[1]!thsiFinD("ths_adjustment_nvg_ratio_fund",$D39,P$1,P$2,101)</f>
        <v>-5.5070579494798997</v>
      </c>
      <c r="Q39" s="65">
        <f>[1]!thsiFinD("ths_adjustment_nvg_ratio_fund",$D39,Q$1,Q$2,101)</f>
        <v>0</v>
      </c>
      <c r="R39" s="65">
        <f>[1]!thsiFinD("ths_adjustment_nvg_ratio_fund",$D39,R$1,R$2,101)</f>
        <v>0</v>
      </c>
      <c r="S39" s="65">
        <f>[1]!thsiFinD("ths_adjustment_nvg_ratio_fund",$D39,S$1,S$2,101)</f>
        <v>0</v>
      </c>
      <c r="T39" s="65">
        <f>[1]!thsiFinD("ths_adjustment_nvg_ratio_fund",$D39,T$1,T$2,101)</f>
        <v>0</v>
      </c>
      <c r="U39" s="66" t="str">
        <f>[1]!thsiFinD("ths_fund_establishment_date_fund",D39)</f>
        <v>2022-04-22</v>
      </c>
      <c r="V39" s="67"/>
      <c r="W39" s="63"/>
    </row>
    <row r="40" spans="1:23" s="79" customFormat="1">
      <c r="A40" s="74"/>
      <c r="B40" s="74" t="s">
        <v>34</v>
      </c>
      <c r="C40" s="74" t="s">
        <v>119</v>
      </c>
      <c r="D40" s="75" t="s">
        <v>52</v>
      </c>
      <c r="E40" s="76" t="s">
        <v>120</v>
      </c>
      <c r="F40" s="76"/>
      <c r="G40" s="74" t="s">
        <v>119</v>
      </c>
      <c r="H40" s="77">
        <f>[1]!thsiFinD("ths_adjustment_nvg_ratio_fund",$D40,H$1,H$2,101)</f>
        <v>2.6441434103183998</v>
      </c>
      <c r="I40" s="77">
        <f>[1]!thsiFinD("ths_adjustment_nvg_ratio_fund",$D40,I$1,I$2,101)</f>
        <v>42.116769324194998</v>
      </c>
      <c r="J40" s="77">
        <f>[1]!thsiFinD("ths_adjustment_nvg_ratio_fund",$D40,J$1,J$2,101)</f>
        <v>37.912513469827999</v>
      </c>
      <c r="K40" s="77">
        <f>[1]!thsiFinD("ths_adjustment_nvg_ratio_fund",$D40,K$1,K$2,101)</f>
        <v>163.95862202314001</v>
      </c>
      <c r="L40" s="77">
        <f>[1]!thsiFinD("ths_adjustment_nvg_ratio_fund",$D40,L$1,L$2,101)</f>
        <v>204.4378368333</v>
      </c>
      <c r="M40" s="77">
        <f>[1]!thsiFinD("ths_adjustment_nvg_ratio_fund",$D40,M$1,M$2,101)</f>
        <v>216.99756182515</v>
      </c>
      <c r="N40" s="77">
        <f>[1]!thsiFinD("ths_adjustment_nvg_ratio_fund",$D40,N$1,N$2,101)</f>
        <v>85.565206523776993</v>
      </c>
      <c r="O40" s="77">
        <f>[1]!thsiFinD("ths_adjustment_nvg_ratio_fund",$D40,O$1,O$2,101)</f>
        <v>32.398444609911003</v>
      </c>
      <c r="P40" s="77">
        <f>[1]!thsiFinD("ths_adjustment_nvg_ratio_fund",$D40,P$1,P$2,101)</f>
        <v>44.919369342365997</v>
      </c>
      <c r="Q40" s="77">
        <f>[1]!thsiFinD("ths_adjustment_nvg_ratio_fund",$D40,Q$1,Q$2,101)</f>
        <v>-33.795046832830998</v>
      </c>
      <c r="R40" s="77">
        <f>[1]!thsiFinD("ths_adjustment_nvg_ratio_fund",$D40,R$1,R$2,101)</f>
        <v>51.064212482762997</v>
      </c>
      <c r="S40" s="77">
        <f>[1]!thsiFinD("ths_adjustment_nvg_ratio_fund",$D40,S$1,S$2,101)</f>
        <v>66.125498007968005</v>
      </c>
      <c r="T40" s="77">
        <f>[1]!thsiFinD("ths_adjustment_nvg_ratio_fund",$D40,T$1,T$2,101)</f>
        <v>30.051813471502999</v>
      </c>
      <c r="U40" s="78" t="str">
        <f>[1]!thsiFinD("ths_fund_establishment_date_fund",D40)</f>
        <v>2015-05-27</v>
      </c>
      <c r="V40" s="75"/>
      <c r="W40" s="75"/>
    </row>
    <row r="41" spans="1:23" s="79" customFormat="1">
      <c r="A41" s="74"/>
      <c r="B41" s="74" t="s">
        <v>34</v>
      </c>
      <c r="C41" s="74" t="s">
        <v>119</v>
      </c>
      <c r="D41" s="75" t="s">
        <v>55</v>
      </c>
      <c r="E41" s="80" t="s">
        <v>121</v>
      </c>
      <c r="F41" s="80"/>
      <c r="G41" s="74" t="s">
        <v>119</v>
      </c>
      <c r="H41" s="77">
        <f>[1]!thsiFinD("ths_adjustment_nvg_ratio_fund",$D41,H$1,H$2,101)</f>
        <v>4.6391752577782004</v>
      </c>
      <c r="I41" s="77">
        <f>[1]!thsiFinD("ths_adjustment_nvg_ratio_fund",$D41,I$1,I$2,101)</f>
        <v>62.950410273989</v>
      </c>
      <c r="J41" s="77">
        <f>[1]!thsiFinD("ths_adjustment_nvg_ratio_fund",$D41,J$1,J$2,101)</f>
        <v>68.679186005424995</v>
      </c>
      <c r="K41" s="77">
        <f>[1]!thsiFinD("ths_adjustment_nvg_ratio_fund",$D41,K$1,K$2,101)</f>
        <v>273.26766651060001</v>
      </c>
      <c r="L41" s="77">
        <f>[1]!thsiFinD("ths_adjustment_nvg_ratio_fund",$D41,L$1,L$2,101)</f>
        <v>329.06895060258</v>
      </c>
      <c r="M41" s="77">
        <f>[1]!thsiFinD("ths_adjustment_nvg_ratio_fund",$D41,M$1,M$2,101)</f>
        <v>259.04384088145002</v>
      </c>
      <c r="N41" s="77">
        <f>[1]!thsiFinD("ths_adjustment_nvg_ratio_fund",$D41,N$1,N$2,101)</f>
        <v>108.05116629043999</v>
      </c>
      <c r="O41" s="77">
        <f>[1]!thsiFinD("ths_adjustment_nvg_ratio_fund",$D41,O$1,O$2,101)</f>
        <v>24.906015037593999</v>
      </c>
      <c r="P41" s="77">
        <f>[1]!thsiFinD("ths_adjustment_nvg_ratio_fund",$D41,P$1,P$2,101)</f>
        <v>-8.8260497000857008</v>
      </c>
      <c r="Q41" s="77">
        <f>[1]!thsiFinD("ths_adjustment_nvg_ratio_fund",$D41,Q$1,Q$2,101)</f>
        <v>-24.122236671001001</v>
      </c>
      <c r="R41" s="77">
        <f>[1]!thsiFinD("ths_adjustment_nvg_ratio_fund",$D41,R$1,R$2,101)</f>
        <v>24.787018255578001</v>
      </c>
      <c r="S41" s="77">
        <f>[1]!thsiFinD("ths_adjustment_nvg_ratio_fund",$D41,S$1,S$2,101)</f>
        <v>43.983644859812998</v>
      </c>
      <c r="T41" s="77">
        <f>[1]!thsiFinD("ths_adjustment_nvg_ratio_fund",$D41,T$1,T$2,101)</f>
        <v>75.589743589744003</v>
      </c>
      <c r="U41" s="78" t="str">
        <f>[1]!thsiFinD("ths_fund_establishment_date_fund",D41)</f>
        <v>2016-09-27</v>
      </c>
      <c r="V41" s="75"/>
      <c r="W41" s="75"/>
    </row>
    <row r="42" spans="1:23" s="79" customFormat="1">
      <c r="A42" s="74"/>
      <c r="B42" s="74" t="s">
        <v>34</v>
      </c>
      <c r="C42" s="74" t="s">
        <v>119</v>
      </c>
      <c r="D42" s="75" t="s">
        <v>122</v>
      </c>
      <c r="E42" s="76" t="s">
        <v>123</v>
      </c>
      <c r="F42" s="76"/>
      <c r="G42" s="74" t="s">
        <v>119</v>
      </c>
      <c r="H42" s="77">
        <f>[1]!thsiFinD("ths_adjustment_nvg_ratio_fund",$D42,H$1,H$2,101)</f>
        <v>5.3633572162977998</v>
      </c>
      <c r="I42" s="77">
        <f>[1]!thsiFinD("ths_adjustment_nvg_ratio_fund",$D42,I$1,I$2,101)</f>
        <v>64.546035804959004</v>
      </c>
      <c r="J42" s="77">
        <f>[1]!thsiFinD("ths_adjustment_nvg_ratio_fund",$D42,J$1,J$2,101)</f>
        <v>72.486595173275006</v>
      </c>
      <c r="K42" s="77">
        <f>[1]!thsiFinD("ths_adjustment_nvg_ratio_fund",$D42,K$1,K$2,101)</f>
        <v>251.0914051844</v>
      </c>
      <c r="L42" s="77">
        <f>[1]!thsiFinD("ths_adjustment_nvg_ratio_fund",$D42,L$1,L$2,101)</f>
        <v>306.23520126192</v>
      </c>
      <c r="M42" s="77">
        <f>[1]!thsiFinD("ths_adjustment_nvg_ratio_fund",$D42,M$1,M$2,101)</f>
        <v>325.54865714802003</v>
      </c>
      <c r="N42" s="77">
        <f>[1]!thsiFinD("ths_adjustment_nvg_ratio_fund",$D42,N$1,N$2,101)</f>
        <v>91.527599490601006</v>
      </c>
      <c r="O42" s="77">
        <f>[1]!thsiFinD("ths_adjustment_nvg_ratio_fund",$D42,O$1,O$2,101)</f>
        <v>32.145886342102003</v>
      </c>
      <c r="P42" s="77">
        <f>[1]!thsiFinD("ths_adjustment_nvg_ratio_fund",$D42,P$1,P$2,101)</f>
        <v>-11.648463028741</v>
      </c>
      <c r="Q42" s="77">
        <f>[1]!thsiFinD("ths_adjustment_nvg_ratio_fund",$D42,Q$1,Q$2,101)</f>
        <v>-11.249293387151999</v>
      </c>
      <c r="R42" s="77">
        <f>[1]!thsiFinD("ths_adjustment_nvg_ratio_fund",$D42,R$1,R$2,101)</f>
        <v>0</v>
      </c>
      <c r="S42" s="77">
        <f>[1]!thsiFinD("ths_adjustment_nvg_ratio_fund",$D42,S$1,S$2,101)</f>
        <v>37.344720494731</v>
      </c>
      <c r="T42" s="77">
        <f>[1]!thsiFinD("ths_adjustment_nvg_ratio_fund",$D42,T$1,T$2,101)</f>
        <v>39.847991311458998</v>
      </c>
      <c r="U42" s="78" t="str">
        <f>[1]!thsiFinD("ths_fund_establishment_date_fund",D42)</f>
        <v>2014-01-02</v>
      </c>
      <c r="V42" s="75"/>
      <c r="W42" s="75"/>
    </row>
    <row r="43" spans="1:23" s="79" customFormat="1">
      <c r="A43" s="74"/>
      <c r="B43" s="74" t="s">
        <v>34</v>
      </c>
      <c r="C43" s="74" t="s">
        <v>124</v>
      </c>
      <c r="D43" s="75" t="s">
        <v>125</v>
      </c>
      <c r="E43" s="80" t="s">
        <v>126</v>
      </c>
      <c r="F43" s="80"/>
      <c r="G43" s="74" t="s">
        <v>119</v>
      </c>
      <c r="H43" s="77">
        <f>[1]!thsiFinD("ths_adjustment_nvg_ratio_fund",$D43,H$1,H$2,101)</f>
        <v>7.0989990746647003</v>
      </c>
      <c r="I43" s="77">
        <f>[1]!thsiFinD("ths_adjustment_nvg_ratio_fund",$D43,I$1,I$2,101)</f>
        <v>71.829560405863006</v>
      </c>
      <c r="J43" s="77">
        <f>[1]!thsiFinD("ths_adjustment_nvg_ratio_fund",$D43,J$1,J$2,101)</f>
        <v>98.294724546409</v>
      </c>
      <c r="K43" s="77">
        <f>[1]!thsiFinD("ths_adjustment_nvg_ratio_fund",$D43,K$1,K$2,101)</f>
        <v>299.84298948806997</v>
      </c>
      <c r="L43" s="77">
        <f>[1]!thsiFinD("ths_adjustment_nvg_ratio_fund",$D43,L$1,L$2,101)</f>
        <v>322.04176334068001</v>
      </c>
      <c r="M43" s="77">
        <f>[1]!thsiFinD("ths_adjustment_nvg_ratio_fund",$D43,M$1,M$2,101)</f>
        <v>246.52333651394</v>
      </c>
      <c r="N43" s="77">
        <f>[1]!thsiFinD("ths_adjustment_nvg_ratio_fund",$D43,N$1,N$2,101)</f>
        <v>95.397489542868001</v>
      </c>
      <c r="O43" s="77">
        <f>[1]!thsiFinD("ths_adjustment_nvg_ratio_fund",$D43,O$1,O$2,101)</f>
        <v>12.610297264444</v>
      </c>
      <c r="P43" s="77">
        <f>[1]!thsiFinD("ths_adjustment_nvg_ratio_fund",$D43,P$1,P$2,101)</f>
        <v>-16.178371390565999</v>
      </c>
      <c r="Q43" s="77">
        <f>[1]!thsiFinD("ths_adjustment_nvg_ratio_fund",$D43,Q$1,Q$2,101)</f>
        <v>-12.269086400894</v>
      </c>
      <c r="R43" s="77">
        <f>[1]!thsiFinD("ths_adjustment_nvg_ratio_fund",$D43,R$1,R$2,101)</f>
        <v>-17.288135593220002</v>
      </c>
      <c r="S43" s="77">
        <f>[1]!thsiFinD("ths_adjustment_nvg_ratio_fund",$D43,S$1,S$2,101)</f>
        <v>65.127944169816999</v>
      </c>
      <c r="T43" s="77">
        <f>[1]!thsiFinD("ths_adjustment_nvg_ratio_fund",$D43,T$1,T$2,101)</f>
        <v>56.389267849021998</v>
      </c>
      <c r="U43" s="78" t="str">
        <f>[1]!thsiFinD("ths_fund_establishment_date_fund",D43)</f>
        <v>2018-06-13</v>
      </c>
      <c r="V43" s="75"/>
      <c r="W43" s="75"/>
    </row>
    <row r="44" spans="1:23" s="79" customFormat="1">
      <c r="A44" s="74"/>
      <c r="B44" s="74" t="s">
        <v>34</v>
      </c>
      <c r="C44" s="74" t="s">
        <v>124</v>
      </c>
      <c r="D44" s="74" t="s">
        <v>127</v>
      </c>
      <c r="E44" s="80" t="s">
        <v>128</v>
      </c>
      <c r="F44" s="80"/>
      <c r="G44" s="74" t="s">
        <v>119</v>
      </c>
      <c r="H44" s="77">
        <f>[1]!thsiFinD("ths_adjustment_nvg_ratio_fund",$D44,H$1,H$2,101)</f>
        <v>6.8810374487230002</v>
      </c>
      <c r="I44" s="77">
        <f>[1]!thsiFinD("ths_adjustment_nvg_ratio_fund",$D44,I$1,I$2,101)</f>
        <v>89.600938967136003</v>
      </c>
      <c r="J44" s="77">
        <f>[1]!thsiFinD("ths_adjustment_nvg_ratio_fund",$D44,J$1,J$2,101)</f>
        <v>103.14386317907</v>
      </c>
      <c r="K44" s="77">
        <f>[1]!thsiFinD("ths_adjustment_nvg_ratio_fund",$D44,K$1,K$2,101)</f>
        <v>414.78648820904999</v>
      </c>
      <c r="L44" s="77">
        <f>[1]!thsiFinD("ths_adjustment_nvg_ratio_fund",$D44,L$1,L$2,101)</f>
        <v>362.33543216943002</v>
      </c>
      <c r="M44" s="77">
        <f>[1]!thsiFinD("ths_adjustment_nvg_ratio_fund",$D44,M$1,M$2,101)</f>
        <v>298.07787087234999</v>
      </c>
      <c r="N44" s="77">
        <f>[1]!thsiFinD("ths_adjustment_nvg_ratio_fund",$D44,N$1,N$2,101)</f>
        <v>84.244670991659007</v>
      </c>
      <c r="O44" s="77">
        <f>[1]!thsiFinD("ths_adjustment_nvg_ratio_fund",$D44,O$1,O$2,101)</f>
        <v>48.622589531679999</v>
      </c>
      <c r="P44" s="77">
        <f>[1]!thsiFinD("ths_adjustment_nvg_ratio_fund",$D44,P$1,P$2,101)</f>
        <v>-30.493058879846998</v>
      </c>
      <c r="Q44" s="77">
        <f>[1]!thsiFinD("ths_adjustment_nvg_ratio_fund",$D44,Q$1,Q$2,101)</f>
        <v>-10.22776106575</v>
      </c>
      <c r="R44" s="77">
        <f>[1]!thsiFinD("ths_adjustment_nvg_ratio_fund",$D44,R$1,R$2,101)</f>
        <v>24.772117962466002</v>
      </c>
      <c r="S44" s="77">
        <f>[1]!thsiFinD("ths_adjustment_nvg_ratio_fund",$D44,S$1,S$2,101)</f>
        <v>48.961661341853002</v>
      </c>
      <c r="T44" s="77">
        <f>[1]!thsiFinD("ths_adjustment_nvg_ratio_fund",$D44,T$1,T$2,101)</f>
        <v>72.928176795580001</v>
      </c>
      <c r="U44" s="78" t="str">
        <f>[1]!thsiFinD("ths_fund_establishment_date_fund",D44)</f>
        <v>2015-06-29</v>
      </c>
      <c r="V44" s="75"/>
      <c r="W44" s="75"/>
    </row>
    <row r="45" spans="1:23">
      <c r="A45" s="81" t="s">
        <v>129</v>
      </c>
      <c r="B45" s="81" t="s">
        <v>31</v>
      </c>
      <c r="C45" s="81" t="s">
        <v>130</v>
      </c>
      <c r="D45" s="82" t="s">
        <v>131</v>
      </c>
      <c r="E45" s="83" t="s">
        <v>132</v>
      </c>
      <c r="F45" s="83"/>
      <c r="G45" s="81" t="s">
        <v>133</v>
      </c>
      <c r="H45" s="84">
        <f>[1]!thsiFinD("ths_adjustment_nvg_ratio_fund",$D45,H$1,H$2,101)</f>
        <v>1.4710042432815</v>
      </c>
      <c r="I45" s="84">
        <f>[1]!thsiFinD("ths_adjustment_nvg_ratio_fund",$D45,I$1,I$2,101)</f>
        <v>13.065405831363</v>
      </c>
      <c r="J45" s="84">
        <f>[1]!thsiFinD("ths_adjustment_nvg_ratio_fund",$D45,J$1,J$2,101)</f>
        <v>36.116118015368997</v>
      </c>
      <c r="K45" s="84">
        <f>[1]!thsiFinD("ths_adjustment_nvg_ratio_fund",$D45,K$1,K$2,101)</f>
        <v>0</v>
      </c>
      <c r="L45" s="84">
        <f>[1]!thsiFinD("ths_adjustment_nvg_ratio_fund",$D45,L$1,L$2,101)</f>
        <v>0</v>
      </c>
      <c r="M45" s="84">
        <f>[1]!thsiFinD("ths_adjustment_nvg_ratio_fund",$D45,M$1,M$2,101)</f>
        <v>0</v>
      </c>
      <c r="N45" s="84">
        <f>[1]!thsiFinD("ths_adjustment_nvg_ratio_fund",$D45,N$1,N$2,101)</f>
        <v>0</v>
      </c>
      <c r="O45" s="84">
        <f>[1]!thsiFinD("ths_adjustment_nvg_ratio_fund",$D45,O$1,O$2,101)</f>
        <v>0</v>
      </c>
      <c r="P45" s="84">
        <f>[1]!thsiFinD("ths_adjustment_nvg_ratio_fund",$D45,P$1,P$2,101)</f>
        <v>0</v>
      </c>
      <c r="Q45" s="84">
        <f>[1]!thsiFinD("ths_adjustment_nvg_ratio_fund",$D45,Q$1,Q$2,101)</f>
        <v>0</v>
      </c>
      <c r="R45" s="84">
        <f>[1]!thsiFinD("ths_adjustment_nvg_ratio_fund",$D45,R$1,R$2,101)</f>
        <v>0</v>
      </c>
      <c r="S45" s="84">
        <f>[1]!thsiFinD("ths_adjustment_nvg_ratio_fund",$D45,S$1,S$2,101)</f>
        <v>0</v>
      </c>
      <c r="T45" s="84">
        <f>[1]!thsiFinD("ths_adjustment_nvg_ratio_fund",$D45,T$1,T$2,101)</f>
        <v>0</v>
      </c>
      <c r="U45" s="26" t="str">
        <f>[1]!thsiFinD("ths_fund_establishment_date_fund",D45)</f>
        <v>2025-11-25</v>
      </c>
    </row>
    <row r="46" spans="1:23">
      <c r="A46" s="81" t="s">
        <v>129</v>
      </c>
      <c r="B46" s="81" t="s">
        <v>134</v>
      </c>
      <c r="C46" s="81" t="s">
        <v>130</v>
      </c>
      <c r="D46" s="82" t="s">
        <v>135</v>
      </c>
      <c r="E46" s="83" t="s">
        <v>136</v>
      </c>
      <c r="F46" s="83"/>
      <c r="G46" s="81" t="s">
        <v>133</v>
      </c>
      <c r="H46" s="84">
        <f>[1]!thsiFinD("ths_adjustment_nvg_ratio_fund",$D46,H$1,H$2,101)</f>
        <v>-2.7471928485773001</v>
      </c>
      <c r="I46" s="84">
        <f>[1]!thsiFinD("ths_adjustment_nvg_ratio_fund",$D46,I$1,I$2,101)</f>
        <v>5.6177114781270001</v>
      </c>
      <c r="J46" s="84">
        <f>[1]!thsiFinD("ths_adjustment_nvg_ratio_fund",$D46,J$1,J$2,101)</f>
        <v>8.2448583388946002</v>
      </c>
      <c r="K46" s="84">
        <f>[1]!thsiFinD("ths_adjustment_nvg_ratio_fund",$D46,K$1,K$2,101)</f>
        <v>68.974334690785</v>
      </c>
      <c r="L46" s="84">
        <f>[1]!thsiFinD("ths_adjustment_nvg_ratio_fund",$D46,L$1,L$2,101)</f>
        <v>77.461706783370005</v>
      </c>
      <c r="M46" s="84">
        <f>[1]!thsiFinD("ths_adjustment_nvg_ratio_fund",$D46,M$1,M$2,101)</f>
        <v>0</v>
      </c>
      <c r="N46" s="84">
        <f>[1]!thsiFinD("ths_adjustment_nvg_ratio_fund",$D46,N$1,N$2,101)</f>
        <v>48.897922312555998</v>
      </c>
      <c r="O46" s="84">
        <f>[1]!thsiFinD("ths_adjustment_nvg_ratio_fund",$D46,O$1,O$2,101)</f>
        <v>0</v>
      </c>
      <c r="P46" s="84">
        <f>[1]!thsiFinD("ths_adjustment_nvg_ratio_fund",$D46,P$1,P$2,101)</f>
        <v>0</v>
      </c>
      <c r="Q46" s="84">
        <f>[1]!thsiFinD("ths_adjustment_nvg_ratio_fund",$D46,Q$1,Q$2,101)</f>
        <v>0</v>
      </c>
      <c r="R46" s="84">
        <f>[1]!thsiFinD("ths_adjustment_nvg_ratio_fund",$D46,R$1,R$2,101)</f>
        <v>0</v>
      </c>
      <c r="S46" s="84">
        <f>[1]!thsiFinD("ths_adjustment_nvg_ratio_fund",$D46,S$1,S$2,101)</f>
        <v>0</v>
      </c>
      <c r="T46" s="84">
        <f>[1]!thsiFinD("ths_adjustment_nvg_ratio_fund",$D46,T$1,T$2,101)</f>
        <v>0</v>
      </c>
      <c r="U46" s="26" t="str">
        <f>[1]!thsiFinD("ths_fund_establishment_date_fund",D46)</f>
        <v>2024-04-23</v>
      </c>
    </row>
    <row r="47" spans="1:23">
      <c r="A47" s="81" t="s">
        <v>129</v>
      </c>
      <c r="B47" s="81" t="s">
        <v>134</v>
      </c>
      <c r="C47" s="81" t="s">
        <v>130</v>
      </c>
      <c r="D47" s="82" t="s">
        <v>137</v>
      </c>
      <c r="E47" s="83" t="s">
        <v>138</v>
      </c>
      <c r="F47" s="83"/>
      <c r="G47" s="81" t="s">
        <v>133</v>
      </c>
      <c r="H47" s="84">
        <f>[1]!thsiFinD("ths_adjustment_nvg_ratio_fund",$D47,H$1,H$2,101)</f>
        <v>1.5358361760057999</v>
      </c>
      <c r="I47" s="84">
        <f>[1]!thsiFinD("ths_adjustment_nvg_ratio_fund",$D47,I$1,I$2,101)</f>
        <v>24.825174824361</v>
      </c>
      <c r="J47" s="84">
        <f>[1]!thsiFinD("ths_adjustment_nvg_ratio_fund",$D47,J$1,J$2,101)</f>
        <v>34.615384617578997</v>
      </c>
      <c r="K47" s="84">
        <f>[1]!thsiFinD("ths_adjustment_nvg_ratio_fund",$D47,K$1,K$2,101)</f>
        <v>107.79976717231</v>
      </c>
      <c r="L47" s="84">
        <f>[1]!thsiFinD("ths_adjustment_nvg_ratio_fund",$D47,L$1,L$2,101)</f>
        <v>112.5000000045</v>
      </c>
      <c r="M47" s="84">
        <f>[1]!thsiFinD("ths_adjustment_nvg_ratio_fund",$D47,M$1,M$2,101)</f>
        <v>71.965317919496002</v>
      </c>
      <c r="N47" s="84">
        <f>[1]!thsiFinD("ths_adjustment_nvg_ratio_fund",$D47,N$1,N$2,101)</f>
        <v>53.117782902526997</v>
      </c>
      <c r="O47" s="84">
        <f>[1]!thsiFinD("ths_adjustment_nvg_ratio_fund",$D47,O$1,O$2,101)</f>
        <v>2.3640661959039</v>
      </c>
      <c r="P47" s="84">
        <f>[1]!thsiFinD("ths_adjustment_nvg_ratio_fund",$D47,P$1,P$2,101)</f>
        <v>-27.568493149708999</v>
      </c>
      <c r="Q47" s="84">
        <f>[1]!thsiFinD("ths_adjustment_nvg_ratio_fund",$D47,Q$1,Q$2,101)</f>
        <v>-6.7979124927044996</v>
      </c>
      <c r="R47" s="84">
        <f>[1]!thsiFinD("ths_adjustment_nvg_ratio_fund",$D47,R$1,R$2,101)</f>
        <v>4.8472775550918996</v>
      </c>
      <c r="S47" s="84">
        <f>[1]!thsiFinD("ths_adjustment_nvg_ratio_fund",$D47,S$1,S$2,101)</f>
        <v>32.337434096052</v>
      </c>
      <c r="T47" s="84">
        <f>[1]!thsiFinD("ths_adjustment_nvg_ratio_fund",$D47,T$1,T$2,101)</f>
        <v>7.0792708071749004</v>
      </c>
      <c r="U47" s="26" t="str">
        <f>[1]!thsiFinD("ths_fund_establishment_date_fund",D47)</f>
        <v>2016-12-21</v>
      </c>
    </row>
    <row r="48" spans="1:23">
      <c r="A48" s="81" t="s">
        <v>129</v>
      </c>
      <c r="B48" s="81" t="s">
        <v>134</v>
      </c>
      <c r="C48" s="81" t="s">
        <v>130</v>
      </c>
      <c r="D48" s="82" t="s">
        <v>139</v>
      </c>
      <c r="E48" s="83" t="s">
        <v>140</v>
      </c>
      <c r="F48" s="83"/>
      <c r="G48" s="81" t="s">
        <v>133</v>
      </c>
      <c r="H48" s="84">
        <f>[1]!thsiFinD("ths_adjustment_nvg_ratio_fund",$D48,H$1,H$2,101)</f>
        <v>2.7219528506939001</v>
      </c>
      <c r="I48" s="84">
        <f>[1]!thsiFinD("ths_adjustment_nvg_ratio_fund",$D48,I$1,I$2,101)</f>
        <v>22.714017496903999</v>
      </c>
      <c r="J48" s="84">
        <f>[1]!thsiFinD("ths_adjustment_nvg_ratio_fund",$D48,J$1,J$2,101)</f>
        <v>48.214802663321002</v>
      </c>
      <c r="K48" s="84">
        <f>[1]!thsiFinD("ths_adjustment_nvg_ratio_fund",$D48,K$1,K$2,101)</f>
        <v>147.61405771400999</v>
      </c>
      <c r="L48" s="84">
        <f>[1]!thsiFinD("ths_adjustment_nvg_ratio_fund",$D48,L$1,L$2,101)</f>
        <v>159.53869550524001</v>
      </c>
      <c r="M48" s="84">
        <f>[1]!thsiFinD("ths_adjustment_nvg_ratio_fund",$D48,M$1,M$2,101)</f>
        <v>148.15413199774</v>
      </c>
      <c r="N48" s="84">
        <f>[1]!thsiFinD("ths_adjustment_nvg_ratio_fund",$D48,N$1,N$2,101)</f>
        <v>73.671861907156</v>
      </c>
      <c r="O48" s="84">
        <f>[1]!thsiFinD("ths_adjustment_nvg_ratio_fund",$D48,O$1,O$2,101)</f>
        <v>0.85354517028649002</v>
      </c>
      <c r="P48" s="84">
        <f>[1]!thsiFinD("ths_adjustment_nvg_ratio_fund",$D48,P$1,P$2,101)</f>
        <v>-2.3679867986799001</v>
      </c>
      <c r="Q48" s="84">
        <f>[1]!thsiFinD("ths_adjustment_nvg_ratio_fund",$D48,Q$1,Q$2,101)</f>
        <v>-5.3790303692716002</v>
      </c>
      <c r="R48" s="84">
        <f>[1]!thsiFinD("ths_adjustment_nvg_ratio_fund",$D48,R$1,R$2,101)</f>
        <v>3.3317199096482999</v>
      </c>
      <c r="S48" s="84">
        <f>[1]!thsiFinD("ths_adjustment_nvg_ratio_fund",$D48,S$1,S$2,101)</f>
        <v>14.269911504425</v>
      </c>
      <c r="T48" s="84">
        <f>[1]!thsiFinD("ths_adjustment_nvg_ratio_fund",$D48,T$1,T$2,101)</f>
        <v>6.5618860510805002</v>
      </c>
      <c r="U48" s="26" t="str">
        <f>[1]!thsiFinD("ths_fund_establishment_date_fund",D48)</f>
        <v>2015-12-11</v>
      </c>
    </row>
    <row r="49" spans="1:21">
      <c r="A49" s="81" t="s">
        <v>141</v>
      </c>
      <c r="B49" s="81" t="s">
        <v>31</v>
      </c>
      <c r="C49" s="81" t="s">
        <v>130</v>
      </c>
      <c r="D49" s="82" t="s">
        <v>142</v>
      </c>
      <c r="E49" s="83" t="s">
        <v>143</v>
      </c>
      <c r="F49" s="83"/>
      <c r="G49" s="81" t="s">
        <v>141</v>
      </c>
      <c r="H49" s="84">
        <f>[1]!thsiFinD("ths_adjustment_nvg_ratio_fund",$D49,H$1,H$2,101)</f>
        <v>-6.6675664732083</v>
      </c>
      <c r="I49" s="84">
        <f>[1]!thsiFinD("ths_adjustment_nvg_ratio_fund",$D49,I$1,I$2,101)</f>
        <v>-13.810295400723</v>
      </c>
      <c r="J49" s="84">
        <f>[1]!thsiFinD("ths_adjustment_nvg_ratio_fund",$D49,J$1,J$2,101)</f>
        <v>-12.810490480393</v>
      </c>
      <c r="K49" s="84">
        <f>[1]!thsiFinD("ths_adjustment_nvg_ratio_fund",$D49,K$1,K$2,101)</f>
        <v>0</v>
      </c>
      <c r="L49" s="84">
        <f>[1]!thsiFinD("ths_adjustment_nvg_ratio_fund",$D49,L$1,L$2,101)</f>
        <v>0</v>
      </c>
      <c r="M49" s="84">
        <f>[1]!thsiFinD("ths_adjustment_nvg_ratio_fund",$D49,M$1,M$2,101)</f>
        <v>0</v>
      </c>
      <c r="N49" s="84">
        <f>[1]!thsiFinD("ths_adjustment_nvg_ratio_fund",$D49,N$1,N$2,101)</f>
        <v>0</v>
      </c>
      <c r="O49" s="84">
        <f>[1]!thsiFinD("ths_adjustment_nvg_ratio_fund",$D49,O$1,O$2,101)</f>
        <v>0</v>
      </c>
      <c r="P49" s="84">
        <f>[1]!thsiFinD("ths_adjustment_nvg_ratio_fund",$D49,P$1,P$2,101)</f>
        <v>0</v>
      </c>
      <c r="Q49" s="84">
        <f>[1]!thsiFinD("ths_adjustment_nvg_ratio_fund",$D49,Q$1,Q$2,101)</f>
        <v>0</v>
      </c>
      <c r="R49" s="84">
        <f>[1]!thsiFinD("ths_adjustment_nvg_ratio_fund",$D49,R$1,R$2,101)</f>
        <v>0</v>
      </c>
      <c r="S49" s="84">
        <f>[1]!thsiFinD("ths_adjustment_nvg_ratio_fund",$D49,S$1,S$2,101)</f>
        <v>0</v>
      </c>
      <c r="T49" s="84">
        <f>[1]!thsiFinD("ths_adjustment_nvg_ratio_fund",$D49,T$1,T$2,101)</f>
        <v>0</v>
      </c>
      <c r="U49" s="26" t="str">
        <f>[1]!thsiFinD("ths_fund_establishment_date_fund",D49)</f>
        <v>2025-09-02</v>
      </c>
    </row>
    <row r="50" spans="1:21">
      <c r="A50" s="81" t="s">
        <v>141</v>
      </c>
      <c r="B50" s="81" t="s">
        <v>34</v>
      </c>
      <c r="C50" s="81" t="s">
        <v>130</v>
      </c>
      <c r="D50" s="82" t="s">
        <v>144</v>
      </c>
      <c r="E50" s="83" t="s">
        <v>145</v>
      </c>
      <c r="F50" s="83"/>
      <c r="G50" s="81" t="s">
        <v>141</v>
      </c>
      <c r="H50" s="84">
        <f>[1]!thsiFinD("ths_adjustment_nvg_ratio_fund",$D50,H$1,H$2,101)</f>
        <v>-6.6199872692552004</v>
      </c>
      <c r="I50" s="84">
        <f>[1]!thsiFinD("ths_adjustment_nvg_ratio_fund",$D50,I$1,I$2,101)</f>
        <v>-12.83422459893</v>
      </c>
      <c r="J50" s="84">
        <f>[1]!thsiFinD("ths_adjustment_nvg_ratio_fund",$D50,J$1,J$2,101)</f>
        <v>-11.944777911164</v>
      </c>
      <c r="K50" s="84">
        <f>[1]!thsiFinD("ths_adjustment_nvg_ratio_fund",$D50,K$1,K$2,101)</f>
        <v>-13.857897827363001</v>
      </c>
      <c r="L50" s="84">
        <f>[1]!thsiFinD("ths_adjustment_nvg_ratio_fund",$D50,L$1,L$2,101)</f>
        <v>15.420928402832001</v>
      </c>
      <c r="M50" s="84">
        <f>[1]!thsiFinD("ths_adjustment_nvg_ratio_fund",$D50,M$1,M$2,101)</f>
        <v>11.305007587253</v>
      </c>
      <c r="N50" s="84">
        <f>[1]!thsiFinD("ths_adjustment_nvg_ratio_fund",$D50,N$1,N$2,101)</f>
        <v>40.828402366863997</v>
      </c>
      <c r="O50" s="84">
        <f>[1]!thsiFinD("ths_adjustment_nvg_ratio_fund",$D50,O$1,O$2,101)</f>
        <v>-8.6486486486485994</v>
      </c>
      <c r="P50" s="84">
        <f>[1]!thsiFinD("ths_adjustment_nvg_ratio_fund",$D50,P$1,P$2,101)</f>
        <v>-8.7385482734320004</v>
      </c>
      <c r="Q50" s="84">
        <f>[1]!thsiFinD("ths_adjustment_nvg_ratio_fund",$D50,Q$1,Q$2,101)</f>
        <v>0</v>
      </c>
      <c r="R50" s="84">
        <f>[1]!thsiFinD("ths_adjustment_nvg_ratio_fund",$D50,R$1,R$2,101)</f>
        <v>0</v>
      </c>
      <c r="S50" s="84">
        <f>[1]!thsiFinD("ths_adjustment_nvg_ratio_fund",$D50,S$1,S$2,101)</f>
        <v>0</v>
      </c>
      <c r="T50" s="84">
        <f>[1]!thsiFinD("ths_adjustment_nvg_ratio_fund",$D50,T$1,T$2,101)</f>
        <v>0</v>
      </c>
      <c r="U50" s="26" t="str">
        <f>[1]!thsiFinD("ths_fund_establishment_date_fund",D50)</f>
        <v>2022-02-14</v>
      </c>
    </row>
    <row r="51" spans="1:21">
      <c r="A51" s="81" t="s">
        <v>146</v>
      </c>
      <c r="B51" s="81" t="s">
        <v>31</v>
      </c>
      <c r="C51" s="81" t="s">
        <v>130</v>
      </c>
      <c r="D51" s="82" t="s">
        <v>147</v>
      </c>
      <c r="E51" s="83" t="s">
        <v>148</v>
      </c>
      <c r="F51" s="83"/>
      <c r="G51" s="81" t="s">
        <v>146</v>
      </c>
      <c r="H51" s="84">
        <f>[1]!thsiFinD("ths_adjustment_nvg_ratio_fund",$D51,H$1,H$2,101)</f>
        <v>0.94089704941993002</v>
      </c>
      <c r="I51" s="84">
        <f>[1]!thsiFinD("ths_adjustment_nvg_ratio_fund",$D51,I$1,I$2,101)</f>
        <v>22.248036287200001</v>
      </c>
      <c r="J51" s="84">
        <f>[1]!thsiFinD("ths_adjustment_nvg_ratio_fund",$D51,J$1,J$2,101)</f>
        <v>10.533159947984</v>
      </c>
      <c r="K51" s="84">
        <f>[1]!thsiFinD("ths_adjustment_nvg_ratio_fund",$D51,K$1,K$2,101)</f>
        <v>0</v>
      </c>
      <c r="L51" s="84">
        <f>[1]!thsiFinD("ths_adjustment_nvg_ratio_fund",$D51,L$1,L$2,101)</f>
        <v>0</v>
      </c>
      <c r="M51" s="84">
        <f>[1]!thsiFinD("ths_adjustment_nvg_ratio_fund",$D51,M$1,M$2,101)</f>
        <v>0</v>
      </c>
      <c r="N51" s="84">
        <f>[1]!thsiFinD("ths_adjustment_nvg_ratio_fund",$D51,N$1,N$2,101)</f>
        <v>0</v>
      </c>
      <c r="O51" s="84">
        <f>[1]!thsiFinD("ths_adjustment_nvg_ratio_fund",$D51,O$1,O$2,101)</f>
        <v>0</v>
      </c>
      <c r="P51" s="84">
        <f>[1]!thsiFinD("ths_adjustment_nvg_ratio_fund",$D51,P$1,P$2,101)</f>
        <v>0</v>
      </c>
      <c r="Q51" s="84">
        <f>[1]!thsiFinD("ths_adjustment_nvg_ratio_fund",$D51,Q$1,Q$2,101)</f>
        <v>0</v>
      </c>
      <c r="R51" s="84">
        <f>[1]!thsiFinD("ths_adjustment_nvg_ratio_fund",$D51,R$1,R$2,101)</f>
        <v>0</v>
      </c>
      <c r="S51" s="84">
        <f>[1]!thsiFinD("ths_adjustment_nvg_ratio_fund",$D51,S$1,S$2,101)</f>
        <v>0</v>
      </c>
      <c r="T51" s="84">
        <f>[1]!thsiFinD("ths_adjustment_nvg_ratio_fund",$D51,T$1,T$2,101)</f>
        <v>0</v>
      </c>
      <c r="U51" s="26" t="str">
        <f>[1]!thsiFinD("ths_fund_establishment_date_fund",D51)</f>
        <v>2025-08-19</v>
      </c>
    </row>
    <row r="52" spans="1:21">
      <c r="A52" s="81" t="s">
        <v>146</v>
      </c>
      <c r="B52" s="81" t="s">
        <v>34</v>
      </c>
      <c r="C52" s="81" t="s">
        <v>130</v>
      </c>
      <c r="D52" s="82" t="s">
        <v>149</v>
      </c>
      <c r="E52" s="83" t="s">
        <v>150</v>
      </c>
      <c r="F52" s="83"/>
      <c r="G52" s="81" t="s">
        <v>146</v>
      </c>
      <c r="H52" s="84">
        <f>[1]!thsiFinD("ths_adjustment_nvg_ratio_fund",$D52,H$1,H$2,101)</f>
        <v>-0.69974894503498997</v>
      </c>
      <c r="I52" s="84">
        <f>[1]!thsiFinD("ths_adjustment_nvg_ratio_fund",$D52,I$1,I$2,101)</f>
        <v>14.456347740426001</v>
      </c>
      <c r="J52" s="84">
        <f>[1]!thsiFinD("ths_adjustment_nvg_ratio_fund",$D52,J$1,J$2,101)</f>
        <v>-1.4002333722286999</v>
      </c>
      <c r="K52" s="84">
        <f>[1]!thsiFinD("ths_adjustment_nvg_ratio_fund",$D52,K$1,K$2,101)</f>
        <v>20.863402899680999</v>
      </c>
      <c r="L52" s="84">
        <f>[1]!thsiFinD("ths_adjustment_nvg_ratio_fund",$D52,L$1,L$2,101)</f>
        <v>106.71633492717</v>
      </c>
      <c r="M52" s="84">
        <f>[1]!thsiFinD("ths_adjustment_nvg_ratio_fund",$D52,M$1,M$2,101)</f>
        <v>0</v>
      </c>
      <c r="N52" s="84">
        <f>[1]!thsiFinD("ths_adjustment_nvg_ratio_fund",$D52,N$1,N$2,101)</f>
        <v>79.544805256641993</v>
      </c>
      <c r="O52" s="84">
        <f>[1]!thsiFinD("ths_adjustment_nvg_ratio_fund",$D52,O$1,O$2,101)</f>
        <v>3.0722418531605999</v>
      </c>
      <c r="P52" s="84">
        <f>[1]!thsiFinD("ths_adjustment_nvg_ratio_fund",$D52,P$1,P$2,101)</f>
        <v>0</v>
      </c>
      <c r="Q52" s="84">
        <f>[1]!thsiFinD("ths_adjustment_nvg_ratio_fund",$D52,Q$1,Q$2,101)</f>
        <v>0</v>
      </c>
      <c r="R52" s="84">
        <f>[1]!thsiFinD("ths_adjustment_nvg_ratio_fund",$D52,R$1,R$2,101)</f>
        <v>0</v>
      </c>
      <c r="S52" s="84">
        <f>[1]!thsiFinD("ths_adjustment_nvg_ratio_fund",$D52,S$1,S$2,101)</f>
        <v>0</v>
      </c>
      <c r="T52" s="84">
        <f>[1]!thsiFinD("ths_adjustment_nvg_ratio_fund",$D52,T$1,T$2,101)</f>
        <v>0</v>
      </c>
      <c r="U52" s="26" t="str">
        <f>[1]!thsiFinD("ths_fund_establishment_date_fund",D52)</f>
        <v>2023-10-24</v>
      </c>
    </row>
    <row r="53" spans="1:21">
      <c r="A53" s="81" t="s">
        <v>151</v>
      </c>
      <c r="B53" s="81" t="s">
        <v>31</v>
      </c>
      <c r="C53" s="81" t="s">
        <v>130</v>
      </c>
      <c r="D53" s="82" t="s">
        <v>152</v>
      </c>
      <c r="E53" s="83" t="s">
        <v>153</v>
      </c>
      <c r="F53" s="83"/>
      <c r="G53" s="81" t="s">
        <v>151</v>
      </c>
      <c r="H53" s="84">
        <f>[1]!thsiFinD("ths_adjustment_nvg_ratio_fund",$D53,H$1,H$2,101)</f>
        <v>0.21690013556258</v>
      </c>
      <c r="I53" s="84">
        <f>[1]!thsiFinD("ths_adjustment_nvg_ratio_fund",$D53,I$1,I$2,101)</f>
        <v>-3.8748266296809999</v>
      </c>
      <c r="J53" s="84">
        <f>[1]!thsiFinD("ths_adjustment_nvg_ratio_fund",$D53,J$1,J$2,101)</f>
        <v>-14.058746028054999</v>
      </c>
      <c r="K53" s="84">
        <f>[1]!thsiFinD("ths_adjustment_nvg_ratio_fund",$D53,K$1,K$2,101)</f>
        <v>0</v>
      </c>
      <c r="L53" s="84">
        <f>[1]!thsiFinD("ths_adjustment_nvg_ratio_fund",$D53,L$1,L$2,101)</f>
        <v>0</v>
      </c>
      <c r="M53" s="84">
        <f>[1]!thsiFinD("ths_adjustment_nvg_ratio_fund",$D53,M$1,M$2,101)</f>
        <v>0</v>
      </c>
      <c r="N53" s="84">
        <f>[1]!thsiFinD("ths_adjustment_nvg_ratio_fund",$D53,N$1,N$2,101)</f>
        <v>0</v>
      </c>
      <c r="O53" s="84">
        <f>[1]!thsiFinD("ths_adjustment_nvg_ratio_fund",$D53,O$1,O$2,101)</f>
        <v>0</v>
      </c>
      <c r="P53" s="84">
        <f>[1]!thsiFinD("ths_adjustment_nvg_ratio_fund",$D53,P$1,P$2,101)</f>
        <v>0</v>
      </c>
      <c r="Q53" s="84">
        <f>[1]!thsiFinD("ths_adjustment_nvg_ratio_fund",$D53,Q$1,Q$2,101)</f>
        <v>0</v>
      </c>
      <c r="R53" s="84">
        <f>[1]!thsiFinD("ths_adjustment_nvg_ratio_fund",$D53,R$1,R$2,101)</f>
        <v>0</v>
      </c>
      <c r="S53" s="84">
        <f>[1]!thsiFinD("ths_adjustment_nvg_ratio_fund",$D53,S$1,S$2,101)</f>
        <v>0</v>
      </c>
      <c r="T53" s="84">
        <f>[1]!thsiFinD("ths_adjustment_nvg_ratio_fund",$D53,T$1,T$2,101)</f>
        <v>0</v>
      </c>
      <c r="U53" s="26" t="str">
        <f>[1]!thsiFinD("ths_fund_establishment_date_fund",D53)</f>
        <v>2025-09-23</v>
      </c>
    </row>
    <row r="54" spans="1:21">
      <c r="A54" s="81" t="s">
        <v>151</v>
      </c>
      <c r="B54" s="81" t="s">
        <v>34</v>
      </c>
      <c r="C54" s="81" t="s">
        <v>130</v>
      </c>
      <c r="D54" s="82" t="s">
        <v>154</v>
      </c>
      <c r="E54" s="83" t="s">
        <v>155</v>
      </c>
      <c r="F54" s="83"/>
      <c r="G54" s="81" t="s">
        <v>151</v>
      </c>
      <c r="H54" s="84">
        <f>[1]!thsiFinD("ths_adjustment_nvg_ratio_fund",$D54,H$1,H$2,101)</f>
        <v>1.7140058765916</v>
      </c>
      <c r="I54" s="84">
        <f>[1]!thsiFinD("ths_adjustment_nvg_ratio_fund",$D54,I$1,I$2,101)</f>
        <v>13.870614035088</v>
      </c>
      <c r="J54" s="84">
        <f>[1]!thsiFinD("ths_adjustment_nvg_ratio_fund",$D54,J$1,J$2,101)</f>
        <v>23.483947681332001</v>
      </c>
      <c r="K54" s="84">
        <f>[1]!thsiFinD("ths_adjustment_nvg_ratio_fund",$D54,K$1,K$2,101)</f>
        <v>55</v>
      </c>
      <c r="L54" s="84">
        <f>[1]!thsiFinD("ths_adjustment_nvg_ratio_fund",$D54,L$1,L$2,101)</f>
        <v>67.635189669088007</v>
      </c>
      <c r="M54" s="84">
        <f>[1]!thsiFinD("ths_adjustment_nvg_ratio_fund",$D54,M$1,M$2,101)</f>
        <v>34.173126614986998</v>
      </c>
      <c r="N54" s="84">
        <f>[1]!thsiFinD("ths_adjustment_nvg_ratio_fund",$D54,N$1,N$2,101)</f>
        <v>26.276276276276</v>
      </c>
      <c r="O54" s="84">
        <f>[1]!thsiFinD("ths_adjustment_nvg_ratio_fund",$D54,O$1,O$2,101)</f>
        <v>-3.826714801444</v>
      </c>
      <c r="P54" s="84">
        <f>[1]!thsiFinD("ths_adjustment_nvg_ratio_fund",$D54,P$1,P$2,101)</f>
        <v>-20.947488584475</v>
      </c>
      <c r="Q54" s="84">
        <f>[1]!thsiFinD("ths_adjustment_nvg_ratio_fund",$D54,Q$1,Q$2,101)</f>
        <v>-19.485294117647001</v>
      </c>
      <c r="R54" s="84">
        <f>[1]!thsiFinD("ths_adjustment_nvg_ratio_fund",$D54,R$1,R$2,101)</f>
        <v>37.634408602150998</v>
      </c>
      <c r="S54" s="84">
        <f>[1]!thsiFinD("ths_adjustment_nvg_ratio_fund",$D54,S$1,S$2,101)</f>
        <v>95.668316831683001</v>
      </c>
      <c r="T54" s="84">
        <f>[1]!thsiFinD("ths_adjustment_nvg_ratio_fund",$D54,T$1,T$2,101)</f>
        <v>28.45786963434</v>
      </c>
      <c r="U54" s="26" t="str">
        <f>[1]!thsiFinD("ths_fund_establishment_date_fund",D54)</f>
        <v>2015-06-19</v>
      </c>
    </row>
    <row r="55" spans="1:21">
      <c r="A55" s="85"/>
      <c r="B55" s="86"/>
      <c r="C55" s="85"/>
      <c r="D55" s="87" t="s">
        <v>26</v>
      </c>
      <c r="E55" s="88" t="s">
        <v>27</v>
      </c>
      <c r="F55" s="88"/>
      <c r="G55" s="85"/>
      <c r="H55" s="89">
        <f>[1]!thsiFinD("ths_int_chg_ratio_index",$D55,H$1,H$2,101)</f>
        <v>-0.75739866206321005</v>
      </c>
      <c r="I55" s="89">
        <f>[1]!thsiFinD("ths_int_chg_ratio_index",$D55,I$1,I$2,101)</f>
        <v>38.344478654401001</v>
      </c>
      <c r="J55" s="89">
        <f>[1]!thsiFinD("ths_int_chg_ratio_index",$D55,J$1,J$2,101)</f>
        <v>29.300598229340999</v>
      </c>
      <c r="K55" s="89">
        <f>[1]!thsiFinD("ths_int_chg_ratio_index",$D55,K$1,K$2,101)</f>
        <v>76.253951635850996</v>
      </c>
      <c r="L55" s="89">
        <f>[1]!thsiFinD("ths_int_chg_ratio_index",$D55,L$1,L$2,101)</f>
        <v>130.62260553048</v>
      </c>
      <c r="M55" s="89">
        <f>[1]!thsiFinD("ths_int_chg_ratio_index",$D55,M$1,M$2,101)</f>
        <v>65.012286257941994</v>
      </c>
      <c r="N55" s="89">
        <f>[1]!thsiFinD("ths_int_chg_ratio_index",$D55,N$1,N$2,101)</f>
        <v>35.924074251218997</v>
      </c>
      <c r="O55" s="89">
        <f>[1]!thsiFinD("ths_int_chg_ratio_index",$D55,O$1,O$2,101)</f>
        <v>16.071495849729001</v>
      </c>
      <c r="P55" s="89">
        <f>[1]!thsiFinD("ths_int_chg_ratio_index",$D55,P$1,P$2,101)</f>
        <v>-11.240689960231</v>
      </c>
      <c r="Q55" s="89">
        <f>[1]!thsiFinD("ths_int_chg_ratio_index",$D55,Q$1,Q$2,101)</f>
        <v>-31.346828026238001</v>
      </c>
      <c r="R55" s="89">
        <f>[1]!thsiFinD("ths_int_chg_ratio_index",$D55,R$1,R$2,101)</f>
        <v>0.37091163761912999</v>
      </c>
      <c r="S55" s="89">
        <f>[1]!thsiFinD("ths_int_chg_ratio_index",$D55,S$1,S$2,101)</f>
        <v>39.302720000000001</v>
      </c>
      <c r="T55" s="89">
        <f>[1]!thsiFinD("ths_int_chg_ratio_index",$D55,T$1,T$2,101)</f>
        <v>0</v>
      </c>
      <c r="U55" s="26"/>
    </row>
    <row r="56" spans="1:21">
      <c r="A56" s="85"/>
      <c r="B56" s="86"/>
      <c r="C56" s="85"/>
      <c r="D56" s="87" t="s">
        <v>28</v>
      </c>
      <c r="E56" s="88" t="s">
        <v>29</v>
      </c>
      <c r="F56" s="88"/>
      <c r="G56" s="85"/>
      <c r="H56" s="89">
        <f>[1]!thsiFinD("ths_int_chg_ratio_index",$D56,H$1,H$2,101)</f>
        <v>1.5096544202291999</v>
      </c>
      <c r="I56" s="89">
        <f>[1]!thsiFinD("ths_int_chg_ratio_index",$D56,I$1,I$2,101)</f>
        <v>32.523723865063999</v>
      </c>
      <c r="J56" s="89">
        <f>[1]!thsiFinD("ths_int_chg_ratio_index",$D56,J$1,J$2,101)</f>
        <v>30.957524362230998</v>
      </c>
      <c r="K56" s="89">
        <f>[1]!thsiFinD("ths_int_chg_ratio_index",$D56,K$1,K$2,101)</f>
        <v>122.85784545487</v>
      </c>
      <c r="L56" s="89">
        <f>[1]!thsiFinD("ths_int_chg_ratio_index",$D56,L$1,L$2,101)</f>
        <v>151.06087737180999</v>
      </c>
      <c r="M56" s="89">
        <f>[1]!thsiFinD("ths_int_chg_ratio_index",$D56,M$1,M$2,101)</f>
        <v>107.48449651058</v>
      </c>
      <c r="N56" s="89">
        <f>[1]!thsiFinD("ths_int_chg_ratio_index",$D56,N$1,N$2,101)</f>
        <v>57.452684138696</v>
      </c>
      <c r="O56" s="89">
        <f>[1]!thsiFinD("ths_int_chg_ratio_index",$D56,O$1,O$2,101)</f>
        <v>21.068440165636002</v>
      </c>
      <c r="P56" s="89">
        <f>[1]!thsiFinD("ths_int_chg_ratio_index",$D56,P$1,P$2,101)</f>
        <v>-23.995075459380001</v>
      </c>
      <c r="Q56" s="89">
        <f>[1]!thsiFinD("ths_int_chg_ratio_index",$D56,Q$1,Q$2,101)</f>
        <v>-29.832627757638999</v>
      </c>
      <c r="R56" s="89">
        <f>[1]!thsiFinD("ths_int_chg_ratio_index",$D56,R$1,R$2,101)</f>
        <v>16.880603126977</v>
      </c>
      <c r="S56" s="89">
        <f>[1]!thsiFinD("ths_int_chg_ratio_index",$D56,S$1,S$2,101)</f>
        <v>88.736296992678007</v>
      </c>
      <c r="T56" s="89">
        <f>[1]!thsiFinD("ths_int_chg_ratio_index",$D56,T$1,T$2,101)</f>
        <v>50.925713126471003</v>
      </c>
      <c r="U56" s="26"/>
    </row>
    <row r="57" spans="1:21">
      <c r="A57" s="85"/>
      <c r="B57" s="86"/>
      <c r="C57" s="85"/>
      <c r="D57" s="86" t="s">
        <v>57</v>
      </c>
      <c r="E57" s="90" t="s">
        <v>58</v>
      </c>
      <c r="F57" s="90"/>
      <c r="G57" s="85"/>
      <c r="H57" s="89">
        <f>[1]!thsiFinD("ths_int_chg_ratio_index",$D57,H$1,H$2,101)</f>
        <v>7.4140966853231998</v>
      </c>
      <c r="I57" s="89">
        <f>[1]!thsiFinD("ths_int_chg_ratio_index",$D57,I$1,I$2,101)</f>
        <v>60.354300558226001</v>
      </c>
      <c r="J57" s="89">
        <f>[1]!thsiFinD("ths_int_chg_ratio_index",$D57,J$1,J$2,101)</f>
        <v>66.710083126336002</v>
      </c>
      <c r="K57" s="89">
        <f>[1]!thsiFinD("ths_int_chg_ratio_index",$D57,K$1,K$2,101)</f>
        <v>309.12448829829998</v>
      </c>
      <c r="L57" s="89">
        <f>[1]!thsiFinD("ths_int_chg_ratio_index",$D57,L$1,L$2,101)</f>
        <v>344.93838794063998</v>
      </c>
      <c r="M57" s="89">
        <f>[1]!thsiFinD("ths_int_chg_ratio_index",$D57,M$1,M$2,101)</f>
        <v>344.01633459746</v>
      </c>
      <c r="N57" s="89">
        <f>[1]!thsiFinD("ths_int_chg_ratio_index",$D57,N$1,N$2,101)</f>
        <v>125.72804811912999</v>
      </c>
      <c r="O57" s="89">
        <f>[1]!thsiFinD("ths_int_chg_ratio_index",$D57,O$1,O$2,101)</f>
        <v>30.178309783288999</v>
      </c>
      <c r="P57" s="89">
        <f>[1]!thsiFinD("ths_int_chg_ratio_index",$D57,P$1,P$2,101)</f>
        <v>24.267796272058</v>
      </c>
      <c r="Q57" s="89">
        <f>[1]!thsiFinD("ths_int_chg_ratio_index",$D57,Q$1,Q$2,101)</f>
        <v>-27.807412326226999</v>
      </c>
      <c r="R57" s="89">
        <f>[1]!thsiFinD("ths_int_chg_ratio_index",$D57,R$1,R$2,101)</f>
        <v>5.6156779176232003</v>
      </c>
      <c r="S57" s="89">
        <f>[1]!thsiFinD("ths_int_chg_ratio_index",$D57,S$1,S$2,101)</f>
        <v>-6.2518543675181002</v>
      </c>
      <c r="T57" s="89">
        <f>[1]!thsiFinD("ths_int_chg_ratio_index",$D57,T$1,T$2,101)</f>
        <v>37.627240365896</v>
      </c>
      <c r="U57" s="26"/>
    </row>
    <row r="58" spans="1:21">
      <c r="A58" s="85"/>
      <c r="B58" s="86"/>
      <c r="C58" s="85"/>
      <c r="D58" s="86" t="s">
        <v>156</v>
      </c>
      <c r="E58" s="91" t="s">
        <v>157</v>
      </c>
      <c r="F58" s="91"/>
      <c r="G58" s="85"/>
      <c r="H58" s="89">
        <f>[1]!thsiFinD("ths_int_chg_ratio_index",$D58,H$1,H$2,101)</f>
        <v>4.0792508495686999</v>
      </c>
      <c r="I58" s="89">
        <f>[1]!thsiFinD("ths_int_chg_ratio_index",$D58,I$1,I$2,101)</f>
        <v>41.767476383687999</v>
      </c>
      <c r="J58" s="89">
        <f>[1]!thsiFinD("ths_int_chg_ratio_index",$D58,J$1,J$2,101)</f>
        <v>48.160238311040999</v>
      </c>
      <c r="K58" s="89">
        <f>[1]!thsiFinD("ths_int_chg_ratio_index",$D58,K$1,K$2,101)</f>
        <v>213.56352777623999</v>
      </c>
      <c r="L58" s="89">
        <f>[1]!thsiFinD("ths_int_chg_ratio_index",$D58,L$1,L$2,101)</f>
        <v>321.71013086060998</v>
      </c>
      <c r="M58" s="89">
        <f>[1]!thsiFinD("ths_int_chg_ratio_index",$D58,M$1,M$2,101)</f>
        <v>259.88636982774</v>
      </c>
      <c r="N58" s="89">
        <f>[1]!thsiFinD("ths_int_chg_ratio_index",$D58,N$1,N$2,101)</f>
        <v>106.35043968124</v>
      </c>
      <c r="O58" s="89">
        <f>[1]!thsiFinD("ths_int_chg_ratio_index",$D58,O$1,O$2,101)</f>
        <v>38.440699373721998</v>
      </c>
      <c r="P58" s="89">
        <f>[1]!thsiFinD("ths_int_chg_ratio_index",$D58,P$1,P$2,101)</f>
        <v>47.828813513570999</v>
      </c>
      <c r="Q58" s="89">
        <f>[1]!thsiFinD("ths_int_chg_ratio_index",$D58,Q$1,Q$2,101)</f>
        <v>-34.521036721575001</v>
      </c>
      <c r="R58" s="89">
        <f>[1]!thsiFinD("ths_int_chg_ratio_index",$D58,R$1,R$2,101)</f>
        <v>17.566004768108002</v>
      </c>
      <c r="S58" s="89">
        <f>[1]!thsiFinD("ths_int_chg_ratio_index",$D58,S$1,S$2,101)</f>
        <v>20.095355418494002</v>
      </c>
      <c r="T58" s="89">
        <f>[1]!thsiFinD("ths_int_chg_ratio_index",$D58,T$1,T$2,101)</f>
        <v>51.871810000000004</v>
      </c>
      <c r="U58" s="26"/>
    </row>
    <row r="59" spans="1:21">
      <c r="A59" s="85"/>
      <c r="B59" s="86"/>
      <c r="C59" s="86"/>
      <c r="D59" s="86" t="s">
        <v>158</v>
      </c>
      <c r="E59" s="92" t="s">
        <v>73</v>
      </c>
      <c r="F59" s="92"/>
      <c r="G59" s="86"/>
      <c r="H59" s="89">
        <f>[1]!thsiFinD("ths_int_chg_ratio_index",$D59,H$1,H$2,101)</f>
        <v>2.7088575657075999</v>
      </c>
      <c r="I59" s="89">
        <f>[1]!thsiFinD("ths_int_chg_ratio_index",$D59,I$1,I$2,101)</f>
        <v>52.296381987525002</v>
      </c>
      <c r="J59" s="89">
        <f>[1]!thsiFinD("ths_int_chg_ratio_index",$D59,J$1,J$2,101)</f>
        <v>62.207804571373998</v>
      </c>
      <c r="K59" s="89">
        <f>[1]!thsiFinD("ths_int_chg_ratio_index",$D59,K$1,K$2,101)</f>
        <v>148.10359879601</v>
      </c>
      <c r="L59" s="89">
        <f>[1]!thsiFinD("ths_int_chg_ratio_index",$D59,L$1,L$2,101)</f>
        <v>204.44343137960999</v>
      </c>
      <c r="M59" s="89">
        <f>[1]!thsiFinD("ths_int_chg_ratio_index",$D59,M$1,M$2,101)</f>
        <v>124.23475744015001</v>
      </c>
      <c r="N59" s="89">
        <f>[1]!thsiFinD("ths_int_chg_ratio_index",$D59,N$1,N$2,101)</f>
        <v>53.695369781139</v>
      </c>
      <c r="O59" s="89">
        <f>[1]!thsiFinD("ths_int_chg_ratio_index",$D59,O$1,O$2,101)</f>
        <v>9.6843433644834001</v>
      </c>
      <c r="P59" s="89">
        <f>[1]!thsiFinD("ths_int_chg_ratio_index",$D59,P$1,P$2,101)</f>
        <v>-5.1268308934466003</v>
      </c>
      <c r="Q59" s="89">
        <f>[1]!thsiFinD("ths_int_chg_ratio_index",$D59,Q$1,Q$2,101)</f>
        <v>-31.931260774134</v>
      </c>
      <c r="R59" s="89">
        <f>[1]!thsiFinD("ths_int_chg_ratio_index",$D59,R$1,R$2,101)</f>
        <v>34.423268690850001</v>
      </c>
      <c r="S59" s="89">
        <f>[1]!thsiFinD("ths_int_chg_ratio_index",$D59,S$1,S$2,101)</f>
        <v>60.62571366369</v>
      </c>
      <c r="T59" s="89">
        <f>[1]!thsiFinD("ths_int_chg_ratio_index",$D59,T$1,T$2,101)</f>
        <v>119.05450999999999</v>
      </c>
      <c r="U59" s="26"/>
    </row>
    <row r="60" spans="1:21">
      <c r="A60" s="85"/>
      <c r="B60" s="86"/>
      <c r="C60" s="86"/>
      <c r="D60" s="86" t="s">
        <v>159</v>
      </c>
      <c r="E60" s="90" t="s">
        <v>160</v>
      </c>
      <c r="F60" s="90"/>
      <c r="G60" s="86"/>
      <c r="H60" s="89">
        <f>[1]!thsiFinD("ths_int_chg_ratio_index",$D60,H$1,H$2,101)</f>
        <v>0.95992491314188</v>
      </c>
      <c r="I60" s="89">
        <f>[1]!thsiFinD("ths_int_chg_ratio_index",$D60,I$1,I$2,101)</f>
        <v>58.372532511225998</v>
      </c>
      <c r="J60" s="89">
        <f>[1]!thsiFinD("ths_int_chg_ratio_index",$D60,J$1,J$2,101)</f>
        <v>55.219724137546002</v>
      </c>
      <c r="K60" s="89">
        <f>[1]!thsiFinD("ths_int_chg_ratio_index",$D60,K$1,K$2,101)</f>
        <v>145.44399597466</v>
      </c>
      <c r="L60" s="89">
        <f>[1]!thsiFinD("ths_int_chg_ratio_index",$D60,L$1,L$2,101)</f>
        <v>295.25305170358001</v>
      </c>
      <c r="M60" s="89">
        <f>[1]!thsiFinD("ths_int_chg_ratio_index",$D60,M$1,M$2,101)</f>
        <v>172.73993426185001</v>
      </c>
      <c r="N60" s="89">
        <f>[1]!thsiFinD("ths_int_chg_ratio_index",$D60,N$1,N$2,101)</f>
        <v>61.328245471728998</v>
      </c>
      <c r="O60" s="89">
        <f>[1]!thsiFinD("ths_int_chg_ratio_index",$D60,O$1,O$2,101)</f>
        <v>34.518528606281002</v>
      </c>
      <c r="P60" s="89">
        <f>[1]!thsiFinD("ths_int_chg_ratio_index",$D60,P$1,P$2,101)</f>
        <v>7.2612524040895998</v>
      </c>
      <c r="Q60" s="89">
        <f>[1]!thsiFinD("ths_int_chg_ratio_index",$D60,Q$1,Q$2,101)</f>
        <v>-33.687307044645998</v>
      </c>
      <c r="R60" s="89">
        <f>[1]!thsiFinD("ths_int_chg_ratio_index",$D60,R$1,R$2,101)</f>
        <v>6.8658978544928999</v>
      </c>
      <c r="S60" s="89">
        <f>[1]!thsiFinD("ths_int_chg_ratio_index",$D60,S$1,S$2,101)</f>
        <v>58.429679999999998</v>
      </c>
      <c r="T60" s="89">
        <f>[1]!thsiFinD("ths_int_chg_ratio_index",$D60,T$1,T$2,101)</f>
        <v>0</v>
      </c>
      <c r="U60" s="26"/>
    </row>
    <row r="61" spans="1:21">
      <c r="A61" s="81" t="s">
        <v>161</v>
      </c>
      <c r="B61" s="82"/>
      <c r="C61" s="81" t="s">
        <v>130</v>
      </c>
      <c r="D61" s="82" t="s">
        <v>162</v>
      </c>
      <c r="E61" s="93" t="s">
        <v>163</v>
      </c>
      <c r="F61" s="93"/>
      <c r="G61" s="81"/>
      <c r="H61" s="84">
        <f>[1]!thsiFinD("ths_int_chg_ratio_index",$D61,H$1,H$2,101)</f>
        <v>-1.4587638111484</v>
      </c>
      <c r="I61" s="84">
        <f>[1]!thsiFinD("ths_int_chg_ratio_index",$D61,I$1,I$2,101)</f>
        <v>-10.989319136342999</v>
      </c>
      <c r="J61" s="84">
        <f>[1]!thsiFinD("ths_int_chg_ratio_index",$D61,J$1,J$2,101)</f>
        <v>-16.695793895127</v>
      </c>
      <c r="K61" s="84">
        <f>[1]!thsiFinD("ths_int_chg_ratio_index",$D61,K$1,K$2,101)</f>
        <v>12.222351441164999</v>
      </c>
      <c r="L61" s="84">
        <f>[1]!thsiFinD("ths_int_chg_ratio_index",$D61,L$1,L$2,101)</f>
        <v>32.472632579790996</v>
      </c>
      <c r="M61" s="84">
        <f>[1]!thsiFinD("ths_int_chg_ratio_index",$D61,M$1,M$2,101)</f>
        <v>14.597386295341</v>
      </c>
      <c r="N61" s="84">
        <f>[1]!thsiFinD("ths_int_chg_ratio_index",$D61,N$1,N$2,101)</f>
        <v>32.630830409170002</v>
      </c>
      <c r="O61" s="84">
        <f>[1]!thsiFinD("ths_int_chg_ratio_index",$D61,O$1,O$2,101)</f>
        <v>14.498903458845</v>
      </c>
      <c r="P61" s="84">
        <f>[1]!thsiFinD("ths_int_chg_ratio_index",$D61,P$1,P$2,101)</f>
        <v>-13.304952704557</v>
      </c>
      <c r="Q61" s="84">
        <f>[1]!thsiFinD("ths_int_chg_ratio_index",$D61,Q$1,Q$2,101)</f>
        <v>-28.081239023024001</v>
      </c>
      <c r="R61" s="84">
        <f>[1]!thsiFinD("ths_int_chg_ratio_index",$D61,R$1,R$2,101)</f>
        <v>11.339031653054001</v>
      </c>
      <c r="S61" s="84">
        <f>[1]!thsiFinD("ths_int_chg_ratio_index",$D61,S$1,S$2,101)</f>
        <v>76.335589911742005</v>
      </c>
      <c r="T61" s="84">
        <f>[1]!thsiFinD("ths_int_chg_ratio_index",$D61,T$1,T$2,101)</f>
        <v>14.861541149478001</v>
      </c>
      <c r="U61" s="26"/>
    </row>
    <row r="62" spans="1:21">
      <c r="A62" s="81" t="s">
        <v>164</v>
      </c>
      <c r="B62" s="82"/>
      <c r="C62" s="81" t="s">
        <v>130</v>
      </c>
      <c r="D62" s="94" t="s">
        <v>165</v>
      </c>
      <c r="E62" s="83" t="s">
        <v>166</v>
      </c>
      <c r="F62" s="83"/>
      <c r="G62" s="81"/>
      <c r="H62" s="84">
        <f>[1]!thsiFinD("ths_int_chg_ratio_index",$D62,H$1,H$2,101)</f>
        <v>0.86392552144285994</v>
      </c>
      <c r="I62" s="84">
        <f>[1]!thsiFinD("ths_int_chg_ratio_index",$D62,I$1,I$2,101)</f>
        <v>22.904023829079001</v>
      </c>
      <c r="J62" s="84">
        <f>[1]!thsiFinD("ths_int_chg_ratio_index",$D62,J$1,J$2,101)</f>
        <v>10.885485702882001</v>
      </c>
      <c r="K62" s="84">
        <f>[1]!thsiFinD("ths_int_chg_ratio_index",$D62,K$1,K$2,101)</f>
        <v>35.100142212470999</v>
      </c>
      <c r="L62" s="84">
        <f>[1]!thsiFinD("ths_int_chg_ratio_index",$D62,L$1,L$2,101)</f>
        <v>65.722036229378006</v>
      </c>
      <c r="M62" s="84">
        <f>[1]!thsiFinD("ths_int_chg_ratio_index",$D62,M$1,M$2,101)</f>
        <v>36.084820533902999</v>
      </c>
      <c r="N62" s="84">
        <f>[1]!thsiFinD("ths_int_chg_ratio_index",$D62,N$1,N$2,101)</f>
        <v>30.785021031443002</v>
      </c>
      <c r="O62" s="84">
        <f>[1]!thsiFinD("ths_int_chg_ratio_index",$D62,O$1,O$2,101)</f>
        <v>4.3355508894334998</v>
      </c>
      <c r="P62" s="84">
        <f>[1]!thsiFinD("ths_int_chg_ratio_index",$D62,P$1,P$2,101)</f>
        <v>6.0094345579974</v>
      </c>
      <c r="Q62" s="84">
        <f>[1]!thsiFinD("ths_int_chg_ratio_index",$D62,Q$1,Q$2,101)</f>
        <v>-31.762833720282998</v>
      </c>
      <c r="R62" s="84">
        <f>[1]!thsiFinD("ths_int_chg_ratio_index",$D62,R$1,R$2,101)</f>
        <v>14.649379252232</v>
      </c>
      <c r="S62" s="84">
        <f>[1]!thsiFinD("ths_int_chg_ratio_index",$D62,S$1,S$2,101)</f>
        <v>39.982150892206</v>
      </c>
      <c r="T62" s="84">
        <f>[1]!thsiFinD("ths_int_chg_ratio_index",$D62,T$1,T$2,101)</f>
        <v>24.851844016613001</v>
      </c>
      <c r="U62" s="26"/>
    </row>
    <row r="63" spans="1:21">
      <c r="A63" s="81" t="s">
        <v>167</v>
      </c>
      <c r="B63" s="81"/>
      <c r="C63" s="81" t="s">
        <v>130</v>
      </c>
      <c r="D63" s="82" t="s">
        <v>168</v>
      </c>
      <c r="E63" s="83" t="s">
        <v>169</v>
      </c>
      <c r="F63" s="83"/>
      <c r="G63" s="81"/>
      <c r="H63" s="84">
        <f>[1]!thsiFinD("ths_int_chg_ratio_index",$D63,H$1,H$2,101)</f>
        <v>-2.9008486797092998</v>
      </c>
      <c r="I63" s="84">
        <f>[1]!thsiFinD("ths_int_chg_ratio_index",$D63,I$1,I$2,101)</f>
        <v>5.5651178382871</v>
      </c>
      <c r="J63" s="84">
        <f>[1]!thsiFinD("ths_int_chg_ratio_index",$D63,J$1,J$2,101)</f>
        <v>8.3684188669720996</v>
      </c>
      <c r="K63" s="84">
        <f>[1]!thsiFinD("ths_int_chg_ratio_index",$D63,K$1,K$2,101)</f>
        <v>78.9784433863</v>
      </c>
      <c r="L63" s="84">
        <f>[1]!thsiFinD("ths_int_chg_ratio_index",$D63,L$1,L$2,101)</f>
        <v>86.148328077393998</v>
      </c>
      <c r="M63" s="84">
        <f>[1]!thsiFinD("ths_int_chg_ratio_index",$D63,M$1,M$2,101)</f>
        <v>40.633222386236</v>
      </c>
      <c r="N63" s="84">
        <f>[1]!thsiFinD("ths_int_chg_ratio_index",$D63,N$1,N$2,101)</f>
        <v>55.151781146125003</v>
      </c>
      <c r="O63" s="84">
        <f>[1]!thsiFinD("ths_int_chg_ratio_index",$D63,O$1,O$2,101)</f>
        <v>8.8052343636403005</v>
      </c>
      <c r="P63" s="84">
        <f>[1]!thsiFinD("ths_int_chg_ratio_index",$D63,P$1,P$2,101)</f>
        <v>-33.421912807657002</v>
      </c>
      <c r="Q63" s="84">
        <f>[1]!thsiFinD("ths_int_chg_ratio_index",$D63,Q$1,Q$2,101)</f>
        <v>-14.833544589883999</v>
      </c>
      <c r="R63" s="84">
        <f>[1]!thsiFinD("ths_int_chg_ratio_index",$D63,R$1,R$2,101)</f>
        <v>58.834152191462998</v>
      </c>
      <c r="S63" s="84">
        <f>[1]!thsiFinD("ths_int_chg_ratio_index",$D63,S$1,S$2,101)</f>
        <v>111.78225724596</v>
      </c>
      <c r="T63" s="84">
        <f>[1]!thsiFinD("ths_int_chg_ratio_index",$D63,T$1,T$2,101)</f>
        <v>36.740537593869</v>
      </c>
      <c r="U63" s="26"/>
    </row>
    <row r="64" spans="1:21">
      <c r="H64" s="95"/>
      <c r="I64" s="96"/>
      <c r="J64" s="96"/>
      <c r="K64" s="95"/>
      <c r="L64" s="95"/>
      <c r="M64" s="95"/>
      <c r="N64" s="96"/>
      <c r="O64" s="96"/>
      <c r="P64" s="96"/>
      <c r="Q64" s="96"/>
      <c r="R64" s="96"/>
      <c r="S64" s="96"/>
      <c r="T64" s="95"/>
      <c r="U64" s="26"/>
    </row>
    <row r="67" spans="1:23">
      <c r="A67" s="3" t="s">
        <v>170</v>
      </c>
    </row>
    <row r="68" spans="1:23" s="68" customFormat="1">
      <c r="A68" s="62" t="s">
        <v>27</v>
      </c>
      <c r="B68" s="62" t="s">
        <v>31</v>
      </c>
      <c r="C68" s="63" t="s">
        <v>110</v>
      </c>
      <c r="D68" s="63" t="s">
        <v>171</v>
      </c>
      <c r="E68" s="64" t="s">
        <v>172</v>
      </c>
      <c r="F68" s="64"/>
      <c r="G68" s="63"/>
      <c r="H68" s="98"/>
      <c r="I68" s="98">
        <f>[1]!thsiFinD("ths_adjustment_nvg_ratio_fund",$D68,I$1,I$2,101)</f>
        <v>36.705617056171</v>
      </c>
      <c r="J68" s="98">
        <f>[1]!thsiFinD("ths_adjustment_nvg_ratio_fund",$D68,J$1,J$2,101)</f>
        <v>28.437981510015</v>
      </c>
      <c r="K68" s="98"/>
      <c r="L68" s="98">
        <f>[1]!thsiFinD("ths_adjustment_nvg_ratio_fund",$D68,L$1,L$2,101)</f>
        <v>122.50583917250999</v>
      </c>
      <c r="M68" s="98">
        <f>[1]!thsiFinD("ths_adjustment_nvg_ratio_fund",$D68,M$1,M$2,101)</f>
        <v>62.270349190898997</v>
      </c>
      <c r="N68" s="98">
        <f>[1]!thsiFinD("ths_adjustment_nvg_ratio_fund",$D68,N$1,N$2,101)</f>
        <v>34.420711974109999</v>
      </c>
      <c r="O68" s="98">
        <f>[1]!thsiFinD("ths_adjustment_nvg_ratio_fund",$D68,O$1,O$2,101)</f>
        <v>14.750445632799</v>
      </c>
      <c r="P68" s="98">
        <f>[1]!thsiFinD("ths_adjustment_nvg_ratio_fund",$D68,P$1,P$2,101)</f>
        <v>-10.810810810811001</v>
      </c>
      <c r="Q68" s="98">
        <f>[1]!thsiFinD("ths_adjustment_nvg_ratio_fund",$D68,Q$1,Q$2,101)</f>
        <v>-30.401106500691998</v>
      </c>
      <c r="R68" s="98">
        <f>[1]!thsiFinD("ths_adjustment_nvg_ratio_fund",$D68,R$1,R$2,101)</f>
        <v>0</v>
      </c>
      <c r="S68" s="98">
        <f>[1]!thsiFinD("ths_adjustment_nvg_ratio_fund",$D68,S$1,S$2,101)</f>
        <v>0</v>
      </c>
      <c r="T68" s="98">
        <f>[1]!thsiFinD("ths_adjustment_nvg_ratio_fund",$D68,T$1,T$2,101)</f>
        <v>0</v>
      </c>
      <c r="U68" s="99" t="str">
        <f>[1]!thsiFinD("ths_fund_establishment_date_fund",D68)</f>
        <v>2021-03-01</v>
      </c>
      <c r="V68" s="63"/>
      <c r="W68" s="63"/>
    </row>
    <row r="69" spans="1:23">
      <c r="A69" s="81" t="s">
        <v>146</v>
      </c>
      <c r="B69" s="81" t="s">
        <v>31</v>
      </c>
      <c r="C69" s="81" t="s">
        <v>130</v>
      </c>
      <c r="D69" s="82" t="s">
        <v>173</v>
      </c>
      <c r="E69" s="83" t="s">
        <v>174</v>
      </c>
      <c r="F69" s="83"/>
      <c r="G69" s="81"/>
      <c r="H69" s="100">
        <f>[1]!thsiFinD("ths_adjustment_nvg_ratio_fund",$D69,H$1,H$2,101)</f>
        <v>0.9058509058509</v>
      </c>
      <c r="I69" s="100">
        <f>[1]!thsiFinD("ths_adjustment_nvg_ratio_fund",$D69,I$1,I$2,101)</f>
        <v>21.686962750715999</v>
      </c>
      <c r="J69" s="100">
        <f>[1]!thsiFinD("ths_adjustment_nvg_ratio_fund",$D69,J$1,J$2,101)</f>
        <v>10.26369168357</v>
      </c>
      <c r="K69" s="100">
        <f>[1]!thsiFinD("ths_adjustment_nvg_ratio_fund",$D69,K$1,K$2,101)</f>
        <v>33.405320506528</v>
      </c>
      <c r="L69" s="100">
        <f>[1]!thsiFinD("ths_adjustment_nvg_ratio_fund",$D69,L$1,L$2,101)</f>
        <v>60.638297872339997</v>
      </c>
      <c r="M69" s="100">
        <f>[1]!thsiFinD("ths_adjustment_nvg_ratio_fund",$D69,M$1,M$2,101)</f>
        <v>35.845661735306003</v>
      </c>
      <c r="N69" s="100">
        <f>[1]!thsiFinD("ths_adjustment_nvg_ratio_fund",$D69,N$1,N$2,101)</f>
        <v>28.814799331103998</v>
      </c>
      <c r="O69" s="100">
        <f>[1]!thsiFinD("ths_adjustment_nvg_ratio_fund",$D69,O$1,O$2,101)</f>
        <v>4.1811846689895003</v>
      </c>
      <c r="P69" s="100">
        <f>[1]!thsiFinD("ths_adjustment_nvg_ratio_fund",$D69,P$1,P$2,101)</f>
        <v>0</v>
      </c>
      <c r="Q69" s="100">
        <f>[1]!thsiFinD("ths_adjustment_nvg_ratio_fund",$D69,Q$1,Q$2,101)</f>
        <v>0</v>
      </c>
      <c r="R69" s="100">
        <f>[1]!thsiFinD("ths_adjustment_nvg_ratio_fund",$D69,R$1,R$2,101)</f>
        <v>0</v>
      </c>
      <c r="S69" s="100">
        <f>[1]!thsiFinD("ths_adjustment_nvg_ratio_fund",$D69,S$1,S$2,101)</f>
        <v>0</v>
      </c>
      <c r="T69" s="100">
        <f>[1]!thsiFinD("ths_adjustment_nvg_ratio_fund",$D69,T$1,T$2,101)</f>
        <v>0</v>
      </c>
      <c r="U69" s="101" t="str">
        <f>[1]!thsiFinD("ths_fund_establishment_date_fund",D69)</f>
        <v>2023-05-31</v>
      </c>
    </row>
    <row r="70" spans="1:23">
      <c r="A70" s="81" t="s">
        <v>146</v>
      </c>
      <c r="B70" s="81" t="s">
        <v>31</v>
      </c>
      <c r="C70" s="81" t="s">
        <v>130</v>
      </c>
      <c r="D70" s="82" t="s">
        <v>175</v>
      </c>
      <c r="E70" s="83" t="s">
        <v>176</v>
      </c>
      <c r="F70" s="83"/>
      <c r="G70" s="81"/>
      <c r="H70" s="100">
        <f>[1]!thsiFinD("ths_adjustment_nvg_ratio_fund",$D70,H$1,H$2,101)</f>
        <v>0.92354277062831003</v>
      </c>
      <c r="I70" s="100">
        <f>[1]!thsiFinD("ths_adjustment_nvg_ratio_fund",$D70,I$1,I$2,101)</f>
        <v>21.976212259834998</v>
      </c>
      <c r="J70" s="100">
        <f>[1]!thsiFinD("ths_adjustment_nvg_ratio_fund",$D70,J$1,J$2,101)</f>
        <v>10.556430881499001</v>
      </c>
      <c r="K70" s="100">
        <f>[1]!thsiFinD("ths_adjustment_nvg_ratio_fund",$D70,K$1,K$2,101)</f>
        <v>33.841983736572999</v>
      </c>
      <c r="L70" s="100">
        <f>[1]!thsiFinD("ths_adjustment_nvg_ratio_fund",$D70,L$1,L$2,101)</f>
        <v>62.525905156649998</v>
      </c>
      <c r="M70" s="100">
        <f>[1]!thsiFinD("ths_adjustment_nvg_ratio_fund",$D70,M$1,M$2,101)</f>
        <v>0</v>
      </c>
      <c r="N70" s="100">
        <f>[1]!thsiFinD("ths_adjustment_nvg_ratio_fund",$D70,N$1,N$2,101)</f>
        <v>28.918109899508</v>
      </c>
      <c r="O70" s="100">
        <f>[1]!thsiFinD("ths_adjustment_nvg_ratio_fund",$D70,O$1,O$2,101)</f>
        <v>5.5398849148144</v>
      </c>
      <c r="P70" s="100">
        <f>[1]!thsiFinD("ths_adjustment_nvg_ratio_fund",$D70,P$1,P$2,101)</f>
        <v>0</v>
      </c>
      <c r="Q70" s="100">
        <f>[1]!thsiFinD("ths_adjustment_nvg_ratio_fund",$D70,Q$1,Q$2,101)</f>
        <v>0</v>
      </c>
      <c r="R70" s="100">
        <f>[1]!thsiFinD("ths_adjustment_nvg_ratio_fund",$D70,R$1,R$2,101)</f>
        <v>0</v>
      </c>
      <c r="S70" s="100">
        <f>[1]!thsiFinD("ths_adjustment_nvg_ratio_fund",$D70,S$1,S$2,101)</f>
        <v>0</v>
      </c>
      <c r="T70" s="100">
        <f>[1]!thsiFinD("ths_adjustment_nvg_ratio_fund",$D70,T$1,T$2,101)</f>
        <v>0</v>
      </c>
      <c r="U70" s="101" t="str">
        <f>[1]!thsiFinD("ths_fund_establishment_date_fund",D70)</f>
        <v>2023-07-11</v>
      </c>
    </row>
    <row r="71" spans="1:23">
      <c r="A71" s="3" t="s">
        <v>109</v>
      </c>
      <c r="B71" s="3" t="s">
        <v>31</v>
      </c>
      <c r="C71" s="4" t="s">
        <v>110</v>
      </c>
      <c r="D71" s="4" t="s">
        <v>177</v>
      </c>
      <c r="E71" s="71" t="s">
        <v>178</v>
      </c>
      <c r="F71" s="71"/>
      <c r="G71" s="4"/>
      <c r="H71" s="102"/>
      <c r="I71" s="102">
        <f>[1]!thsiFinD("ths_adjustment_nvg_ratio_fund",$D71,I$1,I$2,101)</f>
        <v>49.496562430693999</v>
      </c>
      <c r="J71" s="102">
        <f>[1]!thsiFinD("ths_adjustment_nvg_ratio_fund",$D71,J$1,J$2,101)</f>
        <v>49.982200071199998</v>
      </c>
      <c r="K71" s="102"/>
      <c r="L71" s="102"/>
      <c r="M71" s="102"/>
      <c r="N71" s="102">
        <f>[1]!thsiFinD("ths_adjustment_nvg_ratio_fund",$D71,N$1,N$2,101)</f>
        <v>58.220094346265</v>
      </c>
      <c r="O71" s="102">
        <f>[1]!thsiFinD("ths_adjustment_nvg_ratio_fund",$D71,O$1,O$2,101)</f>
        <v>0</v>
      </c>
      <c r="P71" s="102">
        <f>[1]!thsiFinD("ths_adjustment_nvg_ratio_fund",$D71,P$1,P$2,101)</f>
        <v>0</v>
      </c>
      <c r="Q71" s="102">
        <f>[1]!thsiFinD("ths_adjustment_nvg_ratio_fund",$D71,Q$1,Q$2,101)</f>
        <v>0</v>
      </c>
      <c r="R71" s="102">
        <f>[1]!thsiFinD("ths_adjustment_nvg_ratio_fund",$D71,R$1,R$2,101)</f>
        <v>0</v>
      </c>
      <c r="S71" s="102">
        <f>[1]!thsiFinD("ths_adjustment_nvg_ratio_fund",$D71,S$1,S$2,101)</f>
        <v>0</v>
      </c>
      <c r="T71" s="102">
        <f>[1]!thsiFinD("ths_adjustment_nvg_ratio_fund",$D71,T$1,T$2,101)</f>
        <v>0</v>
      </c>
      <c r="U71" s="101" t="str">
        <f>[1]!thsiFinD("ths_fund_establishment_date_fund",D71)</f>
        <v>2024-01-26</v>
      </c>
    </row>
    <row r="72" spans="1:23" s="68" customFormat="1">
      <c r="A72" s="62" t="s">
        <v>179</v>
      </c>
      <c r="B72" s="62" t="s">
        <v>31</v>
      </c>
      <c r="C72" s="62" t="s">
        <v>180</v>
      </c>
      <c r="D72" s="62" t="s">
        <v>181</v>
      </c>
      <c r="E72" s="64" t="s">
        <v>182</v>
      </c>
      <c r="F72" s="64"/>
      <c r="G72" s="62"/>
      <c r="H72" s="98"/>
      <c r="I72" s="98">
        <f>[1]!thsiFinD("ths_adjustment_nvg_ratio_fund",$D72,I$1,I$2,101)</f>
        <v>38.982904506993997</v>
      </c>
      <c r="J72" s="98">
        <f>[1]!thsiFinD("ths_adjustment_nvg_ratio_fund",$D72,J$1,J$2,101)</f>
        <v>44.640129391678997</v>
      </c>
      <c r="K72" s="98"/>
      <c r="L72" s="98"/>
      <c r="M72" s="98"/>
      <c r="N72" s="98">
        <f>[1]!thsiFinD("ths_adjustment_nvg_ratio_fund",$D72,N$1,N$2,101)</f>
        <v>0</v>
      </c>
      <c r="O72" s="98">
        <f>[1]!thsiFinD("ths_adjustment_nvg_ratio_fund",$D72,O$1,O$2,101)</f>
        <v>0</v>
      </c>
      <c r="P72" s="98">
        <f>[1]!thsiFinD("ths_adjustment_nvg_ratio_fund",$D72,P$1,P$2,101)</f>
        <v>0</v>
      </c>
      <c r="Q72" s="98">
        <f>[1]!thsiFinD("ths_adjustment_nvg_ratio_fund",$D72,Q$1,Q$2,101)</f>
        <v>0</v>
      </c>
      <c r="R72" s="98">
        <f>[1]!thsiFinD("ths_adjustment_nvg_ratio_fund",$D72,R$1,R$2,101)</f>
        <v>0</v>
      </c>
      <c r="S72" s="98">
        <f>[1]!thsiFinD("ths_adjustment_nvg_ratio_fund",$D72,S$1,S$2,101)</f>
        <v>0</v>
      </c>
      <c r="T72" s="98">
        <f>[1]!thsiFinD("ths_adjustment_nvg_ratio_fund",$D72,T$1,T$2,101)</f>
        <v>0</v>
      </c>
      <c r="U72" s="99" t="str">
        <f>[1]!thsiFinD("ths_fund_establishment_date_fund",D72)</f>
        <v>2025-10-29</v>
      </c>
      <c r="V72" s="103" t="s">
        <v>183</v>
      </c>
      <c r="W72" s="63"/>
    </row>
    <row r="73" spans="1:23" s="68" customFormat="1">
      <c r="A73" s="62"/>
      <c r="B73" s="62" t="s">
        <v>31</v>
      </c>
      <c r="C73" s="62" t="s">
        <v>180</v>
      </c>
      <c r="D73" s="63" t="s">
        <v>184</v>
      </c>
      <c r="E73" s="64" t="s">
        <v>185</v>
      </c>
      <c r="F73" s="64"/>
      <c r="G73" s="62"/>
      <c r="H73" s="98"/>
      <c r="I73" s="98">
        <f>[1]!thsiFinD("ths_adjustment_nvg_ratio_fund",$D73,I$1,I$2,101)</f>
        <v>39.046189534010999</v>
      </c>
      <c r="J73" s="98">
        <f>[1]!thsiFinD("ths_adjustment_nvg_ratio_fund",$D73,J$1,J$2,101)</f>
        <v>30.498815393480999</v>
      </c>
      <c r="K73" s="98"/>
      <c r="L73" s="98">
        <f>[1]!thsiFinD("ths_adjustment_nvg_ratio_fund",$D73,L$1,L$2,101)</f>
        <v>166.64922150987999</v>
      </c>
      <c r="M73" s="98">
        <f>[1]!thsiFinD("ths_adjustment_nvg_ratio_fund",$D73,M$1,M$2,101)</f>
        <v>116.27931656585</v>
      </c>
      <c r="N73" s="98">
        <f>[1]!thsiFinD("ths_adjustment_nvg_ratio_fund",$D73,N$1,N$2,101)</f>
        <v>64.979928163954995</v>
      </c>
      <c r="O73" s="98">
        <f>[1]!thsiFinD("ths_adjustment_nvg_ratio_fund",$D73,O$1,O$2,101)</f>
        <v>20.157400355419998</v>
      </c>
      <c r="P73" s="98">
        <f>[1]!thsiFinD("ths_adjustment_nvg_ratio_fund",$D73,P$1,P$2,101)</f>
        <v>13.189655172414</v>
      </c>
      <c r="Q73" s="98">
        <f>[1]!thsiFinD("ths_adjustment_nvg_ratio_fund",$D73,Q$1,Q$2,101)</f>
        <v>-33.102652825836003</v>
      </c>
      <c r="R73" s="98">
        <f>[1]!thsiFinD("ths_adjustment_nvg_ratio_fund",$D73,R$1,R$2,101)</f>
        <v>0</v>
      </c>
      <c r="S73" s="98">
        <f>[1]!thsiFinD("ths_adjustment_nvg_ratio_fund",$D73,S$1,S$2,101)</f>
        <v>0</v>
      </c>
      <c r="T73" s="98">
        <f>[1]!thsiFinD("ths_adjustment_nvg_ratio_fund",$D73,T$1,T$2,101)</f>
        <v>0</v>
      </c>
      <c r="U73" s="99" t="str">
        <f>[1]!thsiFinD("ths_fund_establishment_date_fund",D73)</f>
        <v>2021-08-17</v>
      </c>
      <c r="V73" s="63"/>
      <c r="W73" s="63"/>
    </row>
    <row r="74" spans="1:23">
      <c r="A74" s="81" t="s">
        <v>141</v>
      </c>
      <c r="B74" s="81" t="s">
        <v>31</v>
      </c>
      <c r="C74" s="81" t="s">
        <v>186</v>
      </c>
      <c r="D74" s="82" t="s">
        <v>187</v>
      </c>
      <c r="E74" s="83" t="s">
        <v>188</v>
      </c>
      <c r="F74" s="83"/>
      <c r="G74" s="81"/>
      <c r="H74" s="100">
        <f>[1]!thsiFinD("ths_adjustment_nvg_ratio_fund",$D74,H$1,H$2,101)</f>
        <v>-6.6254125412541001</v>
      </c>
      <c r="I74" s="100">
        <f>[1]!thsiFinD("ths_adjustment_nvg_ratio_fund",$D74,I$1,I$2,101)</f>
        <v>-13.801508111814</v>
      </c>
      <c r="J74" s="100">
        <f>[1]!thsiFinD("ths_adjustment_nvg_ratio_fund",$D74,J$1,J$2,101)</f>
        <v>-12.926059859967999</v>
      </c>
      <c r="K74" s="100">
        <f>[1]!thsiFinD("ths_adjustment_nvg_ratio_fund",$D74,K$1,K$2,101)</f>
        <v>-5.1859919571045996</v>
      </c>
      <c r="L74" s="100">
        <f>[1]!thsiFinD("ths_adjustment_nvg_ratio_fund",$D74,L$1,L$2,101)</f>
        <v>0</v>
      </c>
      <c r="M74" s="100">
        <f>[1]!thsiFinD("ths_adjustment_nvg_ratio_fund",$D74,M$1,M$2,101)</f>
        <v>0</v>
      </c>
      <c r="N74" s="100">
        <f>[1]!thsiFinD("ths_adjustment_nvg_ratio_fund",$D74,N$1,N$2,101)</f>
        <v>0</v>
      </c>
      <c r="O74" s="100">
        <f>[1]!thsiFinD("ths_adjustment_nvg_ratio_fund",$D74,O$1,O$2,101)</f>
        <v>0</v>
      </c>
      <c r="P74" s="100">
        <f>[1]!thsiFinD("ths_adjustment_nvg_ratio_fund",$D74,P$1,P$2,101)</f>
        <v>0</v>
      </c>
      <c r="Q74" s="100">
        <f>[1]!thsiFinD("ths_adjustment_nvg_ratio_fund",$D74,Q$1,Q$2,101)</f>
        <v>0</v>
      </c>
      <c r="R74" s="100">
        <f>[1]!thsiFinD("ths_adjustment_nvg_ratio_fund",$D74,R$1,R$2,101)</f>
        <v>0</v>
      </c>
      <c r="S74" s="100">
        <f>[1]!thsiFinD("ths_adjustment_nvg_ratio_fund",$D74,S$1,S$2,101)</f>
        <v>0</v>
      </c>
      <c r="T74" s="100">
        <f>[1]!thsiFinD("ths_adjustment_nvg_ratio_fund",$D74,T$1,T$2,101)</f>
        <v>0</v>
      </c>
      <c r="U74" s="101" t="str">
        <f>[1]!thsiFinD("ths_fund_establishment_date_fund",D74)</f>
        <v>2025-03-20</v>
      </c>
    </row>
    <row r="75" spans="1:23">
      <c r="A75" s="81" t="s">
        <v>129</v>
      </c>
      <c r="B75" s="81" t="s">
        <v>31</v>
      </c>
      <c r="C75" s="81" t="s">
        <v>130</v>
      </c>
      <c r="D75" s="82" t="s">
        <v>189</v>
      </c>
      <c r="E75" s="83" t="s">
        <v>190</v>
      </c>
      <c r="F75" s="83"/>
      <c r="G75" s="81"/>
      <c r="H75" s="100">
        <f>[1]!thsiFinD("ths_adjustment_nvg_ratio_fund",$D75,H$1,H$2,101)</f>
        <v>-2.7217989678054</v>
      </c>
      <c r="I75" s="100">
        <f>[1]!thsiFinD("ths_adjustment_nvg_ratio_fund",$D75,I$1,I$2,101)</f>
        <v>5.8921883360085001</v>
      </c>
      <c r="J75" s="100">
        <f>[1]!thsiFinD("ths_adjustment_nvg_ratio_fund",$D75,J$1,J$2,101)</f>
        <v>9.2533811758211009</v>
      </c>
      <c r="K75" s="100">
        <f>[1]!thsiFinD("ths_adjustment_nvg_ratio_fund",$D75,K$1,K$2,101)</f>
        <v>71.093581154096</v>
      </c>
      <c r="L75" s="100">
        <f>[1]!thsiFinD("ths_adjustment_nvg_ratio_fund",$D75,L$1,L$2,101)</f>
        <v>0</v>
      </c>
      <c r="M75" s="100">
        <f>[1]!thsiFinD("ths_adjustment_nvg_ratio_fund",$D75,M$1,M$2,101)</f>
        <v>0</v>
      </c>
      <c r="N75" s="100">
        <f>[1]!thsiFinD("ths_adjustment_nvg_ratio_fund",$D75,N$1,N$2,101)</f>
        <v>47.862463013978001</v>
      </c>
      <c r="O75" s="100">
        <f>[1]!thsiFinD("ths_adjustment_nvg_ratio_fund",$D75,O$1,O$2,101)</f>
        <v>0</v>
      </c>
      <c r="P75" s="100">
        <f>[1]!thsiFinD("ths_adjustment_nvg_ratio_fund",$D75,P$1,P$2,101)</f>
        <v>0</v>
      </c>
      <c r="Q75" s="100">
        <f>[1]!thsiFinD("ths_adjustment_nvg_ratio_fund",$D75,Q$1,Q$2,101)</f>
        <v>0</v>
      </c>
      <c r="R75" s="100">
        <f>[1]!thsiFinD("ths_adjustment_nvg_ratio_fund",$D75,R$1,R$2,101)</f>
        <v>0</v>
      </c>
      <c r="S75" s="100">
        <f>[1]!thsiFinD("ths_adjustment_nvg_ratio_fund",$D75,S$1,S$2,101)</f>
        <v>0</v>
      </c>
      <c r="T75" s="100">
        <f>[1]!thsiFinD("ths_adjustment_nvg_ratio_fund",$D75,T$1,T$2,101)</f>
        <v>0</v>
      </c>
      <c r="U75" s="101" t="str">
        <f>[1]!thsiFinD("ths_fund_establishment_date_fund",D75)</f>
        <v>2024-10-15</v>
      </c>
    </row>
    <row r="76" spans="1:23">
      <c r="A76" s="81" t="s">
        <v>129</v>
      </c>
      <c r="B76" s="81" t="s">
        <v>31</v>
      </c>
      <c r="C76" s="81" t="s">
        <v>130</v>
      </c>
      <c r="D76" s="82" t="s">
        <v>191</v>
      </c>
      <c r="E76" s="83" t="s">
        <v>192</v>
      </c>
      <c r="F76" s="83"/>
      <c r="G76" s="81"/>
      <c r="H76" s="100">
        <f>[1]!thsiFinD("ths_adjustment_nvg_ratio_fund",$D76,H$1,H$2,101)</f>
        <v>-2.7461813454663999</v>
      </c>
      <c r="I76" s="100">
        <f>[1]!thsiFinD("ths_adjustment_nvg_ratio_fund",$D76,I$1,I$2,101)</f>
        <v>5.6735919015949996</v>
      </c>
      <c r="J76" s="100">
        <f>[1]!thsiFinD("ths_adjustment_nvg_ratio_fund",$D76,J$1,J$2,101)</f>
        <v>8.3781010442446</v>
      </c>
      <c r="K76" s="100">
        <f>[1]!thsiFinD("ths_adjustment_nvg_ratio_fund",$D76,K$1,K$2,101)</f>
        <v>69.482726071361</v>
      </c>
      <c r="L76" s="100">
        <f>[1]!thsiFinD("ths_adjustment_nvg_ratio_fund",$D76,L$1,L$2,101)</f>
        <v>78.532365516555998</v>
      </c>
      <c r="M76" s="100">
        <f>[1]!thsiFinD("ths_adjustment_nvg_ratio_fund",$D76,M$1,M$2,101)</f>
        <v>0</v>
      </c>
      <c r="N76" s="100">
        <f>[1]!thsiFinD("ths_adjustment_nvg_ratio_fund",$D76,N$1,N$2,101)</f>
        <v>49.346434688541997</v>
      </c>
      <c r="O76" s="100">
        <f>[1]!thsiFinD("ths_adjustment_nvg_ratio_fund",$D76,O$1,O$2,101)</f>
        <v>0</v>
      </c>
      <c r="P76" s="100">
        <f>[1]!thsiFinD("ths_adjustment_nvg_ratio_fund",$D76,P$1,P$2,101)</f>
        <v>0</v>
      </c>
      <c r="Q76" s="100">
        <f>[1]!thsiFinD("ths_adjustment_nvg_ratio_fund",$D76,Q$1,Q$2,101)</f>
        <v>0</v>
      </c>
      <c r="R76" s="100">
        <f>[1]!thsiFinD("ths_adjustment_nvg_ratio_fund",$D76,R$1,R$2,101)</f>
        <v>0</v>
      </c>
      <c r="S76" s="100">
        <f>[1]!thsiFinD("ths_adjustment_nvg_ratio_fund",$D76,S$1,S$2,101)</f>
        <v>0</v>
      </c>
      <c r="T76" s="100">
        <f>[1]!thsiFinD("ths_adjustment_nvg_ratio_fund",$D76,T$1,T$2,101)</f>
        <v>0</v>
      </c>
      <c r="U76" s="101" t="str">
        <f>[1]!thsiFinD("ths_fund_establishment_date_fund",D76)</f>
        <v>2024-04-23</v>
      </c>
    </row>
    <row r="77" spans="1:23">
      <c r="A77" s="81" t="s">
        <v>151</v>
      </c>
      <c r="B77" s="81" t="s">
        <v>31</v>
      </c>
      <c r="C77" s="81" t="s">
        <v>130</v>
      </c>
      <c r="D77" s="82" t="s">
        <v>193</v>
      </c>
      <c r="E77" s="83" t="s">
        <v>194</v>
      </c>
      <c r="F77" s="83"/>
      <c r="G77" s="81"/>
      <c r="H77" s="100">
        <f>[1]!thsiFinD("ths_adjustment_nvg_ratio_fund",$D77,H$1,H$2,101)</f>
        <v>-1.3464630225080001</v>
      </c>
      <c r="I77" s="100">
        <f>[1]!thsiFinD("ths_adjustment_nvg_ratio_fund",$D77,I$1,I$2,101)</f>
        <v>-10.140948196961</v>
      </c>
      <c r="J77" s="100">
        <f>[1]!thsiFinD("ths_adjustment_nvg_ratio_fund",$D77,J$1,J$2,101)</f>
        <v>-16.278673147437999</v>
      </c>
      <c r="K77" s="100">
        <f>[1]!thsiFinD("ths_adjustment_nvg_ratio_fund",$D77,K$1,K$2,101)</f>
        <v>0</v>
      </c>
      <c r="L77" s="100">
        <f>[1]!thsiFinD("ths_adjustment_nvg_ratio_fund",$D77,L$1,L$2,101)</f>
        <v>0</v>
      </c>
      <c r="M77" s="100">
        <f>[1]!thsiFinD("ths_adjustment_nvg_ratio_fund",$D77,M$1,M$2,101)</f>
        <v>0</v>
      </c>
      <c r="N77" s="100">
        <f>[1]!thsiFinD("ths_adjustment_nvg_ratio_fund",$D77,N$1,N$2,101)</f>
        <v>0</v>
      </c>
      <c r="O77" s="100">
        <f>[1]!thsiFinD("ths_adjustment_nvg_ratio_fund",$D77,O$1,O$2,101)</f>
        <v>0</v>
      </c>
      <c r="P77" s="100">
        <f>[1]!thsiFinD("ths_adjustment_nvg_ratio_fund",$D77,P$1,P$2,101)</f>
        <v>0</v>
      </c>
      <c r="Q77" s="100">
        <f>[1]!thsiFinD("ths_adjustment_nvg_ratio_fund",$D77,Q$1,Q$2,101)</f>
        <v>0</v>
      </c>
      <c r="R77" s="100">
        <f>[1]!thsiFinD("ths_adjustment_nvg_ratio_fund",$D77,R$1,R$2,101)</f>
        <v>0</v>
      </c>
      <c r="S77" s="100">
        <f>[1]!thsiFinD("ths_adjustment_nvg_ratio_fund",$D77,S$1,S$2,101)</f>
        <v>0</v>
      </c>
      <c r="T77" s="100">
        <f>[1]!thsiFinD("ths_adjustment_nvg_ratio_fund",$D77,T$1,T$2,101)</f>
        <v>0</v>
      </c>
      <c r="U77" s="101" t="str">
        <f>[1]!thsiFinD("ths_fund_establishment_date_fund",D77)</f>
        <v>2025-10-17</v>
      </c>
    </row>
    <row r="78" spans="1:23">
      <c r="A78" s="3" t="s">
        <v>109</v>
      </c>
      <c r="B78" s="3" t="s">
        <v>31</v>
      </c>
      <c r="C78" s="4" t="s">
        <v>110</v>
      </c>
      <c r="D78" s="4" t="s">
        <v>195</v>
      </c>
      <c r="E78" s="71" t="s">
        <v>196</v>
      </c>
      <c r="F78" s="71"/>
      <c r="G78" s="4"/>
      <c r="H78" s="102"/>
      <c r="I78" s="102">
        <f>[1]!thsiFinD("ths_adjustment_nvg_ratio_fund",$D78,I$1,I$2,101)</f>
        <v>23.993126409622999</v>
      </c>
      <c r="J78" s="102">
        <f>[1]!thsiFinD("ths_adjustment_nvg_ratio_fund",$D78,J$1,J$2,101)</f>
        <v>16.533764005249001</v>
      </c>
      <c r="K78" s="102"/>
      <c r="L78" s="102"/>
      <c r="M78" s="102"/>
      <c r="N78" s="102">
        <f>[1]!thsiFinD("ths_adjustment_nvg_ratio_fund",$D78,N$1,N$2,101)</f>
        <v>0</v>
      </c>
      <c r="O78" s="102">
        <f>[1]!thsiFinD("ths_adjustment_nvg_ratio_fund",$D78,O$1,O$2,101)</f>
        <v>0</v>
      </c>
      <c r="P78" s="102">
        <f>[1]!thsiFinD("ths_adjustment_nvg_ratio_fund",$D78,P$1,P$2,101)</f>
        <v>0</v>
      </c>
      <c r="Q78" s="102">
        <f>[1]!thsiFinD("ths_adjustment_nvg_ratio_fund",$D78,Q$1,Q$2,101)</f>
        <v>0</v>
      </c>
      <c r="R78" s="102">
        <f>[1]!thsiFinD("ths_adjustment_nvg_ratio_fund",$D78,R$1,R$2,101)</f>
        <v>0</v>
      </c>
      <c r="S78" s="102">
        <f>[1]!thsiFinD("ths_adjustment_nvg_ratio_fund",$D78,S$1,S$2,101)</f>
        <v>0</v>
      </c>
      <c r="T78" s="102">
        <f>[1]!thsiFinD("ths_adjustment_nvg_ratio_fund",$D78,T$1,T$2,101)</f>
        <v>0</v>
      </c>
      <c r="U78" s="101" t="str">
        <f>[1]!thsiFinD("ths_fund_establishment_date_fund",D78)</f>
        <v>2025-09-23</v>
      </c>
      <c r="V78" s="4" t="s">
        <v>197</v>
      </c>
    </row>
    <row r="79" spans="1:23">
      <c r="A79" s="81" t="s">
        <v>151</v>
      </c>
      <c r="B79" s="81" t="s">
        <v>34</v>
      </c>
      <c r="C79" s="81" t="s">
        <v>130</v>
      </c>
      <c r="D79" s="82" t="s">
        <v>198</v>
      </c>
      <c r="E79" s="83" t="s">
        <v>199</v>
      </c>
      <c r="F79" s="83"/>
      <c r="G79" s="81"/>
      <c r="H79" s="100">
        <f>[1]!thsiFinD("ths_adjustment_nvg_ratio_fund",$D79,H$1,H$2,101)</f>
        <v>-2.9018709434538001</v>
      </c>
      <c r="I79" s="100">
        <f>[1]!thsiFinD("ths_adjustment_nvg_ratio_fund",$D79,I$1,I$2,101)</f>
        <v>-5.9541420133563996</v>
      </c>
      <c r="J79" s="100">
        <f>[1]!thsiFinD("ths_adjustment_nvg_ratio_fund",$D79,J$1,J$2,101)</f>
        <v>-2.938931297086</v>
      </c>
      <c r="K79" s="100">
        <f>[1]!thsiFinD("ths_adjustment_nvg_ratio_fund",$D79,K$1,K$2,101)</f>
        <v>32.863113894782003</v>
      </c>
      <c r="L79" s="100">
        <f>[1]!thsiFinD("ths_adjustment_nvg_ratio_fund",$D79,L$1,L$2,101)</f>
        <v>56.012269938541998</v>
      </c>
      <c r="M79" s="100">
        <f>[1]!thsiFinD("ths_adjustment_nvg_ratio_fund",$D79,M$1,M$2,101)</f>
        <v>40.110192835538001</v>
      </c>
      <c r="N79" s="100">
        <f>[1]!thsiFinD("ths_adjustment_nvg_ratio_fund",$D79,N$1,N$2,101)</f>
        <v>51.182919791391001</v>
      </c>
      <c r="O79" s="100">
        <f>[1]!thsiFinD("ths_adjustment_nvg_ratio_fund",$D79,O$1,O$2,101)</f>
        <v>3.5863717868174998</v>
      </c>
      <c r="P79" s="100">
        <f>[1]!thsiFinD("ths_adjustment_nvg_ratio_fund",$D79,P$1,P$2,101)</f>
        <v>-11.340752515309999</v>
      </c>
      <c r="Q79" s="100">
        <f>[1]!thsiFinD("ths_adjustment_nvg_ratio_fund",$D79,Q$1,Q$2,101)</f>
        <v>-7.1815051649913002</v>
      </c>
      <c r="R79" s="100">
        <f>[1]!thsiFinD("ths_adjustment_nvg_ratio_fund",$D79,R$1,R$2,101)</f>
        <v>14.535211263869</v>
      </c>
      <c r="S79" s="100">
        <f>[1]!thsiFinD("ths_adjustment_nvg_ratio_fund",$D79,S$1,S$2,101)</f>
        <v>54.347826094181997</v>
      </c>
      <c r="T79" s="100">
        <f>[1]!thsiFinD("ths_adjustment_nvg_ratio_fund",$D79,T$1,T$2,101)</f>
        <v>40.758873926170999</v>
      </c>
      <c r="U79" s="101" t="str">
        <f>[1]!thsiFinD("ths_fund_establishment_date_fund",D79)</f>
        <v>2016-03-28</v>
      </c>
    </row>
    <row r="80" spans="1:23" s="79" customFormat="1">
      <c r="A80" s="74"/>
      <c r="B80" s="74" t="s">
        <v>34</v>
      </c>
      <c r="C80" s="74" t="s">
        <v>124</v>
      </c>
      <c r="D80" s="74" t="s">
        <v>200</v>
      </c>
      <c r="E80" s="76" t="s">
        <v>201</v>
      </c>
      <c r="F80" s="76"/>
      <c r="G80" s="74"/>
      <c r="H80" s="104">
        <f>[1]!thsiFinD("ths_adjustment_nvg_ratio_fund",$D80,H$1,H$2,101)</f>
        <v>6.5478889612584998</v>
      </c>
      <c r="I80" s="104">
        <f>[1]!thsiFinD("ths_adjustment_nvg_ratio_fund",$D80,I$1,I$2,101)</f>
        <v>67.058352077354996</v>
      </c>
      <c r="J80" s="104">
        <f>[1]!thsiFinD("ths_adjustment_nvg_ratio_fund",$D80,J$1,J$2,101)</f>
        <v>89.241470200614998</v>
      </c>
      <c r="K80" s="104">
        <f>[1]!thsiFinD("ths_adjustment_nvg_ratio_fund",$D80,K$1,K$2,101)</f>
        <v>322.66156462585002</v>
      </c>
      <c r="L80" s="104">
        <f>[1]!thsiFinD("ths_adjustment_nvg_ratio_fund",$D80,L$1,L$2,101)</f>
        <v>379.70675575352999</v>
      </c>
      <c r="M80" s="104">
        <f>[1]!thsiFinD("ths_adjustment_nvg_ratio_fund",$D80,M$1,M$2,101)</f>
        <v>311.30808402292001</v>
      </c>
      <c r="N80" s="104">
        <f>[1]!thsiFinD("ths_adjustment_nvg_ratio_fund",$D80,N$1,N$2,101)</f>
        <v>126.79419481252999</v>
      </c>
      <c r="O80" s="104">
        <f>[1]!thsiFinD("ths_adjustment_nvg_ratio_fund",$D80,O$1,O$2,101)</f>
        <v>8.4690201729106995</v>
      </c>
      <c r="P80" s="104">
        <f>[1]!thsiFinD("ths_adjustment_nvg_ratio_fund",$D80,P$1,P$2,101)</f>
        <v>-17.159056997911001</v>
      </c>
      <c r="Q80" s="104">
        <f>[1]!thsiFinD("ths_adjustment_nvg_ratio_fund",$D80,Q$1,Q$2,101)</f>
        <v>21.721758082091998</v>
      </c>
      <c r="R80" s="104">
        <f>[1]!thsiFinD("ths_adjustment_nvg_ratio_fund",$D80,R$1,R$2,101)</f>
        <v>14.517470881864</v>
      </c>
      <c r="S80" s="104">
        <f>[1]!thsiFinD("ths_adjustment_nvg_ratio_fund",$D80,S$1,S$2,101)</f>
        <v>62.213225371119997</v>
      </c>
      <c r="T80" s="104">
        <f>[1]!thsiFinD("ths_adjustment_nvg_ratio_fund",$D80,T$1,T$2,101)</f>
        <v>50.151975683891003</v>
      </c>
      <c r="U80" s="105" t="str">
        <f>[1]!thsiFinD("ths_fund_establishment_date_fund",D80)</f>
        <v>2015-06-26</v>
      </c>
      <c r="V80" s="75"/>
      <c r="W80" s="75"/>
    </row>
    <row r="81" spans="1:23" s="79" customFormat="1">
      <c r="A81" s="74"/>
      <c r="B81" s="74" t="s">
        <v>34</v>
      </c>
      <c r="C81" s="74" t="s">
        <v>119</v>
      </c>
      <c r="D81" s="75" t="s">
        <v>202</v>
      </c>
      <c r="E81" s="76" t="s">
        <v>203</v>
      </c>
      <c r="F81" s="76"/>
      <c r="G81" s="74"/>
      <c r="H81" s="104">
        <f>[1]!thsiFinD("ths_adjustment_nvg_ratio_fund",$D81,H$1,H$2,101)</f>
        <v>3.3791748526523002</v>
      </c>
      <c r="I81" s="104">
        <f>[1]!thsiFinD("ths_adjustment_nvg_ratio_fund",$D81,I$1,I$2,101)</f>
        <v>51.120045950603</v>
      </c>
      <c r="J81" s="104">
        <f>[1]!thsiFinD("ths_adjustment_nvg_ratio_fund",$D81,J$1,J$2,101)</f>
        <v>52.256944444444002</v>
      </c>
      <c r="K81" s="104">
        <f>[1]!thsiFinD("ths_adjustment_nvg_ratio_fund",$D81,K$1,K$2,101)</f>
        <v>170.86479066575001</v>
      </c>
      <c r="L81" s="104">
        <f>[1]!thsiFinD("ths_adjustment_nvg_ratio_fund",$D81,L$1,L$2,101)</f>
        <v>247.55614266843</v>
      </c>
      <c r="M81" s="104">
        <f>[1]!thsiFinD("ths_adjustment_nvg_ratio_fund",$D81,M$1,M$2,101)</f>
        <v>168.4693877551</v>
      </c>
      <c r="N81" s="104">
        <f>[1]!thsiFinD("ths_adjustment_nvg_ratio_fund",$D81,N$1,N$2,101)</f>
        <v>99.154821359969006</v>
      </c>
      <c r="O81" s="104">
        <f>[1]!thsiFinD("ths_adjustment_nvg_ratio_fund",$D81,O$1,O$2,101)</f>
        <v>10.109983079526</v>
      </c>
      <c r="P81" s="104">
        <f>[1]!thsiFinD("ths_adjustment_nvg_ratio_fund",$D81,P$1,P$2,101)</f>
        <v>-5.0602409638554002</v>
      </c>
      <c r="Q81" s="104">
        <f>[1]!thsiFinD("ths_adjustment_nvg_ratio_fund",$D81,Q$1,Q$2,101)</f>
        <v>-21.919096895578999</v>
      </c>
      <c r="R81" s="104">
        <f>[1]!thsiFinD("ths_adjustment_nvg_ratio_fund",$D81,R$1,R$2,101)</f>
        <v>8.9139344262295008</v>
      </c>
      <c r="S81" s="104">
        <f>[1]!thsiFinD("ths_adjustment_nvg_ratio_fund",$D81,S$1,S$2,101)</f>
        <v>83.688833124216004</v>
      </c>
      <c r="T81" s="104">
        <f>[1]!thsiFinD("ths_adjustment_nvg_ratio_fund",$D81,T$1,T$2,101)</f>
        <v>71.397849462365997</v>
      </c>
      <c r="U81" s="105" t="str">
        <f>[1]!thsiFinD("ths_fund_establishment_date_fund",D81)</f>
        <v>2015-01-23</v>
      </c>
      <c r="V81" s="75"/>
      <c r="W81" s="75"/>
    </row>
    <row r="83" spans="1:23" s="110" customFormat="1">
      <c r="A83" s="106"/>
      <c r="B83" s="106"/>
      <c r="C83" s="106"/>
      <c r="D83" s="107"/>
      <c r="E83" s="107" t="s">
        <v>204</v>
      </c>
      <c r="F83" s="107"/>
      <c r="G83" s="106"/>
      <c r="H83" s="107"/>
      <c r="I83" s="108"/>
      <c r="J83" s="108"/>
      <c r="K83" s="107"/>
      <c r="L83" s="107"/>
      <c r="M83" s="107"/>
      <c r="N83" s="108"/>
      <c r="O83" s="108"/>
      <c r="P83" s="108"/>
      <c r="Q83" s="108"/>
      <c r="R83" s="108"/>
      <c r="S83" s="108"/>
      <c r="T83" s="107"/>
      <c r="U83" s="109"/>
      <c r="V83" s="107"/>
      <c r="W83" s="107"/>
    </row>
    <row r="84" spans="1:23">
      <c r="D84" s="4" t="s">
        <v>205</v>
      </c>
      <c r="E84" s="4" t="s">
        <v>206</v>
      </c>
      <c r="H84" s="111">
        <f>[1]!thsiFinD("ths_int_chg_ratio_index",$D84,H$1,H$2,101)</f>
        <v>2.8474530379370999</v>
      </c>
      <c r="I84" s="111">
        <f>[1]!thsiFinD("ths_int_chg_ratio_index",$D84,I$1,I$2,101)</f>
        <v>40.761989469966998</v>
      </c>
      <c r="J84" s="111">
        <f>[1]!thsiFinD("ths_int_chg_ratio_index",$D84,J$1,J$2,101)</f>
        <v>31.774244967971999</v>
      </c>
      <c r="K84" s="111">
        <f>[1]!thsiFinD("ths_int_chg_ratio_index",$D84,K$1,K$2,101)</f>
        <v>120.96618752252</v>
      </c>
      <c r="L84" s="111">
        <f>[1]!thsiFinD("ths_int_chg_ratio_index",$D84,L$1,L$2,101)</f>
        <v>174.92628931826999</v>
      </c>
      <c r="M84" s="111">
        <f>[1]!thsiFinD("ths_int_chg_ratio_index",$D84,M$1,M$2,101)</f>
        <v>114.64899320687999</v>
      </c>
    </row>
    <row r="85" spans="1:23">
      <c r="D85" s="4" t="s">
        <v>207</v>
      </c>
      <c r="E85" s="4" t="s">
        <v>208</v>
      </c>
      <c r="G85" s="3" t="s">
        <v>209</v>
      </c>
      <c r="H85" s="102">
        <f>[1]!thsiFinD("ths_adjustment_nvg_ratio_fund",$D85,H$1,H$2,101)</f>
        <v>2.7208763804773999</v>
      </c>
      <c r="I85" s="102">
        <f>[1]!thsiFinD("ths_adjustment_nvg_ratio_fund",$D85,I$1,I$2,101)</f>
        <v>38.798965040013996</v>
      </c>
      <c r="J85" s="102">
        <f>[1]!thsiFinD("ths_adjustment_nvg_ratio_fund",$D85,J$1,J$2,101)</f>
        <v>30.322033898305001</v>
      </c>
      <c r="K85" s="102">
        <f>[1]!thsiFinD("ths_adjustment_nvg_ratio_fund",$D85,K$1,K$2,101)</f>
        <v>112.71670970122</v>
      </c>
      <c r="L85" s="102">
        <f>[1]!thsiFinD("ths_adjustment_nvg_ratio_fund",$D85,L$1,L$2,101)</f>
        <v>164.98564043652999</v>
      </c>
      <c r="M85" s="102">
        <f>[1]!thsiFinD("ths_adjustment_nvg_ratio_fund",$D85,M$1,M$2,101)</f>
        <v>112.79520295203</v>
      </c>
    </row>
    <row r="86" spans="1:23">
      <c r="D86" s="4" t="s">
        <v>96</v>
      </c>
      <c r="E86" s="4" t="s">
        <v>97</v>
      </c>
      <c r="G86" s="3" t="s">
        <v>210</v>
      </c>
      <c r="H86" s="102">
        <f>[1]!thsiFinD("ths_adjustment_nvg_ratio_fund",$D86,H$1,H$2,101)</f>
        <v>2.7457869737784</v>
      </c>
      <c r="I86" s="102">
        <f>[1]!thsiFinD("ths_adjustment_nvg_ratio_fund",$D86,I$1,I$2,101)</f>
        <v>39.225886087109998</v>
      </c>
      <c r="J86" s="102">
        <f>[1]!thsiFinD("ths_adjustment_nvg_ratio_fund",$D86,J$1,J$2,101)</f>
        <v>30.920698088961</v>
      </c>
      <c r="K86" s="102">
        <f>[1]!thsiFinD("ths_adjustment_nvg_ratio_fund",$D86,K$1,K$2,101)</f>
        <v>115.97483416535999</v>
      </c>
      <c r="L86" s="102">
        <f>[1]!thsiFinD("ths_adjustment_nvg_ratio_fund",$D86,L$1,L$2,101)</f>
        <v>168.39466304070999</v>
      </c>
      <c r="M86" s="102">
        <f>[1]!thsiFinD("ths_adjustment_nvg_ratio_fund",$D86,M$1,M$2,101)</f>
        <v>116.93913999176</v>
      </c>
    </row>
    <row r="87" spans="1:23">
      <c r="H87" s="111"/>
      <c r="I87" s="111"/>
      <c r="J87" s="111"/>
      <c r="K87" s="111"/>
      <c r="L87" s="111"/>
      <c r="M87" s="111"/>
    </row>
    <row r="88" spans="1:23">
      <c r="D88" s="4" t="s">
        <v>211</v>
      </c>
      <c r="E88" s="112" t="s">
        <v>212</v>
      </c>
      <c r="F88" s="112"/>
      <c r="H88" s="111">
        <f>[1]!thsiFinD("ths_int_chg_ratio_index",$D88,H$1,H$2,101)</f>
        <v>3.1488475001178</v>
      </c>
      <c r="I88" s="111">
        <f>[1]!thsiFinD("ths_int_chg_ratio_index",$D88,I$1,I$2,101)</f>
        <v>40.743499013739999</v>
      </c>
      <c r="J88" s="111">
        <f>[1]!thsiFinD("ths_int_chg_ratio_index",$D88,J$1,J$2,101)</f>
        <v>34.850304957234997</v>
      </c>
      <c r="K88" s="111">
        <f>[1]!thsiFinD("ths_int_chg_ratio_index",$D88,K$1,K$2,101)</f>
        <v>141.97750271824</v>
      </c>
      <c r="L88" s="111">
        <f>[1]!thsiFinD("ths_int_chg_ratio_index",$D88,L$1,L$2,101)</f>
        <v>201.72542785323</v>
      </c>
      <c r="M88" s="111">
        <f>[1]!thsiFinD("ths_int_chg_ratio_index",$D88,M$1,M$2,101)</f>
        <v>129.44272757636</v>
      </c>
      <c r="N88" s="111">
        <f>[1]!thsiFinD("ths_int_chg_ratio_index",$D88,N$1,N$2,101)</f>
        <v>79.290353068100998</v>
      </c>
      <c r="O88" s="111">
        <f>[1]!thsiFinD("ths_int_chg_ratio_index",$D88,O$1,O$2,101)</f>
        <v>20.633478106289001</v>
      </c>
      <c r="P88" s="111">
        <f>[1]!thsiFinD("ths_int_chg_ratio_index",$D88,P$1,P$2,101)</f>
        <v>7.7672141453102999</v>
      </c>
      <c r="Q88" s="111">
        <f>[1]!thsiFinD("ths_int_chg_ratio_index",$D88,Q$1,Q$2,101)</f>
        <v>-38.293903559656997</v>
      </c>
      <c r="R88" s="111">
        <f>[1]!thsiFinD("ths_int_chg_ratio_index",$D88,R$1,R$2,101)</f>
        <v>1.2227476431888</v>
      </c>
      <c r="S88" s="111">
        <f>[1]!thsiFinD("ths_int_chg_ratio_index",$D88,S$1,S$2,101)</f>
        <v>9.6199917831796</v>
      </c>
      <c r="T88" s="111">
        <f>[1]!thsiFinD("ths_int_chg_ratio_index",$D88,T$1,T$2,101)</f>
        <v>46.193290294249003</v>
      </c>
    </row>
    <row r="89" spans="1:23" ht="28">
      <c r="D89" s="4" t="s">
        <v>213</v>
      </c>
      <c r="E89" s="112" t="s">
        <v>214</v>
      </c>
      <c r="F89" s="112"/>
      <c r="H89" s="102">
        <f>[1]!thsiFinD("ths_adjustment_nvg_ratio_fund",$D89,H$1,H$2,101)</f>
        <v>2.9958346683755002</v>
      </c>
      <c r="I89" s="102">
        <f>[1]!thsiFinD("ths_adjustment_nvg_ratio_fund",$D89,I$1,I$2,101)</f>
        <v>38.585902134081003</v>
      </c>
      <c r="J89" s="102">
        <f>[1]!thsiFinD("ths_adjustment_nvg_ratio_fund",$D89,J$1,J$2,101)</f>
        <v>32.986278700958003</v>
      </c>
      <c r="K89" s="102">
        <f>[1]!thsiFinD("ths_adjustment_nvg_ratio_fund",$D89,K$1,K$2,101)</f>
        <v>124.50238621814</v>
      </c>
      <c r="L89" s="102">
        <f>[1]!thsiFinD("ths_adjustment_nvg_ratio_fund",$D89,L$1,L$2,101)</f>
        <v>177.27142035653</v>
      </c>
      <c r="M89" s="102">
        <f>[1]!thsiFinD("ths_adjustment_nvg_ratio_fund",$D89,M$1,M$2,101)</f>
        <v>116.34324172743</v>
      </c>
    </row>
    <row r="90" spans="1:23">
      <c r="E90" s="113"/>
      <c r="F90" s="113"/>
      <c r="H90" s="111"/>
      <c r="I90" s="111"/>
      <c r="J90" s="111"/>
      <c r="K90" s="111"/>
      <c r="L90" s="111"/>
      <c r="M90" s="111"/>
    </row>
    <row r="91" spans="1:23">
      <c r="D91" s="114" t="s">
        <v>156</v>
      </c>
      <c r="E91" s="114" t="s">
        <v>157</v>
      </c>
      <c r="F91" s="114"/>
      <c r="H91" s="111">
        <f>[1]!thsiFinD("ths_int_chg_ratio_index",$D91,H$1,H$2,101)</f>
        <v>4.0792508495686999</v>
      </c>
      <c r="I91" s="111">
        <f>[1]!thsiFinD("ths_int_chg_ratio_index",$D91,I$1,I$2,101)</f>
        <v>41.767476383687999</v>
      </c>
      <c r="J91" s="111">
        <f>[1]!thsiFinD("ths_int_chg_ratio_index",$D91,J$1,J$2,101)</f>
        <v>48.160238311040999</v>
      </c>
      <c r="K91" s="111">
        <f>[1]!thsiFinD("ths_int_chg_ratio_index",$D91,K$1,K$2,101)</f>
        <v>213.56352777623999</v>
      </c>
      <c r="L91" s="111">
        <f>[1]!thsiFinD("ths_int_chg_ratio_index",$D91,L$1,L$2,101)</f>
        <v>321.71013086060998</v>
      </c>
      <c r="M91" s="111">
        <f>[1]!thsiFinD("ths_int_chg_ratio_index",$D91,M$1,M$2,101)</f>
        <v>259.88636982774</v>
      </c>
    </row>
    <row r="92" spans="1:23">
      <c r="D92" s="4" t="s">
        <v>215</v>
      </c>
      <c r="E92" s="4" t="s">
        <v>216</v>
      </c>
      <c r="H92" s="102">
        <f>[1]!thsiFinD("ths_adjustment_nvg_ratio_fund",$D92,H$1,H$2,101)</f>
        <v>3.9936029243774001</v>
      </c>
      <c r="I92" s="102">
        <f>[1]!thsiFinD("ths_adjustment_nvg_ratio_fund",$D92,I$1,I$2,101)</f>
        <v>40.418311944719001</v>
      </c>
      <c r="J92" s="102">
        <f>[1]!thsiFinD("ths_adjustment_nvg_ratio_fund",$D92,J$1,J$2,101)</f>
        <v>46.501448342453003</v>
      </c>
      <c r="K92" s="102">
        <f>[1]!thsiFinD("ths_adjustment_nvg_ratio_fund",$D92,K$1,K$2,101)</f>
        <v>0</v>
      </c>
      <c r="L92" s="102">
        <f>[1]!thsiFinD("ths_adjustment_nvg_ratio_fund",$D92,L$1,L$2,101)</f>
        <v>0</v>
      </c>
      <c r="M92" s="102">
        <f>[1]!thsiFinD("ths_adjustment_nvg_ratio_fund",$D92,M$1,M$2,101)</f>
        <v>0</v>
      </c>
    </row>
    <row r="93" spans="1:23">
      <c r="H93" s="102"/>
      <c r="I93" s="102"/>
      <c r="J93" s="102"/>
      <c r="K93" s="102"/>
      <c r="L93" s="102"/>
      <c r="M93" s="102"/>
    </row>
    <row r="94" spans="1:23">
      <c r="D94" s="4" t="s">
        <v>217</v>
      </c>
      <c r="E94" s="4" t="s">
        <v>218</v>
      </c>
      <c r="H94" s="111">
        <f>[1]!thsiFinD("ths_int_chg_ratio_index",$D94,H$1,H$2,101)</f>
        <v>-0.25423286515046001</v>
      </c>
      <c r="I94" s="111">
        <f>[1]!thsiFinD("ths_int_chg_ratio_index",$D94,I$1,I$2,101)</f>
        <v>25.239142220276999</v>
      </c>
      <c r="J94" s="111">
        <f>[1]!thsiFinD("ths_int_chg_ratio_index",$D94,J$1,J$2,101)</f>
        <v>17.444976693996001</v>
      </c>
      <c r="K94" s="111">
        <f>[1]!thsiFinD("ths_int_chg_ratio_index",$D94,K$1,K$2,101)</f>
        <v>62.359487041502</v>
      </c>
      <c r="L94" s="111">
        <f>[1]!thsiFinD("ths_int_chg_ratio_index",$D94,L$1,L$2,101)</f>
        <v>156.60658173107001</v>
      </c>
      <c r="M94" s="111">
        <f>[1]!thsiFinD("ths_int_chg_ratio_index",$D94,M$1,M$2,101)</f>
        <v>80.095363532012996</v>
      </c>
    </row>
    <row r="95" spans="1:23">
      <c r="D95" s="4" t="s">
        <v>219</v>
      </c>
      <c r="E95" s="4" t="s">
        <v>220</v>
      </c>
      <c r="H95" s="102">
        <f>[1]!thsiFinD("ths_adjustment_nvg_ratio_fund",$D95,H$1,H$2,101)</f>
        <v>-0.20601934790397</v>
      </c>
      <c r="I95" s="102">
        <f>[1]!thsiFinD("ths_adjustment_nvg_ratio_fund",$D95,I$1,I$2,101)</f>
        <v>24.661519525568</v>
      </c>
      <c r="J95" s="102">
        <f>[1]!thsiFinD("ths_adjustment_nvg_ratio_fund",$D95,J$1,J$2,101)</f>
        <v>17.831835007932</v>
      </c>
      <c r="K95" s="102">
        <f>[1]!thsiFinD("ths_adjustment_nvg_ratio_fund",$D95,K$1,K$2,101)</f>
        <v>0</v>
      </c>
      <c r="L95" s="102">
        <f>[1]!thsiFinD("ths_adjustment_nvg_ratio_fund",$D95,L$1,L$2,101)</f>
        <v>0</v>
      </c>
      <c r="M95" s="102">
        <f>[1]!thsiFinD("ths_adjustment_nvg_ratio_fund",$D95,M$1,M$2,101)</f>
        <v>0</v>
      </c>
    </row>
    <row r="96" spans="1:23">
      <c r="I96" s="4"/>
      <c r="J96" s="4"/>
    </row>
    <row r="97" spans="4:14">
      <c r="I97" s="4"/>
      <c r="J97" s="4"/>
    </row>
    <row r="98" spans="4:14">
      <c r="D98" s="4" t="s">
        <v>221</v>
      </c>
      <c r="E98" s="4" t="s">
        <v>222</v>
      </c>
      <c r="H98" s="111">
        <f>[1]!thsiFinD("ths_int_chg_ratio_index",$D98,H$1,H$2,101)</f>
        <v>2.3256252735902998</v>
      </c>
      <c r="I98" s="111">
        <f>[1]!thsiFinD("ths_int_chg_ratio_index",$D98,I$1,I$2,101)</f>
        <v>43.523647351847998</v>
      </c>
      <c r="J98" s="111">
        <f>[1]!thsiFinD("ths_int_chg_ratio_index",$D98,J$1,J$2,101)</f>
        <v>39.244180481238999</v>
      </c>
      <c r="K98" s="111">
        <f>[1]!thsiFinD("ths_int_chg_ratio_index",$D98,K$1,K$2,101)</f>
        <v>181.80702363591999</v>
      </c>
      <c r="L98" s="111">
        <f>[1]!thsiFinD("ths_int_chg_ratio_index",$D98,L$1,L$2,101)</f>
        <v>290.47915317474002</v>
      </c>
      <c r="M98" s="111">
        <f>[1]!thsiFinD("ths_int_chg_ratio_index",$D98,M$1,M$2,101)</f>
        <v>200.13510114619999</v>
      </c>
    </row>
    <row r="99" spans="4:14">
      <c r="D99" s="4" t="s">
        <v>223</v>
      </c>
      <c r="E99" s="4" t="s">
        <v>224</v>
      </c>
      <c r="H99" s="102">
        <f>[1]!thsiFinD("ths_adjustment_nvg_ratio_fund",$D99,H$1,H$2,101)</f>
        <v>2.3624953857511999</v>
      </c>
      <c r="I99" s="102">
        <f>[1]!thsiFinD("ths_adjustment_nvg_ratio_fund",$D99,I$1,I$2,101)</f>
        <v>0</v>
      </c>
      <c r="J99" s="102">
        <f>[1]!thsiFinD("ths_adjustment_nvg_ratio_fund",$D99,J$1,J$2,101)</f>
        <v>0</v>
      </c>
      <c r="K99" s="102">
        <f>[1]!thsiFinD("ths_adjustment_nvg_ratio_fund",$D99,K$1,K$2,101)</f>
        <v>0</v>
      </c>
      <c r="L99" s="102">
        <f>[1]!thsiFinD("ths_adjustment_nvg_ratio_fund",$D99,L$1,L$2,101)</f>
        <v>0</v>
      </c>
      <c r="M99" s="102">
        <f>[1]!thsiFinD("ths_adjustment_nvg_ratio_fund",$D99,M$1,M$2,101)</f>
        <v>0</v>
      </c>
    </row>
    <row r="100" spans="4:14">
      <c r="D100" s="4" t="s">
        <v>225</v>
      </c>
      <c r="E100" s="4" t="s">
        <v>226</v>
      </c>
      <c r="H100" s="102">
        <f>[1]!thsiFinD("ths_adjustment_nvg_ratio_fund",$D100,H$1,H$2,101)</f>
        <v>2.3044692737429999</v>
      </c>
      <c r="I100" s="102">
        <f>[1]!thsiFinD("ths_adjustment_nvg_ratio_fund",$D100,I$1,I$2,101)</f>
        <v>0</v>
      </c>
      <c r="J100" s="102">
        <f>[1]!thsiFinD("ths_adjustment_nvg_ratio_fund",$D100,J$1,J$2,101)</f>
        <v>0</v>
      </c>
      <c r="K100" s="102">
        <f>[1]!thsiFinD("ths_adjustment_nvg_ratio_fund",$D100,K$1,K$2,101)</f>
        <v>0</v>
      </c>
      <c r="L100" s="102">
        <f>[1]!thsiFinD("ths_adjustment_nvg_ratio_fund",$D100,L$1,L$2,101)</f>
        <v>0</v>
      </c>
      <c r="M100" s="102">
        <f>[1]!thsiFinD("ths_adjustment_nvg_ratio_fund",$D100,M$1,M$2,101)</f>
        <v>0</v>
      </c>
    </row>
    <row r="101" spans="4:14">
      <c r="D101" s="115"/>
      <c r="E101" s="116"/>
      <c r="F101" s="116"/>
    </row>
    <row r="102" spans="4:14">
      <c r="D102" s="87" t="s">
        <v>21</v>
      </c>
      <c r="E102" s="85" t="s">
        <v>22</v>
      </c>
      <c r="F102" s="85"/>
      <c r="H102" s="111">
        <f>[1]!thsiFinD("ths_int_chg_ratio_index",$D102,H$1,H$2,101)</f>
        <v>3.0608027858346001E-2</v>
      </c>
      <c r="I102" s="111">
        <f>[1]!thsiFinD("ths_int_chg_ratio_index",$D102,I$1,I$2,101)</f>
        <v>31.27037424852</v>
      </c>
      <c r="J102" s="111">
        <f>[1]!thsiFinD("ths_int_chg_ratio_index",$D102,J$1,J$2,101)</f>
        <v>25.685326070194002</v>
      </c>
      <c r="K102" s="111">
        <f>[1]!thsiFinD("ths_int_chg_ratio_index",$D102,K$1,K$2,101)</f>
        <v>89.018639228840001</v>
      </c>
      <c r="L102" s="111">
        <f>[1]!thsiFinD("ths_int_chg_ratio_index",$D102,L$1,L$2,101)</f>
        <v>104.1527533455</v>
      </c>
      <c r="M102" s="111">
        <f>[1]!thsiFinD("ths_int_chg_ratio_index",$D102,M$1,M$2,101)</f>
        <v>59.226830490265002</v>
      </c>
    </row>
    <row r="103" spans="4:14">
      <c r="D103" s="4" t="s">
        <v>227</v>
      </c>
      <c r="E103" s="4" t="s">
        <v>228</v>
      </c>
      <c r="G103" s="3" t="s">
        <v>229</v>
      </c>
      <c r="H103" s="111">
        <f>[1]!thsiFinD("ths_int_chg_ratio_index",$D103,H$1,H$2,101)</f>
        <v>2.0899021707376</v>
      </c>
      <c r="I103" s="111">
        <f>[1]!thsiFinD("ths_int_chg_ratio_index",$D103,I$1,I$2,101)</f>
        <v>48.729832929632998</v>
      </c>
      <c r="J103" s="111">
        <f>[1]!thsiFinD("ths_int_chg_ratio_index",$D103,J$1,J$2,101)</f>
        <v>42.881927455720998</v>
      </c>
      <c r="K103" s="111">
        <f>[1]!thsiFinD("ths_int_chg_ratio_index",$D103,K$1,K$2,101)</f>
        <v>145.43598359219001</v>
      </c>
      <c r="L103" s="111">
        <f>[1]!thsiFinD("ths_int_chg_ratio_index",$D103,L$1,L$2,101)</f>
        <v>173.25308985456999</v>
      </c>
      <c r="M103" s="111">
        <f>[1]!thsiFinD("ths_int_chg_ratio_index",$D103,M$1,M$2,101)</f>
        <v>121.29592641602</v>
      </c>
      <c r="N103" s="97" t="s">
        <v>230</v>
      </c>
    </row>
    <row r="104" spans="4:14">
      <c r="D104" s="4" t="s">
        <v>231</v>
      </c>
      <c r="E104" s="4" t="s">
        <v>232</v>
      </c>
      <c r="H104" s="102">
        <f>[1]!thsiFinD("ths_adjustment_nvg_ratio_fund",$D104,H$1,H$2,101)</f>
        <v>2.0822933751693999</v>
      </c>
      <c r="I104" s="102">
        <f>[1]!thsiFinD("ths_adjustment_nvg_ratio_fund",$D104,I$1,I$2,101)</f>
        <v>47.107183228856002</v>
      </c>
      <c r="J104" s="102">
        <f>[1]!thsiFinD("ths_adjustment_nvg_ratio_fund",$D104,J$1,J$2,101)</f>
        <v>41.578478884383003</v>
      </c>
      <c r="K104" s="102">
        <f>[1]!thsiFinD("ths_adjustment_nvg_ratio_fund",$D104,K$1,K$2,101)</f>
        <v>139.18128654970999</v>
      </c>
      <c r="L104" s="102">
        <f>[1]!thsiFinD("ths_adjustment_nvg_ratio_fund",$D104,L$1,L$2,101)</f>
        <v>170.96346772666999</v>
      </c>
      <c r="M104" s="102">
        <f>[1]!thsiFinD("ths_adjustment_nvg_ratio_fund",$D104,M$1,M$2,101)</f>
        <v>125.18483561428</v>
      </c>
    </row>
    <row r="105" spans="4:14" ht="13" customHeight="1">
      <c r="D105" s="4" t="s">
        <v>233</v>
      </c>
      <c r="E105" s="4" t="s">
        <v>234</v>
      </c>
      <c r="H105" s="102">
        <f>[1]!thsiFinD("ths_adjustment_nvg_ratio_fund",$D105,H$1,H$2,101)</f>
        <v>2.0153482033996002</v>
      </c>
      <c r="I105" s="102">
        <f>[1]!thsiFinD("ths_adjustment_nvg_ratio_fund",$D105,I$1,I$2,101)</f>
        <v>46.247172527247002</v>
      </c>
      <c r="J105" s="102">
        <f>[1]!thsiFinD("ths_adjustment_nvg_ratio_fund",$D105,J$1,J$2,101)</f>
        <v>40.289969424992996</v>
      </c>
      <c r="K105" s="102">
        <f>[1]!thsiFinD("ths_adjustment_nvg_ratio_fund",$D105,K$1,K$2,101)</f>
        <v>134.87450462351001</v>
      </c>
      <c r="L105" s="102">
        <f>[1]!thsiFinD("ths_adjustment_nvg_ratio_fund",$D105,L$1,L$2,101)</f>
        <v>160.417429513</v>
      </c>
      <c r="M105" s="102">
        <f>[1]!thsiFinD("ths_adjustment_nvg_ratio_fund",$D105,M$1,M$2,101)</f>
        <v>114.76672202928999</v>
      </c>
    </row>
    <row r="108" spans="4:14">
      <c r="D108" s="86" t="s">
        <v>57</v>
      </c>
      <c r="E108" s="90" t="s">
        <v>58</v>
      </c>
      <c r="F108" s="90"/>
    </row>
    <row r="109" spans="4:14">
      <c r="D109" s="86" t="s">
        <v>158</v>
      </c>
      <c r="E109" s="92" t="s">
        <v>73</v>
      </c>
      <c r="F109" s="92"/>
    </row>
    <row r="110" spans="4:14">
      <c r="D110" s="4" t="s">
        <v>44</v>
      </c>
      <c r="E110" s="71" t="s">
        <v>235</v>
      </c>
      <c r="F110" s="71"/>
    </row>
    <row r="111" spans="4:14">
      <c r="D111" s="82" t="s">
        <v>131</v>
      </c>
      <c r="E111" s="83" t="s">
        <v>132</v>
      </c>
      <c r="F111" s="83"/>
    </row>
    <row r="112" spans="4:14">
      <c r="D112" s="82" t="s">
        <v>135</v>
      </c>
      <c r="E112" s="83" t="s">
        <v>136</v>
      </c>
      <c r="F112" s="83"/>
    </row>
    <row r="113" spans="4:13">
      <c r="D113" s="4" t="s">
        <v>168</v>
      </c>
      <c r="E113" s="71" t="s">
        <v>236</v>
      </c>
      <c r="F113" s="71"/>
    </row>
    <row r="116" spans="4:13">
      <c r="D116" s="4" t="s">
        <v>101</v>
      </c>
      <c r="E116" s="69" t="s">
        <v>102</v>
      </c>
      <c r="F116" s="69"/>
      <c r="H116" s="117" t="s">
        <v>237</v>
      </c>
      <c r="K116" s="117" t="s">
        <v>237</v>
      </c>
      <c r="L116" s="118" t="s">
        <v>238</v>
      </c>
      <c r="M116" s="9"/>
    </row>
    <row r="117" spans="4:13">
      <c r="D117" s="63" t="s">
        <v>114</v>
      </c>
      <c r="E117" s="72" t="s">
        <v>115</v>
      </c>
      <c r="F117" s="72"/>
    </row>
  </sheetData>
  <phoneticPr fontId="3" type="noConversion"/>
  <conditionalFormatting sqref="H68:J79">
    <cfRule type="cellIs" dxfId="19" priority="11" stopIfTrue="1" operator="greaterThan">
      <formula>0</formula>
    </cfRule>
    <cfRule type="cellIs" dxfId="18" priority="12" stopIfTrue="1" operator="lessThan">
      <formula>0</formula>
    </cfRule>
  </conditionalFormatting>
  <conditionalFormatting sqref="H71:J75 H77:J81">
    <cfRule type="cellIs" dxfId="17" priority="13" stopIfTrue="1" operator="greaterThan">
      <formula>0</formula>
    </cfRule>
    <cfRule type="cellIs" dxfId="16" priority="14" stopIfTrue="1" operator="lessThan">
      <formula>0</formula>
    </cfRule>
  </conditionalFormatting>
  <conditionalFormatting sqref="H84:J95">
    <cfRule type="cellIs" dxfId="15" priority="9" stopIfTrue="1" operator="greaterThan">
      <formula>0</formula>
    </cfRule>
    <cfRule type="cellIs" dxfId="14" priority="10" stopIfTrue="1" operator="lessThan">
      <formula>0</formula>
    </cfRule>
  </conditionalFormatting>
  <conditionalFormatting sqref="H98:J100">
    <cfRule type="cellIs" dxfId="13" priority="5" stopIfTrue="1" operator="greaterThan">
      <formula>0</formula>
    </cfRule>
    <cfRule type="cellIs" dxfId="12" priority="6" stopIfTrue="1" operator="lessThan">
      <formula>0</formula>
    </cfRule>
  </conditionalFormatting>
  <conditionalFormatting sqref="H102:J105">
    <cfRule type="cellIs" dxfId="11" priority="7" stopIfTrue="1" operator="greaterThan">
      <formula>0</formula>
    </cfRule>
    <cfRule type="cellIs" dxfId="10" priority="8" stopIfTrue="1" operator="lessThan">
      <formula>0</formula>
    </cfRule>
  </conditionalFormatting>
  <conditionalFormatting sqref="I68:I79 I84:I95 I98:I100 I102:I105">
    <cfRule type="cellIs" dxfId="9" priority="1" stopIfTrue="1" operator="greaterThan">
      <formula>0</formula>
    </cfRule>
    <cfRule type="cellIs" dxfId="8" priority="2" stopIfTrue="1" operator="lessThan">
      <formula>0</formula>
    </cfRule>
  </conditionalFormatting>
  <conditionalFormatting sqref="I71:I75 I77:I81">
    <cfRule type="cellIs" dxfId="7" priority="3" stopIfTrue="1" operator="greaterThan">
      <formula>0</formula>
    </cfRule>
    <cfRule type="cellIs" dxfId="6" priority="4" stopIfTrue="1" operator="lessThan">
      <formula>0</formula>
    </cfRule>
  </conditionalFormatting>
  <conditionalFormatting sqref="J68:T79 J84:M95 J98:M100 J102:M105">
    <cfRule type="cellIs" dxfId="5" priority="16" stopIfTrue="1" operator="lessThan">
      <formula>0</formula>
    </cfRule>
  </conditionalFormatting>
  <conditionalFormatting sqref="J68:T79 J84:M95 J102:M105 J98:M100">
    <cfRule type="cellIs" dxfId="4" priority="15" stopIfTrue="1" operator="greaterThan">
      <formula>0</formula>
    </cfRule>
  </conditionalFormatting>
  <conditionalFormatting sqref="J71:T75 J77:T81">
    <cfRule type="cellIs" dxfId="3" priority="19" stopIfTrue="1" operator="greaterThan">
      <formula>0</formula>
    </cfRule>
    <cfRule type="cellIs" dxfId="2" priority="20" stopIfTrue="1" operator="lessThan">
      <formula>0</formula>
    </cfRule>
  </conditionalFormatting>
  <conditionalFormatting sqref="N88:T88">
    <cfRule type="cellIs" dxfId="1" priority="17" stopIfTrue="1" operator="greaterThan">
      <formula>0</formula>
    </cfRule>
    <cfRule type="cellIs" dxfId="0" priority="18" stopIfTrue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K95"/>
  <sheetViews>
    <sheetView zoomScale="107" zoomScaleNormal="70" workbookViewId="0">
      <pane xSplit="17" ySplit="11" topLeftCell="R15" activePane="bottomRight" state="frozen"/>
      <selection activeCell="F25" sqref="F25"/>
      <selection pane="topRight" activeCell="F25" sqref="F25"/>
      <selection pane="bottomLeft" activeCell="F25" sqref="F25"/>
      <selection pane="bottomRight" activeCell="F25" sqref="F25"/>
    </sheetView>
  </sheetViews>
  <sheetFormatPr defaultColWidth="9.6328125" defaultRowHeight="15"/>
  <cols>
    <col min="1" max="1" width="9.36328125" style="119" bestFit="1" customWidth="1"/>
    <col min="2" max="2" width="11.7265625" style="120" customWidth="1"/>
    <col min="3" max="3" width="26.08984375" style="119" customWidth="1"/>
    <col min="4" max="4" width="13.54296875" style="120" customWidth="1"/>
    <col min="5" max="5" width="11.6328125" style="120" hidden="1" customWidth="1"/>
    <col min="6" max="8" width="11.6328125" style="120" customWidth="1"/>
    <col min="9" max="14" width="11.26953125" style="120" customWidth="1"/>
    <col min="15" max="17" width="9.7265625" style="120" customWidth="1"/>
    <col min="18" max="18" width="11.26953125" style="120" bestFit="1" customWidth="1"/>
    <col min="19" max="19" width="11.26953125" style="120" customWidth="1"/>
    <col min="20" max="20" width="11.26953125" style="119" bestFit="1" customWidth="1"/>
    <col min="21" max="23" width="11.26953125" style="120" bestFit="1" customWidth="1"/>
    <col min="24" max="27" width="12.453125" style="119" bestFit="1" customWidth="1"/>
    <col min="28" max="28" width="11.26953125" style="119" bestFit="1" customWidth="1"/>
    <col min="29" max="29" width="11.26953125" style="119" customWidth="1"/>
    <col min="30" max="33" width="11.26953125" style="119" bestFit="1" customWidth="1"/>
    <col min="34" max="35" width="11.6328125" style="119" bestFit="1" customWidth="1"/>
    <col min="36" max="36" width="11.1796875" style="120" bestFit="1" customWidth="1"/>
    <col min="37" max="37" width="12.6328125" style="119" bestFit="1" customWidth="1"/>
  </cols>
  <sheetData>
    <row r="1" spans="1:37" ht="23.5" customHeight="1">
      <c r="I1" s="121"/>
      <c r="J1" s="121"/>
      <c r="K1" s="121"/>
      <c r="L1" s="121"/>
      <c r="M1" s="121"/>
      <c r="N1" s="121"/>
      <c r="O1" s="121"/>
      <c r="P1" s="121"/>
      <c r="Q1" s="121"/>
      <c r="R1" s="121">
        <v>46174</v>
      </c>
      <c r="S1" s="121">
        <v>46113</v>
      </c>
      <c r="T1" s="121">
        <v>46023</v>
      </c>
      <c r="U1" s="121">
        <v>45813</v>
      </c>
      <c r="V1" s="121">
        <v>45447</v>
      </c>
      <c r="W1" s="121">
        <v>45081</v>
      </c>
      <c r="X1" s="121">
        <v>45658</v>
      </c>
      <c r="Y1" s="121">
        <v>45292</v>
      </c>
      <c r="Z1" s="121">
        <v>44927</v>
      </c>
      <c r="AA1" s="121">
        <v>44562</v>
      </c>
      <c r="AB1" s="121">
        <f>U1</f>
        <v>45813</v>
      </c>
      <c r="AC1" s="121">
        <f>AB1</f>
        <v>45813</v>
      </c>
      <c r="AD1" s="121">
        <f>V1</f>
        <v>45447</v>
      </c>
      <c r="AE1" s="121">
        <f>AD1</f>
        <v>45447</v>
      </c>
      <c r="AF1" s="121">
        <f>W1</f>
        <v>45081</v>
      </c>
      <c r="AG1" s="121">
        <f>AF1</f>
        <v>45081</v>
      </c>
    </row>
    <row r="2" spans="1:37">
      <c r="A2" s="122" t="s">
        <v>239</v>
      </c>
      <c r="B2" s="122" t="s">
        <v>240</v>
      </c>
      <c r="C2" s="123">
        <f>R2</f>
        <v>46182</v>
      </c>
      <c r="D2" s="122" t="s">
        <v>4</v>
      </c>
      <c r="E2" s="122" t="s">
        <v>19</v>
      </c>
      <c r="F2" s="124"/>
      <c r="G2" s="124"/>
      <c r="H2" s="124"/>
      <c r="I2" s="123" t="s">
        <v>241</v>
      </c>
      <c r="J2" s="123"/>
      <c r="K2" s="123"/>
      <c r="L2" s="123" t="s">
        <v>242</v>
      </c>
      <c r="M2" s="123"/>
      <c r="N2" s="123"/>
      <c r="O2" s="123" t="s">
        <v>243</v>
      </c>
      <c r="P2" s="123"/>
      <c r="Q2" s="123"/>
      <c r="R2" s="121">
        <f>W2</f>
        <v>46182</v>
      </c>
      <c r="S2" s="121">
        <f>T2</f>
        <v>46182</v>
      </c>
      <c r="T2" s="125">
        <v>46182</v>
      </c>
      <c r="U2" s="121">
        <f>T2</f>
        <v>46182</v>
      </c>
      <c r="V2" s="121">
        <f>T2</f>
        <v>46182</v>
      </c>
      <c r="W2" s="121">
        <f>T2</f>
        <v>46182</v>
      </c>
      <c r="X2" s="121">
        <v>46022</v>
      </c>
      <c r="Y2" s="121">
        <v>45657</v>
      </c>
      <c r="Z2" s="121">
        <v>45291</v>
      </c>
      <c r="AA2" s="121">
        <v>44926</v>
      </c>
      <c r="AB2" s="121">
        <f>U2</f>
        <v>46182</v>
      </c>
      <c r="AC2" s="121">
        <f>AB2</f>
        <v>46182</v>
      </c>
      <c r="AD2" s="121">
        <f>AB2</f>
        <v>46182</v>
      </c>
      <c r="AE2" s="121">
        <f>AD2</f>
        <v>46182</v>
      </c>
      <c r="AF2" s="121">
        <f>AB2</f>
        <v>46182</v>
      </c>
      <c r="AG2" s="121">
        <f>AF2</f>
        <v>46182</v>
      </c>
    </row>
    <row r="3" spans="1:37" ht="14" customHeight="1">
      <c r="A3" s="122"/>
      <c r="B3" s="122"/>
      <c r="C3" s="122"/>
      <c r="D3" s="122"/>
      <c r="E3" s="122"/>
      <c r="F3" s="124" t="s">
        <v>244</v>
      </c>
      <c r="G3" s="124" t="s">
        <v>245</v>
      </c>
      <c r="H3" s="124" t="s">
        <v>246</v>
      </c>
      <c r="I3" s="126" t="s">
        <v>247</v>
      </c>
      <c r="J3" s="126" t="s">
        <v>10</v>
      </c>
      <c r="K3" s="126" t="s">
        <v>248</v>
      </c>
      <c r="L3" s="126" t="s">
        <v>249</v>
      </c>
      <c r="M3" s="126" t="s">
        <v>250</v>
      </c>
      <c r="N3" s="126" t="s">
        <v>11</v>
      </c>
      <c r="O3" s="126" t="s">
        <v>251</v>
      </c>
      <c r="P3" s="126" t="s">
        <v>250</v>
      </c>
      <c r="Q3" s="126" t="s">
        <v>252</v>
      </c>
      <c r="R3" s="120" t="s">
        <v>253</v>
      </c>
      <c r="T3" s="121" t="s">
        <v>254</v>
      </c>
      <c r="U3" s="120" t="s">
        <v>249</v>
      </c>
      <c r="V3" s="120" t="s">
        <v>255</v>
      </c>
      <c r="W3" s="120" t="s">
        <v>256</v>
      </c>
      <c r="X3" s="121" t="s">
        <v>257</v>
      </c>
      <c r="Y3" s="121" t="s">
        <v>258</v>
      </c>
      <c r="Z3" s="121" t="s">
        <v>14</v>
      </c>
      <c r="AA3" s="121" t="s">
        <v>15</v>
      </c>
      <c r="AB3" s="127" t="s">
        <v>259</v>
      </c>
      <c r="AC3" s="127" t="s">
        <v>260</v>
      </c>
      <c r="AD3" s="127" t="s">
        <v>261</v>
      </c>
      <c r="AE3" s="127" t="s">
        <v>262</v>
      </c>
      <c r="AF3" s="127" t="s">
        <v>263</v>
      </c>
      <c r="AG3" s="127" t="s">
        <v>264</v>
      </c>
      <c r="AH3" s="127" t="s">
        <v>265</v>
      </c>
      <c r="AI3" s="127" t="s">
        <v>266</v>
      </c>
      <c r="AJ3" s="120" t="s">
        <v>267</v>
      </c>
    </row>
    <row r="4" spans="1:37">
      <c r="A4" s="37" t="s">
        <v>268</v>
      </c>
      <c r="B4" s="128" t="s">
        <v>269</v>
      </c>
      <c r="C4" s="129" t="s">
        <v>270</v>
      </c>
      <c r="D4" s="128" t="str">
        <f>[1]!thsiFinD("ths_fund_manager_current_fund",B4)</f>
        <v>宋婷,钱亚婷</v>
      </c>
      <c r="E4" s="130" t="str">
        <f>AI4</f>
        <v>2022-05-06</v>
      </c>
      <c r="F4" s="131">
        <f t="shared" ref="F4:K19" si="0">R4/100</f>
        <v>-2.7207878290512001E-2</v>
      </c>
      <c r="G4" s="131">
        <f t="shared" si="0"/>
        <v>7.2298378679285E-2</v>
      </c>
      <c r="H4" s="131">
        <f t="shared" si="0"/>
        <v>9.8517251211862E-2</v>
      </c>
      <c r="I4" s="131">
        <f t="shared" si="0"/>
        <v>0.47154316271962998</v>
      </c>
      <c r="J4" s="131">
        <f t="shared" si="0"/>
        <v>0.74696746400635006</v>
      </c>
      <c r="K4" s="131">
        <f t="shared" si="0"/>
        <v>0.63536028865542005</v>
      </c>
      <c r="L4" s="131">
        <f>AB4</f>
        <v>4.6355331624142959E-2</v>
      </c>
      <c r="M4" s="131">
        <f>AD4</f>
        <v>9.3273216554101257E-2</v>
      </c>
      <c r="N4" s="131">
        <f>AF4</f>
        <v>8.9800429255443515E-2</v>
      </c>
      <c r="O4" s="132">
        <f>AB4/AC4</f>
        <v>1.0894347843529957</v>
      </c>
      <c r="P4" s="132">
        <f>AD4/AE4</f>
        <v>2.3524638674133915</v>
      </c>
      <c r="Q4" s="132">
        <f>AF4/AG4</f>
        <v>2.2080377169597267</v>
      </c>
      <c r="R4" s="132">
        <f>[1]!thsiFinD("ths_adjustment_nvg_ratio_fund",$B4,R$1,R$2,101)</f>
        <v>-2.7207878290512002</v>
      </c>
      <c r="S4" s="132">
        <f>[1]!thsiFinD("ths_adjustment_nvg_ratio_fund",$B4,S$1,S$2,101)</f>
        <v>7.2298378679284996</v>
      </c>
      <c r="T4" s="133">
        <f>[1]!thsiFinD("ths_adjustment_nvg_ratio_fund",$B4,T$1,T$2,101)</f>
        <v>9.8517251211862007</v>
      </c>
      <c r="U4" s="132">
        <f>[1]!thsiFinD("ths_adjustment_nvg_ratio_fund",$B4,U$1,U$2,101)</f>
        <v>47.154316271962998</v>
      </c>
      <c r="V4" s="132">
        <f>[1]!thsiFinD("ths_adjustment_nvg_ratio_fund",$B4,V$1,V$2,101)</f>
        <v>74.696746400635007</v>
      </c>
      <c r="W4" s="132">
        <f>[1]!thsiFinD("ths_adjustment_nvg_ratio_fund",$B4,W$1,W$2,101)</f>
        <v>63.536028865542001</v>
      </c>
      <c r="X4" s="133">
        <f>[1]!thsiFinD("ths_adjustment_nvg_ratio_fund",$B4,X$1,X$2,101)</f>
        <v>43.332992745478997</v>
      </c>
      <c r="Y4" s="133">
        <f>[1]!thsiFinD("ths_adjustment_nvg_ratio_fund",$B4,Y$1,Y$2,101)</f>
        <v>9.7812675266404998</v>
      </c>
      <c r="Z4" s="133">
        <f>[1]!thsiFinD("ths_adjustment_nvg_ratio_fund",$B4,Z$1,Z$2,101)</f>
        <v>-3.8503019844694002</v>
      </c>
      <c r="AA4" s="133">
        <f>[1]!thsiFinD("ths_adjustment_nvg_ratio_fund",$B4,AA$1,AA$2,101)</f>
        <v>0</v>
      </c>
      <c r="AB4" s="134">
        <f>(1+([1]!thsiFinD("ths_adjustment_nvg_ratio_fund",$B4,AB$1,AB$2,101)-[1]!thsiFinD("ths_int_chg_ratio_index",$AJ4,AB$1,AB$2,101))/100)^(365/(AB$2-AB$1))-1</f>
        <v>4.6355331624142959E-2</v>
      </c>
      <c r="AC4" s="134">
        <f>[1]!thsiFinD("ths_tracking_error_annual_fund",$B4,AC$1,AC$2,100,101,$AJ4)/100</f>
        <v>4.2549891273825004E-2</v>
      </c>
      <c r="AD4" s="134">
        <f>(1+([1]!thsiFinD("ths_adjustment_nvg_ratio_fund",$B4,AD$1,AD$2,101)-[1]!thsiFinD("ths_int_chg_ratio_index",$AJ4,AD$1,AD$2,101))/100)^(365/(AD$2-AD$1))-1</f>
        <v>9.3273216554101257E-2</v>
      </c>
      <c r="AE4" s="134">
        <f>[1]!thsiFinD("ths_tracking_error_annual_fund",$B4,AE$1,AE$2,100,101,$AJ4)/100</f>
        <v>3.9649160119368004E-2</v>
      </c>
      <c r="AF4" s="134">
        <f>(1+([1]!thsiFinD("ths_adjustment_nvg_ratio_fund",$B4,AF$1,AF$2,101)-[1]!thsiFinD("ths_int_chg_ratio_index",$AJ4,AF$1,AF$2,101))/100)^(365/(AF$2-AF$1))-1</f>
        <v>8.9800429255443515E-2</v>
      </c>
      <c r="AG4" s="134">
        <f>[1]!thsiFinD("ths_tracking_error_annual_fund",$B4,AG$1,AG$2,100,101,$AJ4)/100</f>
        <v>4.0669789544669002E-2</v>
      </c>
      <c r="AH4" s="135" t="str">
        <f>[1]!thsiFinD("ths_service_start_fund",B4,100,1,101)</f>
        <v>2025-02-21</v>
      </c>
      <c r="AI4" s="136" t="str">
        <f>[1]!thsiFinD("ths_fund_establishment_date_fund",B4)</f>
        <v>2022-05-06</v>
      </c>
      <c r="AJ4" s="120" t="str">
        <f>[1]!thsiFinD("ths_fund_basement_fund",B4,1)</f>
        <v>000905.SH</v>
      </c>
    </row>
    <row r="5" spans="1:37">
      <c r="A5" s="37" t="s">
        <v>271</v>
      </c>
      <c r="B5" s="128" t="s">
        <v>272</v>
      </c>
      <c r="C5" s="129" t="s">
        <v>273</v>
      </c>
      <c r="D5" s="128" t="str">
        <f>[1]!thsiFinD("ths_fund_manager_current_fund",B5)</f>
        <v>邓雅琨,胡崇海</v>
      </c>
      <c r="E5" s="130" t="str">
        <f t="shared" ref="E5:E11" si="1">AI5</f>
        <v>2021-12-15</v>
      </c>
      <c r="F5" s="131">
        <f t="shared" si="0"/>
        <v>-2.6252665245201999E-2</v>
      </c>
      <c r="G5" s="131">
        <f t="shared" si="0"/>
        <v>6.2913666448469005E-2</v>
      </c>
      <c r="H5" s="131">
        <f t="shared" si="0"/>
        <v>0.12234083403732</v>
      </c>
      <c r="I5" s="131">
        <f t="shared" si="0"/>
        <v>0.43386970172684003</v>
      </c>
      <c r="J5" s="131">
        <f t="shared" si="0"/>
        <v>0.67323105106479997</v>
      </c>
      <c r="K5" s="131">
        <f t="shared" si="0"/>
        <v>0.52499217364081996</v>
      </c>
      <c r="L5" s="131">
        <f t="shared" ref="L5:L11" si="2">AB5</f>
        <v>9.1014009290675268E-3</v>
      </c>
      <c r="M5" s="131">
        <f t="shared" ref="M5:M11" si="3">AD5</f>
        <v>5.9285265087428485E-2</v>
      </c>
      <c r="N5" s="131">
        <f t="shared" ref="N5:N11" si="4">AF5</f>
        <v>5.8116988484229415E-2</v>
      </c>
      <c r="O5" s="132">
        <f t="shared" ref="O5:O11" si="5">AB5/AC5</f>
        <v>0.24952435779613991</v>
      </c>
      <c r="P5" s="132">
        <f t="shared" ref="P5:P11" si="6">AD5/AE5</f>
        <v>1.6606517514220849</v>
      </c>
      <c r="Q5" s="132">
        <f t="shared" ref="Q5:Q11" si="7">AF5/AG5</f>
        <v>1.6467631262791718</v>
      </c>
      <c r="R5" s="132">
        <f>[1]!thsiFinD("ths_adjustment_nvg_ratio_fund",$B5,R$1,R$2,101)</f>
        <v>-2.6252665245202</v>
      </c>
      <c r="S5" s="132">
        <f>[1]!thsiFinD("ths_adjustment_nvg_ratio_fund",$B5,S$1,S$2,101)</f>
        <v>6.2913666448469003</v>
      </c>
      <c r="T5" s="133">
        <f>[1]!thsiFinD("ths_adjustment_nvg_ratio_fund",$B5,T$1,T$2,101)</f>
        <v>12.234083403732001</v>
      </c>
      <c r="U5" s="132">
        <f>[1]!thsiFinD("ths_adjustment_nvg_ratio_fund",$B5,U$1,U$2,101)</f>
        <v>43.386970172684002</v>
      </c>
      <c r="V5" s="132">
        <f>[1]!thsiFinD("ths_adjustment_nvg_ratio_fund",$B5,V$1,V$2,101)</f>
        <v>67.32310510648</v>
      </c>
      <c r="W5" s="132">
        <f>[1]!thsiFinD("ths_adjustment_nvg_ratio_fund",$B5,W$1,W$2,101)</f>
        <v>52.499217364082</v>
      </c>
      <c r="X5" s="133">
        <f>[1]!thsiFinD("ths_adjustment_nvg_ratio_fund",$B5,X$1,X$2,101)</f>
        <v>33.357230643179001</v>
      </c>
      <c r="Y5" s="133">
        <f>[1]!thsiFinD("ths_adjustment_nvg_ratio_fund",$B5,Y$1,Y$2,101)</f>
        <v>11.410314924692001</v>
      </c>
      <c r="Z5" s="133">
        <f>[1]!thsiFinD("ths_adjustment_nvg_ratio_fund",$B5,Z$1,Z$2,101)</f>
        <v>-2.6005779062014001</v>
      </c>
      <c r="AA5" s="133">
        <f>[1]!thsiFinD("ths_adjustment_nvg_ratio_fund",$B5,AA$1,AA$2,101)</f>
        <v>-11.341018819587999</v>
      </c>
      <c r="AB5" s="134">
        <f>(1+([1]!thsiFinD("ths_adjustment_nvg_ratio_fund",$B5,AB$1,AB$2,101)-[1]!thsiFinD("ths_int_chg_ratio_index",$AJ5,AB$1,AB$2,101))/100)^(365/(AB$2-AB$1))-1</f>
        <v>9.1014009290675268E-3</v>
      </c>
      <c r="AC5" s="134">
        <f>[1]!thsiFinD("ths_tracking_error_annual_fund",$B5,AC$1,AC$2,100,101,$AJ5)/100</f>
        <v>3.6474999913649005E-2</v>
      </c>
      <c r="AD5" s="134">
        <f>(1+([1]!thsiFinD("ths_adjustment_nvg_ratio_fund",$B5,AD$1,AD$2,101)-[1]!thsiFinD("ths_int_chg_ratio_index",$AJ5,AD$1,AD$2,101))/100)^(365/(AD$2-AD$1))-1</f>
        <v>5.9285265087428485E-2</v>
      </c>
      <c r="AE5" s="134">
        <f>[1]!thsiFinD("ths_tracking_error_annual_fund",$B5,AE$1,AE$2,100,101,$AJ5)/100</f>
        <v>3.5699998531697003E-2</v>
      </c>
      <c r="AF5" s="134">
        <f>(1+([1]!thsiFinD("ths_adjustment_nvg_ratio_fund",$B5,AF$1,AF$2,101)-[1]!thsiFinD("ths_int_chg_ratio_index",$AJ5,AF$1,AF$2,101))/100)^(365/(AF$2-AF$1))-1</f>
        <v>5.8116988484229415E-2</v>
      </c>
      <c r="AG5" s="134">
        <f>[1]!thsiFinD("ths_tracking_error_annual_fund",$B5,AG$1,AG$2,100,101,$AJ5)/100</f>
        <v>3.5291650363548997E-2</v>
      </c>
      <c r="AH5" s="135" t="str">
        <f>[1]!thsiFinD("ths_service_start_fund",B5,100,1,101)</f>
        <v>2024-05-16</v>
      </c>
      <c r="AI5" s="136" t="str">
        <f>[1]!thsiFinD("ths_fund_establishment_date_fund",B5)</f>
        <v>2021-12-15</v>
      </c>
      <c r="AJ5" s="120" t="str">
        <f>[1]!thsiFinD("ths_fund_basement_fund",B5,1)</f>
        <v>000905.SH</v>
      </c>
    </row>
    <row r="6" spans="1:37">
      <c r="A6" s="137" t="s">
        <v>268</v>
      </c>
      <c r="B6" s="138" t="s">
        <v>274</v>
      </c>
      <c r="C6" s="139" t="str">
        <f>[1]!thsiFinD("ths_fund_short_name_fund",B6)</f>
        <v>嘉实中证500指数增强A</v>
      </c>
      <c r="D6" s="138" t="str">
        <f>[1]!thsiFinD("ths_fund_manager_current_fund",B6)</f>
        <v>龙昌伦</v>
      </c>
      <c r="E6" s="140" t="str">
        <f t="shared" si="1"/>
        <v>2020-01-20</v>
      </c>
      <c r="F6" s="141">
        <f t="shared" si="0"/>
        <v>-1.2767872208786E-2</v>
      </c>
      <c r="G6" s="141">
        <f t="shared" si="0"/>
        <v>7.5753861240500001E-2</v>
      </c>
      <c r="H6" s="141">
        <f t="shared" si="0"/>
        <v>9.8372966207759996E-2</v>
      </c>
      <c r="I6" s="131">
        <f t="shared" si="0"/>
        <v>0.44842383231555999</v>
      </c>
      <c r="J6" s="131">
        <f t="shared" si="0"/>
        <v>0.54032470381746001</v>
      </c>
      <c r="K6" s="131">
        <f t="shared" si="0"/>
        <v>0.38685208596712994</v>
      </c>
      <c r="L6" s="131">
        <f t="shared" si="2"/>
        <v>2.3495214066727721E-2</v>
      </c>
      <c r="M6" s="131">
        <f t="shared" si="3"/>
        <v>-4.9463262253185425E-3</v>
      </c>
      <c r="N6" s="131">
        <f t="shared" si="4"/>
        <v>1.5548612743490509E-2</v>
      </c>
      <c r="O6" s="132">
        <f t="shared" si="5"/>
        <v>0.56264550864310026</v>
      </c>
      <c r="P6" s="132">
        <f t="shared" si="6"/>
        <v>-0.10485118517526447</v>
      </c>
      <c r="Q6" s="132">
        <f t="shared" si="7"/>
        <v>0.34455853059522124</v>
      </c>
      <c r="R6" s="132">
        <f>[1]!thsiFinD("ths_adjustment_nvg_ratio_fund",$B6,R$1,R$2,101)</f>
        <v>-1.2767872208786</v>
      </c>
      <c r="S6" s="132">
        <f>[1]!thsiFinD("ths_adjustment_nvg_ratio_fund",$B6,S$1,S$2,101)</f>
        <v>7.5753861240499996</v>
      </c>
      <c r="T6" s="133">
        <f>[1]!thsiFinD("ths_adjustment_nvg_ratio_fund",$B6,T$1,T$2,101)</f>
        <v>9.8372966207759998</v>
      </c>
      <c r="U6" s="132">
        <f>[1]!thsiFinD("ths_adjustment_nvg_ratio_fund",$B6,U$1,U$2,101)</f>
        <v>44.842383231555999</v>
      </c>
      <c r="V6" s="132">
        <f>[1]!thsiFinD("ths_adjustment_nvg_ratio_fund",$B6,V$1,V$2,101)</f>
        <v>54.032470381746002</v>
      </c>
      <c r="W6" s="132">
        <f>[1]!thsiFinD("ths_adjustment_nvg_ratio_fund",$B6,W$1,W$2,101)</f>
        <v>38.685208596712997</v>
      </c>
      <c r="X6" s="133">
        <f>[1]!thsiFinD("ths_adjustment_nvg_ratio_fund",$B6,X$1,X$2,101)</f>
        <v>35.538592027142002</v>
      </c>
      <c r="Y6" s="133">
        <f>[1]!thsiFinD("ths_adjustment_nvg_ratio_fund",$B6,Y$1,Y$2,101)</f>
        <v>3.2489710132236</v>
      </c>
      <c r="Z6" s="133">
        <f>[1]!thsiFinD("ths_adjustment_nvg_ratio_fund",$B6,Z$1,Z$2,101)</f>
        <v>-8.6918279225972004</v>
      </c>
      <c r="AA6" s="133">
        <f>[1]!thsiFinD("ths_adjustment_nvg_ratio_fund",$B6,AA$1,AA$2,101)</f>
        <v>-15.716403828009</v>
      </c>
      <c r="AB6" s="134">
        <f>(1+([1]!thsiFinD("ths_adjustment_nvg_ratio_fund",$B6,AB$1,AB$2,101)-[1]!thsiFinD("ths_int_chg_ratio_index",$AJ6,AB$1,AB$2,101))/100)^(365/(AB$2-AB$1))-1</f>
        <v>2.3495214066727721E-2</v>
      </c>
      <c r="AC6" s="134">
        <f>[1]!thsiFinD("ths_tracking_error_annual_fund",$B6,AC$1,AC$2,100,101,$AJ6)/100</f>
        <v>4.1758467286782001E-2</v>
      </c>
      <c r="AD6" s="134">
        <f>(1+([1]!thsiFinD("ths_adjustment_nvg_ratio_fund",$B6,AD$1,AD$2,101)-[1]!thsiFinD("ths_int_chg_ratio_index",$AJ6,AD$1,AD$2,101))/100)^(365/(AD$2-AD$1))-1</f>
        <v>-4.9463262253185425E-3</v>
      </c>
      <c r="AE6" s="134">
        <f>[1]!thsiFinD("ths_tracking_error_annual_fund",$B6,AE$1,AE$2,100,101,$AJ6)/100</f>
        <v>4.7174728803022002E-2</v>
      </c>
      <c r="AF6" s="134">
        <f>(1+([1]!thsiFinD("ths_adjustment_nvg_ratio_fund",$B6,AF$1,AF$2,101)-[1]!thsiFinD("ths_int_chg_ratio_index",$AJ6,AF$1,AF$2,101))/100)^(365/(AF$2-AF$1))-1</f>
        <v>1.5548612743490509E-2</v>
      </c>
      <c r="AG6" s="134">
        <f>[1]!thsiFinD("ths_tracking_error_annual_fund",$B6,AG$1,AG$2,100,101,$AJ6)/100</f>
        <v>4.5126187172409994E-2</v>
      </c>
      <c r="AH6" s="135" t="str">
        <f>[1]!thsiFinD("ths_service_start_fund",B6,100,1,101)</f>
        <v>2020-01-20</v>
      </c>
      <c r="AI6" s="136" t="str">
        <f>[1]!thsiFinD("ths_fund_establishment_date_fund",B6)</f>
        <v>2020-01-20</v>
      </c>
      <c r="AJ6" s="120" t="str">
        <f>[1]!thsiFinD("ths_fund_basement_fund",B6,1)</f>
        <v>000905.SH</v>
      </c>
    </row>
    <row r="7" spans="1:37">
      <c r="A7" s="37" t="s">
        <v>275</v>
      </c>
      <c r="B7" s="128" t="s">
        <v>276</v>
      </c>
      <c r="C7" s="129" t="s">
        <v>277</v>
      </c>
      <c r="D7" s="128" t="str">
        <f>[1]!thsiFinD("ths_fund_manager_current_fund",B7)</f>
        <v>杨超</v>
      </c>
      <c r="E7" s="130" t="str">
        <f t="shared" si="1"/>
        <v>2019-08-12</v>
      </c>
      <c r="F7" s="131">
        <f t="shared" si="0"/>
        <v>-2.5323246955308999E-2</v>
      </c>
      <c r="G7" s="131">
        <f t="shared" si="0"/>
        <v>0.10063007391252</v>
      </c>
      <c r="H7" s="131">
        <f t="shared" si="0"/>
        <v>0.12796473363964</v>
      </c>
      <c r="I7" s="131">
        <f t="shared" si="0"/>
        <v>0.51555852173187999</v>
      </c>
      <c r="J7" s="131">
        <f t="shared" si="0"/>
        <v>0.69785046728972011</v>
      </c>
      <c r="K7" s="131">
        <f t="shared" si="0"/>
        <v>0.50389072847682004</v>
      </c>
      <c r="L7" s="131">
        <f t="shared" si="2"/>
        <v>8.9862165355679258E-2</v>
      </c>
      <c r="M7" s="131">
        <f t="shared" si="3"/>
        <v>7.0754928664813255E-2</v>
      </c>
      <c r="N7" s="131">
        <f t="shared" si="4"/>
        <v>5.1837152328210401E-2</v>
      </c>
      <c r="O7" s="132">
        <f t="shared" si="5"/>
        <v>3.1065974880195659</v>
      </c>
      <c r="P7" s="132">
        <f t="shared" si="6"/>
        <v>2.2015810883716593</v>
      </c>
      <c r="Q7" s="132">
        <f t="shared" si="7"/>
        <v>1.6032551478923367</v>
      </c>
      <c r="R7" s="132">
        <f>[1]!thsiFinD("ths_adjustment_nvg_ratio_fund",$B7,R$1,R$2,101)</f>
        <v>-2.5323246955309</v>
      </c>
      <c r="S7" s="132">
        <f>[1]!thsiFinD("ths_adjustment_nvg_ratio_fund",$B7,S$1,S$2,101)</f>
        <v>10.063007391252</v>
      </c>
      <c r="T7" s="133">
        <f>[1]!thsiFinD("ths_adjustment_nvg_ratio_fund",$B7,T$1,T$2,101)</f>
        <v>12.796473363963999</v>
      </c>
      <c r="U7" s="132">
        <f>[1]!thsiFinD("ths_adjustment_nvg_ratio_fund",$B7,U$1,U$2,101)</f>
        <v>51.555852173188001</v>
      </c>
      <c r="V7" s="132">
        <f>[1]!thsiFinD("ths_adjustment_nvg_ratio_fund",$B7,V$1,V$2,101)</f>
        <v>69.785046728972006</v>
      </c>
      <c r="W7" s="132">
        <f>[1]!thsiFinD("ths_adjustment_nvg_ratio_fund",$B7,W$1,W$2,101)</f>
        <v>50.389072847682002</v>
      </c>
      <c r="X7" s="133">
        <f>[1]!thsiFinD("ths_adjustment_nvg_ratio_fund",$B7,X$1,X$2,101)</f>
        <v>37.905642606388</v>
      </c>
      <c r="Y7" s="133">
        <f>[1]!thsiFinD("ths_adjustment_nvg_ratio_fund",$B7,Y$1,Y$2,101)</f>
        <v>10.764415781486999</v>
      </c>
      <c r="Z7" s="133">
        <f>[1]!thsiFinD("ths_adjustment_nvg_ratio_fund",$B7,Z$1,Z$2,101)</f>
        <v>-9.1817398794142999</v>
      </c>
      <c r="AA7" s="133">
        <f>[1]!thsiFinD("ths_adjustment_nvg_ratio_fund",$B7,AA$1,AA$2,101)</f>
        <v>-19.892361829849001</v>
      </c>
      <c r="AB7" s="134">
        <f>(1+([1]!thsiFinD("ths_adjustment_nvg_ratio_fund",$B7,AB$1,AB$2,101)-[1]!thsiFinD("ths_int_chg_ratio_index",$AJ7,AB$1,AB$2,101))/100)^(365/(AB$2-AB$1))-1</f>
        <v>8.9862165355679258E-2</v>
      </c>
      <c r="AC7" s="134">
        <f>[1]!thsiFinD("ths_tracking_error_annual_fund",$B7,AC$1,AC$2,100,101,$AJ7)/100</f>
        <v>2.8926233830494003E-2</v>
      </c>
      <c r="AD7" s="134">
        <f>(1+([1]!thsiFinD("ths_adjustment_nvg_ratio_fund",$B7,AD$1,AD$2,101)-[1]!thsiFinD("ths_int_chg_ratio_index",$AJ7,AD$1,AD$2,101))/100)^(365/(AD$2-AD$1))-1</f>
        <v>7.0754928664813255E-2</v>
      </c>
      <c r="AE7" s="134">
        <f>[1]!thsiFinD("ths_tracking_error_annual_fund",$B7,AE$1,AE$2,100,101,$AJ7)/100</f>
        <v>3.2138234216549003E-2</v>
      </c>
      <c r="AF7" s="134">
        <f>(1+([1]!thsiFinD("ths_adjustment_nvg_ratio_fund",$B7,AF$1,AF$2,101)-[1]!thsiFinD("ths_int_chg_ratio_index",$AJ7,AF$1,AF$2,101))/100)^(365/(AF$2-AF$1))-1</f>
        <v>5.1837152328210401E-2</v>
      </c>
      <c r="AG7" s="134">
        <f>[1]!thsiFinD("ths_tracking_error_annual_fund",$B7,AG$1,AG$2,100,101,$AJ7)/100</f>
        <v>3.2332440907086001E-2</v>
      </c>
      <c r="AH7" s="135" t="str">
        <f>[1]!thsiFinD("ths_service_start_fund",B7,100,1,101)</f>
        <v>2019-08-12</v>
      </c>
      <c r="AI7" s="136" t="str">
        <f>[1]!thsiFinD("ths_fund_establishment_date_fund",B7)</f>
        <v>2019-08-12</v>
      </c>
      <c r="AJ7" s="120" t="str">
        <f>[1]!thsiFinD("ths_fund_basement_fund",B7,1)</f>
        <v>000905.SH</v>
      </c>
    </row>
    <row r="8" spans="1:37">
      <c r="A8" s="37" t="s">
        <v>268</v>
      </c>
      <c r="B8" s="128" t="s">
        <v>278</v>
      </c>
      <c r="C8" s="129" t="s">
        <v>279</v>
      </c>
      <c r="D8" s="128" t="str">
        <f>[1]!thsiFinD("ths_fund_manager_current_fund",B8)</f>
        <v>杨梦</v>
      </c>
      <c r="E8" s="130" t="str">
        <f t="shared" si="1"/>
        <v>2019-01-03</v>
      </c>
      <c r="F8" s="131">
        <f t="shared" si="0"/>
        <v>-1.4536991101678999E-2</v>
      </c>
      <c r="G8" s="131">
        <f t="shared" si="0"/>
        <v>9.8362747182879989E-2</v>
      </c>
      <c r="H8" s="131">
        <f t="shared" si="0"/>
        <v>0.11414028126659</v>
      </c>
      <c r="I8" s="131">
        <f t="shared" si="0"/>
        <v>0.44298564164589999</v>
      </c>
      <c r="J8" s="131">
        <f t="shared" si="0"/>
        <v>0.69831667545162002</v>
      </c>
      <c r="K8" s="131">
        <f t="shared" si="0"/>
        <v>0.58602605518463002</v>
      </c>
      <c r="L8" s="131">
        <f t="shared" si="2"/>
        <v>1.8117187721063299E-2</v>
      </c>
      <c r="M8" s="131">
        <f t="shared" si="3"/>
        <v>7.0970923914995154E-2</v>
      </c>
      <c r="N8" s="131">
        <f t="shared" si="4"/>
        <v>7.5870311879914887E-2</v>
      </c>
      <c r="O8" s="132">
        <f t="shared" si="5"/>
        <v>0.46755966995150849</v>
      </c>
      <c r="P8" s="132">
        <f t="shared" si="6"/>
        <v>1.3237360784887224</v>
      </c>
      <c r="Q8" s="132">
        <f t="shared" si="7"/>
        <v>1.4113580143465705</v>
      </c>
      <c r="R8" s="132">
        <f>[1]!thsiFinD("ths_adjustment_nvg_ratio_fund",$B8,R$1,R$2,101)</f>
        <v>-1.4536991101679</v>
      </c>
      <c r="S8" s="132">
        <f>[1]!thsiFinD("ths_adjustment_nvg_ratio_fund",$B8,S$1,S$2,101)</f>
        <v>9.8362747182879993</v>
      </c>
      <c r="T8" s="133">
        <f>[1]!thsiFinD("ths_adjustment_nvg_ratio_fund",$B8,T$1,T$2,101)</f>
        <v>11.414028126659</v>
      </c>
      <c r="U8" s="132">
        <f>[1]!thsiFinD("ths_adjustment_nvg_ratio_fund",$B8,U$1,U$2,101)</f>
        <v>44.298564164589997</v>
      </c>
      <c r="V8" s="132">
        <f>[1]!thsiFinD("ths_adjustment_nvg_ratio_fund",$B8,V$1,V$2,101)</f>
        <v>69.831667545162006</v>
      </c>
      <c r="W8" s="132">
        <f>[1]!thsiFinD("ths_adjustment_nvg_ratio_fund",$B8,W$1,W$2,101)</f>
        <v>58.602605518463001</v>
      </c>
      <c r="X8" s="133">
        <f>[1]!thsiFinD("ths_adjustment_nvg_ratio_fund",$B8,X$1,X$2,101)</f>
        <v>36.452998995618003</v>
      </c>
      <c r="Y8" s="133">
        <f>[1]!thsiFinD("ths_adjustment_nvg_ratio_fund",$B8,Y$1,Y$2,101)</f>
        <v>11.924369198303999</v>
      </c>
      <c r="Z8" s="133">
        <f>[1]!thsiFinD("ths_adjustment_nvg_ratio_fund",$B8,Z$1,Z$2,101)</f>
        <v>-5.6288034069270996</v>
      </c>
      <c r="AA8" s="133">
        <f>[1]!thsiFinD("ths_adjustment_nvg_ratio_fund",$B8,AA$1,AA$2,101)</f>
        <v>-19.748049850415001</v>
      </c>
      <c r="AB8" s="134">
        <f>(1+([1]!thsiFinD("ths_adjustment_nvg_ratio_fund",$B8,AB$1,AB$2,101)-[1]!thsiFinD("ths_int_chg_ratio_index",$AJ8,AB$1,AB$2,101))/100)^(365/(AB$2-AB$1))-1</f>
        <v>1.8117187721063299E-2</v>
      </c>
      <c r="AC8" s="134">
        <f>[1]!thsiFinD("ths_tracking_error_annual_fund",$B8,AC$1,AC$2,100,101,$AJ8)/100</f>
        <v>3.8748397018378997E-2</v>
      </c>
      <c r="AD8" s="134">
        <f>(1+([1]!thsiFinD("ths_adjustment_nvg_ratio_fund",$B8,AD$1,AD$2,101)-[1]!thsiFinD("ths_int_chg_ratio_index",$AJ8,AD$1,AD$2,101))/100)^(365/(AD$2-AD$1))-1</f>
        <v>7.0970923914995154E-2</v>
      </c>
      <c r="AE8" s="134">
        <f>[1]!thsiFinD("ths_tracking_error_annual_fund",$B8,AE$1,AE$2,100,101,$AJ8)/100</f>
        <v>5.3614104101492005E-2</v>
      </c>
      <c r="AF8" s="134">
        <f>(1+([1]!thsiFinD("ths_adjustment_nvg_ratio_fund",$B8,AF$1,AF$2,101)-[1]!thsiFinD("ths_int_chg_ratio_index",$AJ8,AF$1,AF$2,101))/100)^(365/(AF$2-AF$1))-1</f>
        <v>7.5870311879914887E-2</v>
      </c>
      <c r="AG8" s="134">
        <f>[1]!thsiFinD("ths_tracking_error_annual_fund",$B8,AG$1,AG$2,100,101,$AJ8)/100</f>
        <v>5.3756956851973001E-2</v>
      </c>
      <c r="AH8" s="135" t="str">
        <f>[1]!thsiFinD("ths_service_start_fund",B8,100,1,101)</f>
        <v>2019-01-03</v>
      </c>
      <c r="AI8" s="136" t="str">
        <f>[1]!thsiFinD("ths_fund_establishment_date_fund",B8)</f>
        <v>2019-01-03</v>
      </c>
      <c r="AJ8" s="120" t="str">
        <f>[1]!thsiFinD("ths_fund_basement_fund",B8,1)</f>
        <v>000905.SH</v>
      </c>
    </row>
    <row r="9" spans="1:37" s="150" customFormat="1" hidden="1">
      <c r="A9" s="3" t="s">
        <v>268</v>
      </c>
      <c r="B9" s="142" t="s">
        <v>280</v>
      </c>
      <c r="C9" s="143" t="s">
        <v>281</v>
      </c>
      <c r="D9" s="142" t="str">
        <f>[1]!thsiFinD("ths_fund_manager_current_fund",B9)</f>
        <v>乔亮</v>
      </c>
      <c r="E9" s="144" t="str">
        <f>AI9</f>
        <v>2019-05-23</v>
      </c>
      <c r="F9" s="145">
        <f t="shared" si="0"/>
        <v>-1.2024593295365999E-2</v>
      </c>
      <c r="G9" s="145">
        <f t="shared" si="0"/>
        <v>0.12705604868445</v>
      </c>
      <c r="H9" s="145">
        <f t="shared" si="0"/>
        <v>0.17716155593791999</v>
      </c>
      <c r="I9" s="145">
        <f t="shared" si="0"/>
        <v>0.56654394513745998</v>
      </c>
      <c r="J9" s="145">
        <f t="shared" si="0"/>
        <v>0.72994877467920005</v>
      </c>
      <c r="K9" s="145">
        <f t="shared" si="0"/>
        <v>0.49542584474156004</v>
      </c>
      <c r="L9" s="145">
        <f>AB9</f>
        <v>0.14023479707577824</v>
      </c>
      <c r="M9" s="145">
        <f>AD9</f>
        <v>8.5524401107218262E-2</v>
      </c>
      <c r="N9" s="145">
        <f>AF9</f>
        <v>4.9296608187401336E-2</v>
      </c>
      <c r="O9" s="146">
        <f>AB9/AC9</f>
        <v>3.061591619532265</v>
      </c>
      <c r="P9" s="146">
        <f>AD9/AE9</f>
        <v>1.9642583704863683</v>
      </c>
      <c r="Q9" s="146">
        <f>AF9/AG9</f>
        <v>1.173265288798816</v>
      </c>
      <c r="R9" s="146">
        <f>[1]!thsiFinD("ths_adjustment_nvg_ratio_fund",$B9,R$1,R$2,101)</f>
        <v>-1.2024593295366</v>
      </c>
      <c r="S9" s="146">
        <f>[1]!thsiFinD("ths_adjustment_nvg_ratio_fund",$B9,S$1,S$2,101)</f>
        <v>12.705604868445</v>
      </c>
      <c r="T9" s="102">
        <f>[1]!thsiFinD("ths_adjustment_nvg_ratio_fund",$B9,T$1,T$2,101)</f>
        <v>17.716155593791999</v>
      </c>
      <c r="U9" s="146">
        <f>[1]!thsiFinD("ths_adjustment_nvg_ratio_fund",$B9,U$1,U$2,101)</f>
        <v>56.654394513745999</v>
      </c>
      <c r="V9" s="146">
        <f>[1]!thsiFinD("ths_adjustment_nvg_ratio_fund",$B9,V$1,V$2,101)</f>
        <v>72.994877467920006</v>
      </c>
      <c r="W9" s="146">
        <f>[1]!thsiFinD("ths_adjustment_nvg_ratio_fund",$B9,W$1,W$2,101)</f>
        <v>49.542584474156001</v>
      </c>
      <c r="X9" s="102">
        <f>[1]!thsiFinD("ths_adjustment_nvg_ratio_fund",$B9,X$1,X$2,101)</f>
        <v>38.746087375705002</v>
      </c>
      <c r="Y9" s="102">
        <f>[1]!thsiFinD("ths_adjustment_nvg_ratio_fund",$B9,Y$1,Y$2,101)</f>
        <v>3.9715681947611001</v>
      </c>
      <c r="Z9" s="102">
        <f>[1]!thsiFinD("ths_adjustment_nvg_ratio_fund",$B9,Z$1,Z$2,101)</f>
        <v>-6.4088453734897</v>
      </c>
      <c r="AA9" s="102">
        <f>[1]!thsiFinD("ths_adjustment_nvg_ratio_fund",$B9,AA$1,AA$2,101)</f>
        <v>-10.434345702935</v>
      </c>
      <c r="AB9" s="147">
        <f>(1+([1]!thsiFinD("ths_adjustment_nvg_ratio_fund",$B9,AB$1,AB$2,101)-[1]!thsiFinD("ths_int_chg_ratio_index",$AJ9,AB$1,AB$2,101))/100)^(365/(AB$2-AB$1))-1</f>
        <v>0.14023479707577824</v>
      </c>
      <c r="AC9" s="147">
        <f>[1]!thsiFinD("ths_tracking_error_annual_fund",$B9,AC$1,AC$2,100,101,$AJ9)/100</f>
        <v>4.5804540416531002E-2</v>
      </c>
      <c r="AD9" s="147">
        <f>(1+([1]!thsiFinD("ths_adjustment_nvg_ratio_fund",$B9,AD$1,AD$2,101)-[1]!thsiFinD("ths_int_chg_ratio_index",$AJ9,AD$1,AD$2,101))/100)^(365/(AD$2-AD$1))-1</f>
        <v>8.5524401107218262E-2</v>
      </c>
      <c r="AE9" s="147">
        <f>[1]!thsiFinD("ths_tracking_error_annual_fund",$B9,AE$1,AE$2,100,101,$AJ9)/100</f>
        <v>4.3540301211007E-2</v>
      </c>
      <c r="AF9" s="147">
        <f>(1+([1]!thsiFinD("ths_adjustment_nvg_ratio_fund",$B9,AF$1,AF$2,101)-[1]!thsiFinD("ths_int_chg_ratio_index",$AJ9,AF$1,AF$2,101))/100)^(365/(AF$2-AF$1))-1</f>
        <v>4.9296608187401336E-2</v>
      </c>
      <c r="AG9" s="147">
        <f>[1]!thsiFinD("ths_tracking_error_annual_fund",$B9,AG$1,AG$2,100,101,$AJ9)/100</f>
        <v>4.2016591352388E-2</v>
      </c>
      <c r="AH9" s="148" t="str">
        <f>[1]!thsiFinD("ths_service_start_fund",B9,100,1,101)</f>
        <v>2019-09-06</v>
      </c>
      <c r="AI9" s="149" t="str">
        <f>[1]!thsiFinD("ths_fund_establishment_date_fund",B9)</f>
        <v>2019-05-23</v>
      </c>
      <c r="AJ9" s="3" t="str">
        <f>[1]!thsiFinD("ths_fund_basement_fund",B9,1)</f>
        <v>000905.SH</v>
      </c>
      <c r="AK9" s="9"/>
    </row>
    <row r="10" spans="1:37" s="150" customFormat="1" hidden="1">
      <c r="A10" s="3" t="s">
        <v>282</v>
      </c>
      <c r="B10" s="142" t="s">
        <v>283</v>
      </c>
      <c r="C10" s="143" t="s">
        <v>284</v>
      </c>
      <c r="D10" s="142" t="str">
        <f>[1]!thsiFinD("ths_fund_manager_current_fund",B10)</f>
        <v>宋海岸</v>
      </c>
      <c r="E10" s="144" t="str">
        <f>AI10</f>
        <v>2017-08-30</v>
      </c>
      <c r="F10" s="145">
        <f t="shared" si="0"/>
        <v>-2.7707919699978E-2</v>
      </c>
      <c r="G10" s="145">
        <f t="shared" si="0"/>
        <v>4.9281020855157003E-2</v>
      </c>
      <c r="H10" s="145">
        <f t="shared" si="0"/>
        <v>0.10766524252325001</v>
      </c>
      <c r="I10" s="145">
        <f t="shared" si="0"/>
        <v>0.51135038749057005</v>
      </c>
      <c r="J10" s="145">
        <f t="shared" si="0"/>
        <v>0.69151059256984992</v>
      </c>
      <c r="K10" s="145">
        <f t="shared" si="0"/>
        <v>0.58505358555706999</v>
      </c>
      <c r="L10" s="145">
        <f>AB10</f>
        <v>8.5703484201830049E-2</v>
      </c>
      <c r="M10" s="145">
        <f>AD10</f>
        <v>6.7813254555157521E-2</v>
      </c>
      <c r="N10" s="145">
        <f>AF10</f>
        <v>7.5592050511221975E-2</v>
      </c>
      <c r="O10" s="146">
        <f>AB10/AC10</f>
        <v>1.3072354031244688</v>
      </c>
      <c r="P10" s="146">
        <f>AD10/AE10</f>
        <v>1.1272350768492934</v>
      </c>
      <c r="Q10" s="146">
        <f>AF10/AG10</f>
        <v>1.2962889435202694</v>
      </c>
      <c r="R10" s="146">
        <f>[1]!thsiFinD("ths_adjustment_nvg_ratio_fund",$B10,R$1,R$2,101)</f>
        <v>-2.7707919699977999</v>
      </c>
      <c r="S10" s="146">
        <f>[1]!thsiFinD("ths_adjustment_nvg_ratio_fund",$B10,S$1,S$2,101)</f>
        <v>4.9281020855157003</v>
      </c>
      <c r="T10" s="102">
        <f>[1]!thsiFinD("ths_adjustment_nvg_ratio_fund",$B10,T$1,T$2,101)</f>
        <v>10.766524252325</v>
      </c>
      <c r="U10" s="146">
        <f>[1]!thsiFinD("ths_adjustment_nvg_ratio_fund",$B10,U$1,U$2,101)</f>
        <v>51.135038749057003</v>
      </c>
      <c r="V10" s="146">
        <f>[1]!thsiFinD("ths_adjustment_nvg_ratio_fund",$B10,V$1,V$2,101)</f>
        <v>69.151059256984993</v>
      </c>
      <c r="W10" s="146">
        <f>[1]!thsiFinD("ths_adjustment_nvg_ratio_fund",$B10,W$1,W$2,101)</f>
        <v>58.505358555706998</v>
      </c>
      <c r="X10" s="102">
        <f>[1]!thsiFinD("ths_adjustment_nvg_ratio_fund",$B10,X$1,X$2,101)</f>
        <v>38.380747026500998</v>
      </c>
      <c r="Y10" s="102">
        <f>[1]!thsiFinD("ths_adjustment_nvg_ratio_fund",$B10,Y$1,Y$2,101)</f>
        <v>14.239173619388</v>
      </c>
      <c r="Z10" s="102">
        <f>[1]!thsiFinD("ths_adjustment_nvg_ratio_fund",$B10,Z$1,Z$2,101)</f>
        <v>-11.072639909553001</v>
      </c>
      <c r="AA10" s="102">
        <f>[1]!thsiFinD("ths_adjustment_nvg_ratio_fund",$B10,AA$1,AA$2,101)</f>
        <v>-17.283301186509998</v>
      </c>
      <c r="AB10" s="147">
        <f>(1+([1]!thsiFinD("ths_adjustment_nvg_ratio_fund",$B10,AB$1,AB$2,101)-[1]!thsiFinD("ths_int_chg_ratio_index",$AJ10,AB$1,AB$2,101))/100)^(365/(AB$2-AB$1))-1</f>
        <v>8.5703484201830049E-2</v>
      </c>
      <c r="AC10" s="147">
        <f>[1]!thsiFinD("ths_tracking_error_annual_fund",$B10,AC$1,AC$2,100,101,$AJ10)/100</f>
        <v>6.5560865316978995E-2</v>
      </c>
      <c r="AD10" s="147">
        <f>(1+([1]!thsiFinD("ths_adjustment_nvg_ratio_fund",$B10,AD$1,AD$2,101)-[1]!thsiFinD("ths_int_chg_ratio_index",$AJ10,AD$1,AD$2,101))/100)^(365/(AD$2-AD$1))-1</f>
        <v>6.7813254555157521E-2</v>
      </c>
      <c r="AE10" s="147">
        <f>[1]!thsiFinD("ths_tracking_error_annual_fund",$B10,AE$1,AE$2,100,101,$AJ10)/100</f>
        <v>6.0158928645745E-2</v>
      </c>
      <c r="AF10" s="147">
        <f>(1+([1]!thsiFinD("ths_adjustment_nvg_ratio_fund",$B10,AF$1,AF$2,101)-[1]!thsiFinD("ths_int_chg_ratio_index",$AJ10,AF$1,AF$2,101))/100)^(365/(AF$2-AF$1))-1</f>
        <v>7.5592050511221975E-2</v>
      </c>
      <c r="AG10" s="147">
        <f>[1]!thsiFinD("ths_tracking_error_annual_fund",$B10,AG$1,AG$2,100,101,$AJ10)/100</f>
        <v>5.8314198303613E-2</v>
      </c>
      <c r="AH10" s="148" t="str">
        <f>[1]!thsiFinD("ths_service_start_fund",B10,100,1,101)</f>
        <v>2018-02-12</v>
      </c>
      <c r="AI10" s="149" t="str">
        <f>[1]!thsiFinD("ths_fund_establishment_date_fund",B10)</f>
        <v>2017-08-30</v>
      </c>
      <c r="AJ10" s="3" t="str">
        <f>[1]!thsiFinD("ths_fund_basement_fund",B10,1)</f>
        <v>000905.SH</v>
      </c>
      <c r="AK10" s="9"/>
    </row>
    <row r="11" spans="1:37" s="150" customFormat="1" hidden="1">
      <c r="A11" s="3" t="s">
        <v>285</v>
      </c>
      <c r="B11" s="142" t="s">
        <v>286</v>
      </c>
      <c r="C11" s="143" t="s">
        <v>287</v>
      </c>
      <c r="D11" s="142" t="str">
        <f>[1]!thsiFinD("ths_fund_manager_current_fund",B11)</f>
        <v>孙蒙,叶津佐</v>
      </c>
      <c r="E11" s="144" t="str">
        <f t="shared" si="1"/>
        <v>2020-03-25</v>
      </c>
      <c r="F11" s="145">
        <f t="shared" si="0"/>
        <v>-1.1147218863362E-2</v>
      </c>
      <c r="G11" s="145">
        <f t="shared" si="0"/>
        <v>6.6120752872158003E-2</v>
      </c>
      <c r="H11" s="145">
        <f t="shared" si="0"/>
        <v>8.0827688749379997E-2</v>
      </c>
      <c r="I11" s="145">
        <f t="shared" si="0"/>
        <v>0.37319620087106997</v>
      </c>
      <c r="J11" s="145">
        <f t="shared" si="0"/>
        <v>0.52402306213965</v>
      </c>
      <c r="K11" s="145">
        <f t="shared" si="0"/>
        <v>0.48594628357277003</v>
      </c>
      <c r="L11" s="145">
        <f t="shared" si="2"/>
        <v>-5.092839698200502E-2</v>
      </c>
      <c r="M11" s="145">
        <f t="shared" si="3"/>
        <v>-1.3116493266737916E-2</v>
      </c>
      <c r="N11" s="145">
        <f t="shared" si="4"/>
        <v>4.6436729229408114E-2</v>
      </c>
      <c r="O11" s="146">
        <f t="shared" si="5"/>
        <v>-0.79612682704031401</v>
      </c>
      <c r="P11" s="146">
        <f t="shared" si="6"/>
        <v>-0.21264380887201245</v>
      </c>
      <c r="Q11" s="146">
        <f t="shared" si="7"/>
        <v>0.77465571508823861</v>
      </c>
      <c r="R11" s="146">
        <f>[1]!thsiFinD("ths_adjustment_nvg_ratio_fund",$B11,R$1,R$2,101)</f>
        <v>-1.1147218863362001</v>
      </c>
      <c r="S11" s="146">
        <f>[1]!thsiFinD("ths_adjustment_nvg_ratio_fund",$B11,S$1,S$2,101)</f>
        <v>6.6120752872158004</v>
      </c>
      <c r="T11" s="102">
        <f>[1]!thsiFinD("ths_adjustment_nvg_ratio_fund",$B11,T$1,T$2,101)</f>
        <v>8.0827688749379991</v>
      </c>
      <c r="U11" s="146">
        <f>[1]!thsiFinD("ths_adjustment_nvg_ratio_fund",$B11,U$1,U$2,101)</f>
        <v>37.319620087106998</v>
      </c>
      <c r="V11" s="146">
        <f>[1]!thsiFinD("ths_adjustment_nvg_ratio_fund",$B11,V$1,V$2,101)</f>
        <v>52.402306213964998</v>
      </c>
      <c r="W11" s="146">
        <f>[1]!thsiFinD("ths_adjustment_nvg_ratio_fund",$B11,W$1,W$2,101)</f>
        <v>48.594628357277003</v>
      </c>
      <c r="X11" s="102">
        <f>[1]!thsiFinD("ths_adjustment_nvg_ratio_fund",$B11,X$1,X$2,101)</f>
        <v>31.230352303522999</v>
      </c>
      <c r="Y11" s="102">
        <f>[1]!thsiFinD("ths_adjustment_nvg_ratio_fund",$B11,Y$1,Y$2,101)</f>
        <v>9.5280498664291997</v>
      </c>
      <c r="Z11" s="102">
        <f>[1]!thsiFinD("ths_adjustment_nvg_ratio_fund",$B11,Z$1,Z$2,101)</f>
        <v>3.1789783167953001</v>
      </c>
      <c r="AA11" s="102">
        <f>[1]!thsiFinD("ths_adjustment_nvg_ratio_fund",$B11,AA$1,AA$2,101)</f>
        <v>-10.405004939085</v>
      </c>
      <c r="AB11" s="147">
        <f>(1+([1]!thsiFinD("ths_adjustment_nvg_ratio_fund",$B11,AB$1,AB$2,101)-[1]!thsiFinD("ths_int_chg_ratio_index",$AJ11,AB$1,AB$2,101))/100)^(365/(AB$2-AB$1))-1</f>
        <v>-5.092839698200502E-2</v>
      </c>
      <c r="AC11" s="147">
        <f>[1]!thsiFinD("ths_tracking_error_annual_fund",$B11,AC$1,AC$2,100,101,$AJ11)/100</f>
        <v>6.3970205816750003E-2</v>
      </c>
      <c r="AD11" s="147">
        <f>(1+([1]!thsiFinD("ths_adjustment_nvg_ratio_fund",$B11,AD$1,AD$2,101)-[1]!thsiFinD("ths_int_chg_ratio_index",$AJ11,AD$1,AD$2,101))/100)^(365/(AD$2-AD$1))-1</f>
        <v>-1.3116493266737916E-2</v>
      </c>
      <c r="AE11" s="147">
        <f>[1]!thsiFinD("ths_tracking_error_annual_fund",$B11,AE$1,AE$2,100,101,$AJ11)/100</f>
        <v>6.1682930419256002E-2</v>
      </c>
      <c r="AF11" s="147">
        <f>(1+([1]!thsiFinD("ths_adjustment_nvg_ratio_fund",$B11,AF$1,AF$2,101)-[1]!thsiFinD("ths_int_chg_ratio_index",$AJ11,AF$1,AF$2,101))/100)^(365/(AF$2-AF$1))-1</f>
        <v>4.6436729229408114E-2</v>
      </c>
      <c r="AG11" s="147">
        <f>[1]!thsiFinD("ths_tracking_error_annual_fund",$B11,AG$1,AG$2,100,101,$AJ11)/100</f>
        <v>5.9944990174272003E-2</v>
      </c>
      <c r="AH11" s="148" t="str">
        <f>[1]!thsiFinD("ths_service_start_fund",B11,100,1,101)</f>
        <v>2020-04-17</v>
      </c>
      <c r="AI11" s="149" t="str">
        <f>[1]!thsiFinD("ths_fund_establishment_date_fund",B11)</f>
        <v>2020-03-25</v>
      </c>
      <c r="AJ11" s="3" t="str">
        <f>[1]!thsiFinD("ths_fund_basement_fund",B11,1)</f>
        <v>000905.SH</v>
      </c>
      <c r="AK11" s="9"/>
    </row>
    <row r="12" spans="1:37">
      <c r="B12" s="120" t="s">
        <v>288</v>
      </c>
      <c r="C12" s="119" t="s">
        <v>289</v>
      </c>
      <c r="F12" s="145">
        <f t="shared" si="0"/>
        <v>-2.1936693889950998E-2</v>
      </c>
      <c r="G12" s="145">
        <f t="shared" si="0"/>
        <v>7.3365940400451995E-2</v>
      </c>
      <c r="H12" s="145">
        <f t="shared" si="0"/>
        <v>9.5184145380271007E-2</v>
      </c>
      <c r="I12" s="145">
        <f t="shared" si="0"/>
        <v>0.42466810192106996</v>
      </c>
      <c r="J12" s="145">
        <f t="shared" si="0"/>
        <v>0.55026014355862007</v>
      </c>
      <c r="K12" s="145">
        <f t="shared" si="0"/>
        <v>0.33921153447408997</v>
      </c>
      <c r="L12" s="151"/>
      <c r="M12" s="151"/>
      <c r="N12" s="151"/>
      <c r="O12" s="151"/>
      <c r="P12" s="151"/>
      <c r="Q12" s="146"/>
      <c r="R12" s="151">
        <f>[1]!thsiFinD("ths_int_chg_ratio_index",$B12,R$1,R$2,101)</f>
        <v>-2.1936693889951</v>
      </c>
      <c r="S12" s="151">
        <f>[1]!thsiFinD("ths_int_chg_ratio_index",$B12,S$1,S$2,101)</f>
        <v>7.3365940400451999</v>
      </c>
      <c r="T12" s="151">
        <f>[1]!thsiFinD("ths_int_chg_ratio_index",$B12,T$1,T$2,101)</f>
        <v>9.5184145380271001</v>
      </c>
      <c r="U12" s="151">
        <f>[1]!thsiFinD("ths_int_chg_ratio_index",$B12,U$1,U$2,101)</f>
        <v>42.466810192106998</v>
      </c>
      <c r="V12" s="151">
        <f>[1]!thsiFinD("ths_int_chg_ratio_index",$B12,V$1,V$2,101)</f>
        <v>55.026014355862003</v>
      </c>
      <c r="W12" s="151">
        <f>[1]!thsiFinD("ths_int_chg_ratio_index",$B12,W$1,W$2,101)</f>
        <v>33.921153447408997</v>
      </c>
      <c r="X12" s="151">
        <f>[1]!thsiFinD("ths_int_chg_ratio_index",$B12,X$1,X$2,101)</f>
        <v>30.386362450330001</v>
      </c>
      <c r="Y12" s="151">
        <f>[1]!thsiFinD("ths_int_chg_ratio_index",$B12,Y$1,Y$2,101)</f>
        <v>5.4612470927730996</v>
      </c>
      <c r="Z12" s="151">
        <f>[1]!thsiFinD("ths_int_chg_ratio_index",$B12,Z$1,Z$2,101)</f>
        <v>-7.4216140600946998</v>
      </c>
      <c r="AA12" s="151">
        <f>[1]!thsiFinD("ths_int_chg_ratio_index",$B12,AA$1,AA$2,101)</f>
        <v>-20.313272990752999</v>
      </c>
      <c r="AJ12" s="151">
        <f>[1]!thsiFinD("ths_int_chg_ratio_index",$B12,AJ$1,AJ$2,101)</f>
        <v>0</v>
      </c>
    </row>
    <row r="13" spans="1:37" s="163" customFormat="1">
      <c r="A13" s="152" t="s">
        <v>290</v>
      </c>
      <c r="B13" s="153" t="s">
        <v>291</v>
      </c>
      <c r="C13" s="154" t="s">
        <v>292</v>
      </c>
      <c r="D13" s="153" t="str">
        <f>[1]!thsiFinD("ths_fund_manager_current_fund",B13)</f>
        <v>胡崇海,刘晟</v>
      </c>
      <c r="E13" s="155" t="str">
        <f>AI13</f>
        <v>2022-08-16</v>
      </c>
      <c r="F13" s="156">
        <f t="shared" si="0"/>
        <v>-2.4206815511162997E-2</v>
      </c>
      <c r="G13" s="156">
        <f t="shared" si="0"/>
        <v>9.4864526336607996E-2</v>
      </c>
      <c r="H13" s="156">
        <f t="shared" si="0"/>
        <v>0.12299682196226999</v>
      </c>
      <c r="I13" s="156">
        <f t="shared" si="0"/>
        <v>0.45339984247834003</v>
      </c>
      <c r="J13" s="156">
        <f t="shared" si="0"/>
        <v>0.89006486855582001</v>
      </c>
      <c r="K13" s="156">
        <f t="shared" si="0"/>
        <v>0.66830738322451</v>
      </c>
      <c r="L13" s="156">
        <f t="shared" ref="L13:L22" si="8">AB13</f>
        <v>9.3764815700589921E-2</v>
      </c>
      <c r="M13" s="156">
        <f t="shared" ref="M13:M22" si="9">AD13</f>
        <v>0.14607021838307288</v>
      </c>
      <c r="N13" s="156">
        <f t="shared" ref="N13:N22" si="10">AF13</f>
        <v>0.12140938734244644</v>
      </c>
      <c r="O13" s="157">
        <f t="shared" ref="O13:O22" si="11">AB13/AC13</f>
        <v>2.9994515564714703</v>
      </c>
      <c r="P13" s="157">
        <f t="shared" ref="P13:P22" si="12">AD13/AE13</f>
        <v>4.1219759704804879</v>
      </c>
      <c r="Q13" s="157">
        <f t="shared" ref="Q13:Q22" si="13">AF13/AG13</f>
        <v>3.5154297694324868</v>
      </c>
      <c r="R13" s="157">
        <f>[1]!thsiFinD("ths_adjustment_nvg_ratio_fund",$B13,R$1,R$2,101)</f>
        <v>-2.4206815511162998</v>
      </c>
      <c r="S13" s="157">
        <f>[1]!thsiFinD("ths_adjustment_nvg_ratio_fund",$B13,S$1,S$2,101)</f>
        <v>9.4864526336608002</v>
      </c>
      <c r="T13" s="158">
        <f>[1]!thsiFinD("ths_adjustment_nvg_ratio_fund",$B13,T$1,T$2,101)</f>
        <v>12.299682196227</v>
      </c>
      <c r="U13" s="157">
        <f>[1]!thsiFinD("ths_adjustment_nvg_ratio_fund",$B13,U$1,U$2,101)</f>
        <v>45.339984247834003</v>
      </c>
      <c r="V13" s="157">
        <f>[1]!thsiFinD("ths_adjustment_nvg_ratio_fund",$B13,V$1,V$2,101)</f>
        <v>89.006486855581997</v>
      </c>
      <c r="W13" s="157">
        <f>[1]!thsiFinD("ths_adjustment_nvg_ratio_fund",$B13,W$1,W$2,101)</f>
        <v>66.830738322450998</v>
      </c>
      <c r="X13" s="158">
        <f>[1]!thsiFinD("ths_adjustment_nvg_ratio_fund",$B13,X$1,X$2,101)</f>
        <v>40.313092979126999</v>
      </c>
      <c r="Y13" s="158">
        <f>[1]!thsiFinD("ths_adjustment_nvg_ratio_fund",$B13,Y$1,Y$2,101)</f>
        <v>13.540881180653001</v>
      </c>
      <c r="Z13" s="158"/>
      <c r="AA13" s="158"/>
      <c r="AB13" s="159">
        <f>(1+([1]!thsiFinD("ths_adjustment_nvg_ratio_fund",$B13,AB$1,AB$2,101)-[1]!thsiFinD("ths_int_chg_ratio_index",$AJ13,AB$1,AB$2,101))/100)^(365/(AB$2-AB$1))-1</f>
        <v>9.3764815700589921E-2</v>
      </c>
      <c r="AC13" s="159">
        <f>[1]!thsiFinD("ths_tracking_error_annual_fund",$B13,AC$1,AC$2,100,101,$AJ13)/100</f>
        <v>3.1260653467894001E-2</v>
      </c>
      <c r="AD13" s="159">
        <f>(1+([1]!thsiFinD("ths_adjustment_nvg_ratio_fund",$B13,AD$1,AD$2,101)-[1]!thsiFinD("ths_int_chg_ratio_index",$AJ13,AD$1,AD$2,101))/100)^(365/(AD$2-AD$1))-1</f>
        <v>0.14607021838307288</v>
      </c>
      <c r="AE13" s="159">
        <f>[1]!thsiFinD("ths_tracking_error_annual_fund",$B13,AE$1,AE$2,100,101,$AJ13)/100</f>
        <v>3.5436940784991003E-2</v>
      </c>
      <c r="AF13" s="159">
        <f>(1+([1]!thsiFinD("ths_adjustment_nvg_ratio_fund",$B13,AF$1,AF$2,101)-[1]!thsiFinD("ths_int_chg_ratio_index",$AJ13,AF$1,AF$2,101))/100)^(365/(AF$2-AF$1))-1</f>
        <v>0.12140938734244644</v>
      </c>
      <c r="AG13" s="159">
        <f>[1]!thsiFinD("ths_tracking_error_annual_fund",$B13,AG$1,AG$2,100,101,$AJ13)/100</f>
        <v>3.4536143602734E-2</v>
      </c>
      <c r="AH13" s="160" t="str">
        <f>[1]!thsiFinD("ths_service_start_fund",B13,100,1,101)</f>
        <v>2024-08-21</v>
      </c>
      <c r="AI13" s="161" t="str">
        <f>[1]!thsiFinD("ths_fund_establishment_date_fund",B13)</f>
        <v>2022-08-16</v>
      </c>
      <c r="AJ13" s="152" t="str">
        <f>[1]!thsiFinD("ths_fund_basement_fund",B13,1)</f>
        <v>000852.SH</v>
      </c>
      <c r="AK13" s="162"/>
    </row>
    <row r="14" spans="1:37" s="163" customFormat="1">
      <c r="A14" s="152" t="s">
        <v>293</v>
      </c>
      <c r="B14" s="153" t="s">
        <v>294</v>
      </c>
      <c r="C14" s="154" t="s">
        <v>295</v>
      </c>
      <c r="D14" s="153" t="str">
        <f>[1]!thsiFinD("ths_fund_manager_current_fund",B14)</f>
        <v>许一尊,王星星</v>
      </c>
      <c r="E14" s="155" t="str">
        <f t="shared" ref="E14:E22" si="14">AI14</f>
        <v>2023-05-19</v>
      </c>
      <c r="F14" s="156">
        <f t="shared" si="0"/>
        <v>-1.808557565064E-2</v>
      </c>
      <c r="G14" s="156">
        <f t="shared" si="0"/>
        <v>8.6052326645117999E-2</v>
      </c>
      <c r="H14" s="156">
        <f t="shared" si="0"/>
        <v>0.15284521266265</v>
      </c>
      <c r="I14" s="156">
        <f t="shared" si="0"/>
        <v>0.52309271296613002</v>
      </c>
      <c r="J14" s="156">
        <f t="shared" si="0"/>
        <v>0.97493623156260001</v>
      </c>
      <c r="K14" s="156">
        <f t="shared" si="0"/>
        <v>0.78044391121776002</v>
      </c>
      <c r="L14" s="156">
        <f t="shared" si="8"/>
        <v>0.1626112635481336</v>
      </c>
      <c r="M14" s="156">
        <f t="shared" si="9"/>
        <v>0.1821994742118298</v>
      </c>
      <c r="N14" s="156">
        <f t="shared" si="10"/>
        <v>0.15016521475884592</v>
      </c>
      <c r="O14" s="157">
        <f t="shared" si="11"/>
        <v>3.9294909437412793</v>
      </c>
      <c r="P14" s="157">
        <f t="shared" si="12"/>
        <v>3.5782772335510722</v>
      </c>
      <c r="Q14" s="157">
        <f t="shared" si="13"/>
        <v>2.6071193909605985</v>
      </c>
      <c r="R14" s="157">
        <f>[1]!thsiFinD("ths_adjustment_nvg_ratio_fund",$B14,R$1,R$2,101)</f>
        <v>-1.808557565064</v>
      </c>
      <c r="S14" s="157">
        <f>[1]!thsiFinD("ths_adjustment_nvg_ratio_fund",$B14,S$1,S$2,101)</f>
        <v>8.6052326645117994</v>
      </c>
      <c r="T14" s="158">
        <f>[1]!thsiFinD("ths_adjustment_nvg_ratio_fund",$B14,T$1,T$2,101)</f>
        <v>15.284521266264999</v>
      </c>
      <c r="U14" s="157">
        <f>[1]!thsiFinD("ths_adjustment_nvg_ratio_fund",$B14,U$1,U$2,101)</f>
        <v>52.309271296612998</v>
      </c>
      <c r="V14" s="157">
        <f>[1]!thsiFinD("ths_adjustment_nvg_ratio_fund",$B14,V$1,V$2,101)</f>
        <v>97.49362315626</v>
      </c>
      <c r="W14" s="157">
        <f>[1]!thsiFinD("ths_adjustment_nvg_ratio_fund",$B14,W$1,W$2,101)</f>
        <v>78.044391121776002</v>
      </c>
      <c r="X14" s="158">
        <f>[1]!thsiFinD("ths_adjustment_nvg_ratio_fund",$B14,X$1,X$2,101)</f>
        <v>47.142312821490002</v>
      </c>
      <c r="Y14" s="158">
        <f>[1]!thsiFinD("ths_adjustment_nvg_ratio_fund",$B14,Y$1,Y$2,101)</f>
        <v>4.2088544768712</v>
      </c>
      <c r="Z14" s="158">
        <f>[1]!thsiFinD("ths_adjustment_nvg_ratio_fund",$B14,Z$1,Z$2,101)</f>
        <v>0</v>
      </c>
      <c r="AA14" s="158">
        <f>[1]!thsiFinD("ths_adjustment_nvg_ratio_fund",$B14,AA$1,AA$2,101)</f>
        <v>0</v>
      </c>
      <c r="AB14" s="159">
        <f>(1+([1]!thsiFinD("ths_adjustment_nvg_ratio_fund",$B14,AB$1,AB$2,101)-[1]!thsiFinD("ths_int_chg_ratio_index",$AJ14,AB$1,AB$2,101))/100)^(365/(AB$2-AB$1))-1</f>
        <v>0.1626112635481336</v>
      </c>
      <c r="AC14" s="159">
        <f>[1]!thsiFinD("ths_tracking_error_annual_fund",$B14,AC$1,AC$2,100,101,$AJ14)/100</f>
        <v>4.1382272125384E-2</v>
      </c>
      <c r="AD14" s="159">
        <f>(1+([1]!thsiFinD("ths_adjustment_nvg_ratio_fund",$B14,AD$1,AD$2,101)-[1]!thsiFinD("ths_int_chg_ratio_index",$AJ14,AD$1,AD$2,101))/100)^(365/(AD$2-AD$1))-1</f>
        <v>0.1821994742118298</v>
      </c>
      <c r="AE14" s="159">
        <f>[1]!thsiFinD("ths_tracking_error_annual_fund",$B14,AE$1,AE$2,100,101,$AJ14)/100</f>
        <v>5.0918210725393001E-2</v>
      </c>
      <c r="AF14" s="159">
        <f>(1+([1]!thsiFinD("ths_adjustment_nvg_ratio_fund",$B14,AF$1,AF$2,101)-[1]!thsiFinD("ths_int_chg_ratio_index",$AJ14,AF$1,AF$2,101))/100)^(365/(AF$2-AF$1))-1</f>
        <v>0.15016521475884592</v>
      </c>
      <c r="AG14" s="159">
        <f>[1]!thsiFinD("ths_tracking_error_annual_fund",$B14,AG$1,AG$2,100,101,$AJ14)/100</f>
        <v>5.7598135044946E-2</v>
      </c>
      <c r="AH14" s="160" t="str">
        <f>[1]!thsiFinD("ths_service_start_fund",B14,100,1,101)</f>
        <v>2023-06-29</v>
      </c>
      <c r="AI14" s="161" t="str">
        <f>[1]!thsiFinD("ths_fund_establishment_date_fund",B14)</f>
        <v>2023-05-19</v>
      </c>
      <c r="AJ14" s="152" t="str">
        <f>[1]!thsiFinD("ths_fund_basement_fund",B14,1)</f>
        <v>000852.SH</v>
      </c>
      <c r="AK14" s="162"/>
    </row>
    <row r="15" spans="1:37" s="163" customFormat="1">
      <c r="A15" s="152" t="s">
        <v>296</v>
      </c>
      <c r="B15" s="153" t="s">
        <v>297</v>
      </c>
      <c r="C15" s="154" t="s">
        <v>298</v>
      </c>
      <c r="D15" s="153" t="str">
        <f>[1]!thsiFinD("ths_fund_manager_current_fund",B15)</f>
        <v>笪篁</v>
      </c>
      <c r="E15" s="155" t="str">
        <f t="shared" si="14"/>
        <v>2023-09-19</v>
      </c>
      <c r="F15" s="156">
        <f t="shared" si="0"/>
        <v>-2.2362351842121E-2</v>
      </c>
      <c r="G15" s="156">
        <f t="shared" si="0"/>
        <v>0.11226252158895</v>
      </c>
      <c r="H15" s="156">
        <f t="shared" si="0"/>
        <v>0.12921499865120001</v>
      </c>
      <c r="I15" s="156">
        <f>U15/100</f>
        <v>0.49393290506781001</v>
      </c>
      <c r="J15" s="156">
        <f>V15/100</f>
        <v>0.89884327511907003</v>
      </c>
      <c r="K15" s="156">
        <f>W15/100</f>
        <v>0</v>
      </c>
      <c r="L15" s="156">
        <f>AB15</f>
        <v>0.13381119594262558</v>
      </c>
      <c r="M15" s="156">
        <f>AD15</f>
        <v>0.14986050007928209</v>
      </c>
      <c r="N15" s="156">
        <f>AF15</f>
        <v>-9.3143879738879276E-2</v>
      </c>
      <c r="O15" s="157">
        <f>AB15/AC15</f>
        <v>3.4319355915718175</v>
      </c>
      <c r="P15" s="157">
        <f>AD15/AE15</f>
        <v>3.4531150089574942</v>
      </c>
      <c r="Q15" s="157" t="e">
        <f>AF15/AG15</f>
        <v>#DIV/0!</v>
      </c>
      <c r="R15" s="157">
        <f>[1]!thsiFinD("ths_adjustment_nvg_ratio_fund",$B15,R$1,R$2,101)</f>
        <v>-2.2362351842121</v>
      </c>
      <c r="S15" s="157">
        <f>[1]!thsiFinD("ths_adjustment_nvg_ratio_fund",$B15,S$1,S$2,101)</f>
        <v>11.226252158895001</v>
      </c>
      <c r="T15" s="158">
        <f>[1]!thsiFinD("ths_adjustment_nvg_ratio_fund",$B15,T$1,T$2,101)</f>
        <v>12.921499865119999</v>
      </c>
      <c r="U15" s="157">
        <f>[1]!thsiFinD("ths_adjustment_nvg_ratio_fund",$B15,U$1,U$2,101)</f>
        <v>49.393290506781</v>
      </c>
      <c r="V15" s="157">
        <f>[1]!thsiFinD("ths_adjustment_nvg_ratio_fund",$B15,V$1,V$2,101)</f>
        <v>89.884327511907003</v>
      </c>
      <c r="W15" s="157">
        <f>[1]!thsiFinD("ths_adjustment_nvg_ratio_fund",$B15,W$1,W$2,101)</f>
        <v>0</v>
      </c>
      <c r="X15" s="158">
        <f>[1]!thsiFinD("ths_adjustment_nvg_ratio_fund",$B15,X$1,X$2,101)</f>
        <v>41.245951609830001</v>
      </c>
      <c r="Y15" s="158">
        <f>[1]!thsiFinD("ths_adjustment_nvg_ratio_fund",$B15,Y$1,Y$2,101)</f>
        <v>5.8906596731893996</v>
      </c>
      <c r="Z15" s="158">
        <f>[1]!thsiFinD("ths_adjustment_nvg_ratio_fund",$B15,Z$1,Z$2,101)</f>
        <v>0</v>
      </c>
      <c r="AA15" s="158">
        <f>[1]!thsiFinD("ths_adjustment_nvg_ratio_fund",$B15,AA$1,AA$2,101)</f>
        <v>0</v>
      </c>
      <c r="AB15" s="159">
        <f>(1+([1]!thsiFinD("ths_adjustment_nvg_ratio_fund",$B15,AB$1,AB$2,101)-[1]!thsiFinD("ths_int_chg_ratio_index",$AJ15,AB$1,AB$2,101))/100)^(365/(AB$2-AB$1))-1</f>
        <v>0.13381119594262558</v>
      </c>
      <c r="AC15" s="159">
        <f>[1]!thsiFinD("ths_tracking_error_annual_fund",$B15,AC$1,AC$2,100,101,$AJ15)/100</f>
        <v>3.8990007933493998E-2</v>
      </c>
      <c r="AD15" s="159">
        <f>(1+([1]!thsiFinD("ths_adjustment_nvg_ratio_fund",$B15,AD$1,AD$2,101)-[1]!thsiFinD("ths_int_chg_ratio_index",$AJ15,AD$1,AD$2,101))/100)^(365/(AD$2-AD$1))-1</f>
        <v>0.14986050007928209</v>
      </c>
      <c r="AE15" s="159">
        <f>[1]!thsiFinD("ths_tracking_error_annual_fund",$B15,AE$1,AE$2,100,101,$AJ15)/100</f>
        <v>4.3398641426809999E-2</v>
      </c>
      <c r="AF15" s="159">
        <f>(1+([1]!thsiFinD("ths_adjustment_nvg_ratio_fund",$B15,AF$1,AF$2,101)-[1]!thsiFinD("ths_int_chg_ratio_index",$AJ15,AF$1,AF$2,101))/100)^(365/(AF$2-AF$1))-1</f>
        <v>-9.3143879738879276E-2</v>
      </c>
      <c r="AG15" s="159">
        <f>[1]!thsiFinD("ths_tracking_error_annual_fund",$B15,AG$1,AG$2,100,101,$AJ15)/100</f>
        <v>0</v>
      </c>
      <c r="AH15" s="160" t="str">
        <f>[1]!thsiFinD("ths_service_start_fund",B15,100,1,101)</f>
        <v>2023-09-19</v>
      </c>
      <c r="AI15" s="161" t="str">
        <f>[1]!thsiFinD("ths_fund_establishment_date_fund",B15)</f>
        <v>2023-09-19</v>
      </c>
      <c r="AJ15" s="152" t="str">
        <f>[1]!thsiFinD("ths_fund_basement_fund",B15,1)</f>
        <v>000852.SH</v>
      </c>
      <c r="AK15" s="162"/>
    </row>
    <row r="16" spans="1:37" s="163" customFormat="1">
      <c r="A16" s="152" t="s">
        <v>299</v>
      </c>
      <c r="B16" s="153" t="s">
        <v>300</v>
      </c>
      <c r="C16" s="154" t="s">
        <v>301</v>
      </c>
      <c r="D16" s="153" t="str">
        <f>[1]!thsiFinD("ths_fund_manager_current_fund",B16)</f>
        <v>杨超</v>
      </c>
      <c r="E16" s="155" t="str">
        <f t="shared" si="14"/>
        <v>2022-01-04</v>
      </c>
      <c r="F16" s="156">
        <f t="shared" si="0"/>
        <v>-2.026696056821E-2</v>
      </c>
      <c r="G16" s="156">
        <f t="shared" si="0"/>
        <v>8.2758154012721991E-2</v>
      </c>
      <c r="H16" s="156">
        <f t="shared" si="0"/>
        <v>0.11094910782475999</v>
      </c>
      <c r="I16" s="156">
        <f t="shared" si="0"/>
        <v>0.43609764853707</v>
      </c>
      <c r="J16" s="156">
        <f t="shared" si="0"/>
        <v>0.83140666132540009</v>
      </c>
      <c r="K16" s="156">
        <f t="shared" si="0"/>
        <v>0.58677112257040998</v>
      </c>
      <c r="L16" s="156">
        <f t="shared" si="8"/>
        <v>7.6665508770437318E-2</v>
      </c>
      <c r="M16" s="156">
        <f t="shared" si="9"/>
        <v>0.12040953614429273</v>
      </c>
      <c r="N16" s="156">
        <f t="shared" si="10"/>
        <v>9.9527671356118619E-2</v>
      </c>
      <c r="O16" s="157">
        <f t="shared" si="11"/>
        <v>2.415116045328531</v>
      </c>
      <c r="P16" s="157">
        <f t="shared" si="12"/>
        <v>3.4259699195730917</v>
      </c>
      <c r="Q16" s="157">
        <f t="shared" si="13"/>
        <v>2.8013613281688969</v>
      </c>
      <c r="R16" s="157">
        <f>[1]!thsiFinD("ths_adjustment_nvg_ratio_fund",$B16,R$1,R$2,101)</f>
        <v>-2.0266960568210002</v>
      </c>
      <c r="S16" s="157">
        <f>[1]!thsiFinD("ths_adjustment_nvg_ratio_fund",$B16,S$1,S$2,101)</f>
        <v>8.2758154012721992</v>
      </c>
      <c r="T16" s="158">
        <f>[1]!thsiFinD("ths_adjustment_nvg_ratio_fund",$B16,T$1,T$2,101)</f>
        <v>11.094910782475999</v>
      </c>
      <c r="U16" s="157">
        <f>[1]!thsiFinD("ths_adjustment_nvg_ratio_fund",$B16,U$1,U$2,101)</f>
        <v>43.609764853706999</v>
      </c>
      <c r="V16" s="157">
        <f>[1]!thsiFinD("ths_adjustment_nvg_ratio_fund",$B16,V$1,V$2,101)</f>
        <v>83.140666132540005</v>
      </c>
      <c r="W16" s="157">
        <f>[1]!thsiFinD("ths_adjustment_nvg_ratio_fund",$B16,W$1,W$2,101)</f>
        <v>58.677112257041003</v>
      </c>
      <c r="X16" s="158">
        <f>[1]!thsiFinD("ths_adjustment_nvg_ratio_fund",$B16,X$1,X$2,101)</f>
        <v>40.107003891051001</v>
      </c>
      <c r="Y16" s="158">
        <f>[1]!thsiFinD("ths_adjustment_nvg_ratio_fund",$B16,Y$1,Y$2,101)</f>
        <v>10.728134424817</v>
      </c>
      <c r="Z16" s="158">
        <f>[1]!thsiFinD("ths_adjustment_nvg_ratio_fund",$B16,Z$1,Z$2,101)</f>
        <v>-0.72711719418306997</v>
      </c>
      <c r="AA16" s="158">
        <f>[1]!thsiFinD("ths_adjustment_nvg_ratio_fund",$B16,AA$1,AA$2,101)</f>
        <v>0</v>
      </c>
      <c r="AB16" s="159">
        <f>(1+([1]!thsiFinD("ths_adjustment_nvg_ratio_fund",$B16,AB$1,AB$2,101)-[1]!thsiFinD("ths_int_chg_ratio_index",$AJ16,AB$1,AB$2,101))/100)^(365/(AB$2-AB$1))-1</f>
        <v>7.6665508770437318E-2</v>
      </c>
      <c r="AC16" s="159">
        <f>[1]!thsiFinD("ths_tracking_error_annual_fund",$B16,AC$1,AC$2,100,101,$AJ16)/100</f>
        <v>3.1744026925219E-2</v>
      </c>
      <c r="AD16" s="159">
        <f>(1+([1]!thsiFinD("ths_adjustment_nvg_ratio_fund",$B16,AD$1,AD$2,101)-[1]!thsiFinD("ths_int_chg_ratio_index",$AJ16,AD$1,AD$2,101))/100)^(365/(AD$2-AD$1))-1</f>
        <v>0.12040953614429273</v>
      </c>
      <c r="AE16" s="159">
        <f>[1]!thsiFinD("ths_tracking_error_annual_fund",$B16,AE$1,AE$2,100,101,$AJ16)/100</f>
        <v>3.5146115982039004E-2</v>
      </c>
      <c r="AF16" s="159">
        <f>(1+([1]!thsiFinD("ths_adjustment_nvg_ratio_fund",$B16,AF$1,AF$2,101)-[1]!thsiFinD("ths_int_chg_ratio_index",$AJ16,AF$1,AF$2,101))/100)^(365/(AF$2-AF$1))-1</f>
        <v>9.9527671356118619E-2</v>
      </c>
      <c r="AG16" s="159">
        <f>[1]!thsiFinD("ths_tracking_error_annual_fund",$B16,AG$1,AG$2,100,101,$AJ16)/100</f>
        <v>3.5528323445934998E-2</v>
      </c>
      <c r="AH16" s="160" t="str">
        <f>[1]!thsiFinD("ths_service_start_fund",B16,100,1,101)</f>
        <v>2022-01-04</v>
      </c>
      <c r="AI16" s="161" t="str">
        <f>[1]!thsiFinD("ths_fund_establishment_date_fund",B16)</f>
        <v>2022-01-04</v>
      </c>
      <c r="AJ16" s="152" t="str">
        <f>[1]!thsiFinD("ths_fund_basement_fund",B16,1)</f>
        <v>000852.SH</v>
      </c>
      <c r="AK16" s="162"/>
    </row>
    <row r="17" spans="1:37" s="163" customFormat="1">
      <c r="A17" s="164" t="s">
        <v>302</v>
      </c>
      <c r="B17" s="165" t="s">
        <v>303</v>
      </c>
      <c r="C17" s="166" t="str">
        <f>[1]!thsiFinD("ths_fund_short_name_fund",B17)</f>
        <v>嘉实中证1000指数增强发起式A</v>
      </c>
      <c r="D17" s="165" t="str">
        <f>[1]!thsiFinD("ths_fund_manager_current_fund",B17)</f>
        <v>龙昌伦</v>
      </c>
      <c r="E17" s="167" t="str">
        <f t="shared" si="14"/>
        <v>2022-12-06</v>
      </c>
      <c r="F17" s="168">
        <f t="shared" si="0"/>
        <v>-1.3180957722779002E-2</v>
      </c>
      <c r="G17" s="168">
        <f t="shared" si="0"/>
        <v>5.1864584111800005E-2</v>
      </c>
      <c r="H17" s="168">
        <f t="shared" si="0"/>
        <v>7.6234898302492998E-2</v>
      </c>
      <c r="I17" s="156">
        <f t="shared" si="0"/>
        <v>0.40764076407640998</v>
      </c>
      <c r="J17" s="156">
        <f t="shared" si="0"/>
        <v>0.57473707764601001</v>
      </c>
      <c r="K17" s="156">
        <f t="shared" si="0"/>
        <v>0.38206991358994996</v>
      </c>
      <c r="L17" s="156">
        <f t="shared" si="8"/>
        <v>4.8535815335689625E-2</v>
      </c>
      <c r="M17" s="156">
        <f t="shared" si="9"/>
        <v>3.001829140567569E-4</v>
      </c>
      <c r="N17" s="156">
        <f t="shared" si="10"/>
        <v>4.0327767024655126E-2</v>
      </c>
      <c r="O17" s="157">
        <f t="shared" si="11"/>
        <v>1.2095113936003699</v>
      </c>
      <c r="P17" s="157">
        <f t="shared" si="12"/>
        <v>5.8950208739208488E-3</v>
      </c>
      <c r="Q17" s="157">
        <f t="shared" si="13"/>
        <v>0.8230888747698808</v>
      </c>
      <c r="R17" s="157">
        <f>[1]!thsiFinD("ths_adjustment_nvg_ratio_fund",$B17,R$1,R$2,101)</f>
        <v>-1.3180957722779001</v>
      </c>
      <c r="S17" s="157">
        <f>[1]!thsiFinD("ths_adjustment_nvg_ratio_fund",$B17,S$1,S$2,101)</f>
        <v>5.1864584111800003</v>
      </c>
      <c r="T17" s="158">
        <f>[1]!thsiFinD("ths_adjustment_nvg_ratio_fund",$B17,T$1,T$2,101)</f>
        <v>7.6234898302492997</v>
      </c>
      <c r="U17" s="157">
        <f>[1]!thsiFinD("ths_adjustment_nvg_ratio_fund",$B17,U$1,U$2,101)</f>
        <v>40.764076407640999</v>
      </c>
      <c r="V17" s="157">
        <f>[1]!thsiFinD("ths_adjustment_nvg_ratio_fund",$B17,V$1,V$2,101)</f>
        <v>57.473707764601002</v>
      </c>
      <c r="W17" s="157">
        <f>[1]!thsiFinD("ths_adjustment_nvg_ratio_fund",$B17,W$1,W$2,101)</f>
        <v>38.206991358994998</v>
      </c>
      <c r="X17" s="158">
        <f>[1]!thsiFinD("ths_adjustment_nvg_ratio_fund",$B17,X$1,X$2,101)</f>
        <v>39.424307036247001</v>
      </c>
      <c r="Y17" s="158">
        <f>[1]!thsiFinD("ths_adjustment_nvg_ratio_fund",$B17,Y$1,Y$2,101)</f>
        <v>-2.0160869111042001</v>
      </c>
      <c r="Z17" s="158">
        <f>[1]!thsiFinD("ths_adjustment_nvg_ratio_fund",$B17,Z$1,Z$2,101)</f>
        <v>-1.5022121617449999</v>
      </c>
      <c r="AA17" s="158">
        <f>[1]!thsiFinD("ths_adjustment_nvg_ratio_fund",$B17,AA$1,AA$2,101)</f>
        <v>0</v>
      </c>
      <c r="AB17" s="154">
        <f>(1+([1]!thsiFinD("ths_adjustment_nvg_ratio_fund",$B17,AB$1,AB$2,101)-[1]!thsiFinD("ths_int_chg_ratio_index",$AJ17,AB$1,AB$2,101))/100)^(365/(AB$2-AB$1))-1</f>
        <v>4.8535815335689625E-2</v>
      </c>
      <c r="AC17" s="153">
        <f>[1]!thsiFinD("ths_tracking_error_annual_fund",$B17,AC$1,AC$2,100,101,$AJ17)/100</f>
        <v>4.0128448225040997E-2</v>
      </c>
      <c r="AD17" s="155">
        <f>(1+([1]!thsiFinD("ths_adjustment_nvg_ratio_fund",$B17,AD$1,AD$2,101)-[1]!thsiFinD("ths_int_chg_ratio_index",$AJ17,AD$1,AD$2,101))/100)^(365/(AD$2-AD$1))-1</f>
        <v>3.001829140567569E-4</v>
      </c>
      <c r="AE17" s="156">
        <f>[1]!thsiFinD("ths_tracking_error_annual_fund",$B17,AE$1,AE$2,100,101,$AJ17)/100</f>
        <v>5.0921433609293E-2</v>
      </c>
      <c r="AF17" s="156">
        <f>(1+([1]!thsiFinD("ths_adjustment_nvg_ratio_fund",$B17,AF$1,AF$2,101)-[1]!thsiFinD("ths_int_chg_ratio_index",$AJ17,AF$1,AF$2,101))/100)^(365/(AF$2-AF$1))-1</f>
        <v>4.0327767024655126E-2</v>
      </c>
      <c r="AG17" s="156">
        <f>[1]!thsiFinD("ths_tracking_error_annual_fund",$B17,AG$1,AG$2,100,101,$AJ17)/100</f>
        <v>4.8995641006483001E-2</v>
      </c>
      <c r="AH17" s="135" t="str">
        <f>[1]!thsiFinD("ths_service_start_fund",B17,100,1,101)</f>
        <v>2022-12-06</v>
      </c>
      <c r="AI17" s="136" t="str">
        <f>[1]!thsiFinD("ths_fund_establishment_date_fund",B17)</f>
        <v>2022-12-06</v>
      </c>
      <c r="AJ17" s="120" t="str">
        <f>[1]!thsiFinD("ths_fund_basement_fund",B17,1)</f>
        <v>000852.SH</v>
      </c>
      <c r="AK17" s="162"/>
    </row>
    <row r="18" spans="1:37" s="163" customFormat="1">
      <c r="A18" s="152" t="s">
        <v>304</v>
      </c>
      <c r="B18" s="153" t="s">
        <v>305</v>
      </c>
      <c r="C18" s="154" t="s">
        <v>306</v>
      </c>
      <c r="D18" s="153" t="str">
        <f>[1]!thsiFinD("ths_fund_manager_current_fund",B18)</f>
        <v>杨梦</v>
      </c>
      <c r="E18" s="155" t="str">
        <f t="shared" si="14"/>
        <v>2023-08-25</v>
      </c>
      <c r="F18" s="156">
        <f t="shared" si="0"/>
        <v>-1.7368769298632999E-2</v>
      </c>
      <c r="G18" s="156">
        <f t="shared" si="0"/>
        <v>0.10579548275006</v>
      </c>
      <c r="H18" s="156">
        <f t="shared" si="0"/>
        <v>0.11891756137376999</v>
      </c>
      <c r="I18" s="156">
        <f t="shared" si="0"/>
        <v>0.46892515661062001</v>
      </c>
      <c r="J18" s="156">
        <f t="shared" si="0"/>
        <v>0.89686003193188002</v>
      </c>
      <c r="K18" s="156">
        <f t="shared" si="0"/>
        <v>0</v>
      </c>
      <c r="L18" s="156">
        <f t="shared" si="8"/>
        <v>0.10910558392570424</v>
      </c>
      <c r="M18" s="156">
        <f t="shared" si="9"/>
        <v>0.14900529685337371</v>
      </c>
      <c r="N18" s="156">
        <f>AF18</f>
        <v>-9.3143879738879276E-2</v>
      </c>
      <c r="O18" s="157">
        <f t="shared" si="11"/>
        <v>2.5482805504030264</v>
      </c>
      <c r="P18" s="157">
        <f t="shared" si="12"/>
        <v>2.5224460998510922</v>
      </c>
      <c r="Q18" s="169" t="e">
        <f>AF18/AG18</f>
        <v>#DIV/0!</v>
      </c>
      <c r="R18" s="157">
        <f>[1]!thsiFinD("ths_adjustment_nvg_ratio_fund",$B18,R$1,R$2,101)</f>
        <v>-1.7368769298633</v>
      </c>
      <c r="S18" s="157">
        <f>[1]!thsiFinD("ths_adjustment_nvg_ratio_fund",$B18,S$1,S$2,101)</f>
        <v>10.579548275005999</v>
      </c>
      <c r="T18" s="158">
        <f>[1]!thsiFinD("ths_adjustment_nvg_ratio_fund",$B18,T$1,T$2,101)</f>
        <v>11.891756137377</v>
      </c>
      <c r="U18" s="157">
        <f>[1]!thsiFinD("ths_adjustment_nvg_ratio_fund",$B18,U$1,U$2,101)</f>
        <v>46.892515661061999</v>
      </c>
      <c r="V18" s="157">
        <f>[1]!thsiFinD("ths_adjustment_nvg_ratio_fund",$B18,V$1,V$2,101)</f>
        <v>89.686003193188</v>
      </c>
      <c r="W18" s="157"/>
      <c r="X18" s="158">
        <f>[1]!thsiFinD("ths_adjustment_nvg_ratio_fund",$B18,X$1,X$2,101)</f>
        <v>47.636262513904001</v>
      </c>
      <c r="Y18" s="158">
        <f>[1]!thsiFinD("ths_adjustment_nvg_ratio_fund",$B18,Y$1,Y$2,101)</f>
        <v>8.5093542546771008</v>
      </c>
      <c r="Z18" s="158">
        <f>[1]!thsiFinD("ths_adjustment_nvg_ratio_fund",$B18,Z$1,Z$2,101)</f>
        <v>0</v>
      </c>
      <c r="AA18" s="158">
        <f>[1]!thsiFinD("ths_adjustment_nvg_ratio_fund",$B18,AA$1,AA$2,101)</f>
        <v>0</v>
      </c>
      <c r="AB18" s="159">
        <f>(1+([1]!thsiFinD("ths_adjustment_nvg_ratio_fund",$B18,AB$1,AB$2,101)-[1]!thsiFinD("ths_int_chg_ratio_index",$AJ18,AB$1,AB$2,101))/100)^(365/(AB$2-AB$1))-1</f>
        <v>0.10910558392570424</v>
      </c>
      <c r="AC18" s="159">
        <f>[1]!thsiFinD("ths_tracking_error_annual_fund",$B18,AC$1,AC$2,100,101,$AJ18)/100</f>
        <v>4.2815373648105004E-2</v>
      </c>
      <c r="AD18" s="159">
        <f>(1+([1]!thsiFinD("ths_adjustment_nvg_ratio_fund",$B18,AD$1,AD$2,101)-[1]!thsiFinD("ths_int_chg_ratio_index",$AJ18,AD$1,AD$2,101))/100)^(365/(AD$2-AD$1))-1</f>
        <v>0.14900529685337371</v>
      </c>
      <c r="AE18" s="159">
        <f>[1]!thsiFinD("ths_tracking_error_annual_fund",$B18,AE$1,AE$2,100,101,$AJ18)/100</f>
        <v>5.9071746612215002E-2</v>
      </c>
      <c r="AF18" s="159">
        <f>(1+([1]!thsiFinD("ths_adjustment_nvg_ratio_fund",$B18,AF$1,AF$2,101)-[1]!thsiFinD("ths_int_chg_ratio_index",$AJ18,AF$1,AF$2,101))/100)^(365/(AF$2-AF$1))-1</f>
        <v>-9.3143879738879276E-2</v>
      </c>
      <c r="AG18" s="159"/>
      <c r="AH18" s="160" t="str">
        <f>[1]!thsiFinD("ths_service_start_fund",B18,100,1,101)</f>
        <v>2023-08-25</v>
      </c>
      <c r="AI18" s="161" t="str">
        <f>[1]!thsiFinD("ths_fund_establishment_date_fund",B18)</f>
        <v>2023-08-25</v>
      </c>
      <c r="AJ18" s="152" t="str">
        <f>[1]!thsiFinD("ths_fund_basement_fund",B18,1)</f>
        <v>000852.SH</v>
      </c>
      <c r="AK18" s="162"/>
    </row>
    <row r="19" spans="1:37" s="150" customFormat="1" hidden="1">
      <c r="A19" s="3" t="s">
        <v>299</v>
      </c>
      <c r="B19" s="142" t="s">
        <v>307</v>
      </c>
      <c r="C19" s="143" t="s">
        <v>308</v>
      </c>
      <c r="D19" s="142" t="str">
        <f>[1]!thsiFinD("ths_fund_manager_current_fund",B19)</f>
        <v>黎海威,徐喻军</v>
      </c>
      <c r="E19" s="144" t="str">
        <f>AI19</f>
        <v>2022-04-27</v>
      </c>
      <c r="F19" s="145">
        <f t="shared" si="0"/>
        <v>-1.7822384428224002E-2</v>
      </c>
      <c r="G19" s="145">
        <f t="shared" si="0"/>
        <v>8.4783338931811003E-2</v>
      </c>
      <c r="H19" s="145">
        <f t="shared" si="0"/>
        <v>0.12093023255814001</v>
      </c>
      <c r="I19" s="145">
        <f>U19/100</f>
        <v>0.45259086002158999</v>
      </c>
      <c r="J19" s="145">
        <f>V19/100</f>
        <v>0.75130151843817994</v>
      </c>
      <c r="K19" s="145">
        <f>W19/100</f>
        <v>0.53561578697098999</v>
      </c>
      <c r="L19" s="145">
        <f>AB19</f>
        <v>9.2965385081882568E-2</v>
      </c>
      <c r="M19" s="145">
        <f>AD19</f>
        <v>8.4372416956816965E-2</v>
      </c>
      <c r="N19" s="145">
        <f>AF19</f>
        <v>8.533809097484446E-2</v>
      </c>
      <c r="O19" s="146">
        <f>AB19/AC19</f>
        <v>3.8396843970763759</v>
      </c>
      <c r="P19" s="146">
        <f>AD19/AE19</f>
        <v>2.9051207651956878</v>
      </c>
      <c r="Q19" s="146">
        <f>AF19/AG19</f>
        <v>2.9663369519327962</v>
      </c>
      <c r="R19" s="146">
        <f>[1]!thsiFinD("ths_adjustment_nvg_ratio_fund",$B19,R$1,R$2,101)</f>
        <v>-1.7822384428224001</v>
      </c>
      <c r="S19" s="146">
        <f>[1]!thsiFinD("ths_adjustment_nvg_ratio_fund",$B19,S$1,S$2,101)</f>
        <v>8.4783338931810999</v>
      </c>
      <c r="T19" s="102">
        <f>[1]!thsiFinD("ths_adjustment_nvg_ratio_fund",$B19,T$1,T$2,101)</f>
        <v>12.093023255814</v>
      </c>
      <c r="U19" s="146">
        <f>[1]!thsiFinD("ths_adjustment_nvg_ratio_fund",$B19,U$1,U$2,101)</f>
        <v>45.259086002159002</v>
      </c>
      <c r="V19" s="146">
        <f>[1]!thsiFinD("ths_adjustment_nvg_ratio_fund",$B19,V$1,V$2,101)</f>
        <v>75.130151843817998</v>
      </c>
      <c r="W19" s="146">
        <f>[1]!thsiFinD("ths_adjustment_nvg_ratio_fund",$B19,W$1,W$2,101)</f>
        <v>53.561578697099002</v>
      </c>
      <c r="X19" s="102">
        <f>[1]!thsiFinD("ths_adjustment_nvg_ratio_fund",$B19,X$1,X$2,101)</f>
        <v>36.204614220876998</v>
      </c>
      <c r="Y19" s="102">
        <f>[1]!thsiFinD("ths_adjustment_nvg_ratio_fund",$B19,Y$1,Y$2,101)</f>
        <v>7.6656825816960001</v>
      </c>
      <c r="Z19" s="102">
        <f>[1]!thsiFinD("ths_adjustment_nvg_ratio_fund",$B19,Z$1,Z$2,101)</f>
        <v>-0.11185682326623</v>
      </c>
      <c r="AA19" s="102">
        <f>[1]!thsiFinD("ths_adjustment_nvg_ratio_fund",$B19,AA$1,AA$2,101)</f>
        <v>0</v>
      </c>
      <c r="AB19" s="147">
        <f>(1+([1]!thsiFinD("ths_adjustment_nvg_ratio_fund",$B19,AB$1,AB$2,101)-[1]!thsiFinD("ths_int_chg_ratio_index",$AJ19,AB$1,AB$2,101))/100)^(365/(AB$2-AB$1))-1</f>
        <v>9.2965385081882568E-2</v>
      </c>
      <c r="AC19" s="147">
        <f>[1]!thsiFinD("ths_tracking_error_annual_fund",$B19,AC$1,AC$2,100,101,$AJ19)/100</f>
        <v>2.4211725618040001E-2</v>
      </c>
      <c r="AD19" s="147">
        <f>(1+([1]!thsiFinD("ths_adjustment_nvg_ratio_fund",$B19,AD$1,AD$2,101)-[1]!thsiFinD("ths_int_chg_ratio_index",$AJ19,AD$1,AD$2,101))/100)^(365/(AD$2-AD$1))-1</f>
        <v>8.4372416956816965E-2</v>
      </c>
      <c r="AE19" s="147">
        <f>[1]!thsiFinD("ths_tracking_error_annual_fund",$B19,AE$1,AE$2,100,101,$AJ19)/100</f>
        <v>2.9042653912232E-2</v>
      </c>
      <c r="AF19" s="147">
        <f>(1+([1]!thsiFinD("ths_adjustment_nvg_ratio_fund",$B19,AF$1,AF$2,101)-[1]!thsiFinD("ths_int_chg_ratio_index",$AJ19,AF$1,AF$2,101))/100)^(365/(AF$2-AF$1))-1</f>
        <v>8.533809097484446E-2</v>
      </c>
      <c r="AG19" s="147">
        <f>[1]!thsiFinD("ths_tracking_error_annual_fund",$B19,AG$1,AG$2,100,101,$AJ19)/100</f>
        <v>2.8768846006937999E-2</v>
      </c>
      <c r="AH19" s="148" t="str">
        <f>[1]!thsiFinD("ths_service_start_fund",B19,100,1,101)</f>
        <v>2022-04-27</v>
      </c>
      <c r="AI19" s="149" t="str">
        <f>[1]!thsiFinD("ths_fund_establishment_date_fund",B19)</f>
        <v>2022-04-27</v>
      </c>
      <c r="AJ19" s="3" t="str">
        <f>[1]!thsiFinD("ths_fund_basement_fund",B19,1)</f>
        <v>000852.SH</v>
      </c>
      <c r="AK19" s="9"/>
    </row>
    <row r="20" spans="1:37" s="150" customFormat="1" hidden="1">
      <c r="A20" s="3" t="s">
        <v>299</v>
      </c>
      <c r="B20" s="142" t="s">
        <v>309</v>
      </c>
      <c r="C20" s="143" t="s">
        <v>310</v>
      </c>
      <c r="D20" s="142" t="str">
        <f>[1]!thsiFinD("ths_fund_manager_current_fund",B20)</f>
        <v>叶乐天,赵云煜</v>
      </c>
      <c r="E20" s="144" t="str">
        <f t="shared" si="14"/>
        <v>2018-11-22</v>
      </c>
      <c r="F20" s="145">
        <f t="shared" ref="F20:K49" si="15">R20/100</f>
        <v>-1.6234988892587999E-2</v>
      </c>
      <c r="G20" s="145">
        <f t="shared" si="15"/>
        <v>0.10582757163529</v>
      </c>
      <c r="H20" s="145">
        <f t="shared" si="15"/>
        <v>0.15204821640468</v>
      </c>
      <c r="I20" s="145">
        <f t="shared" si="15"/>
        <v>0.48389221182837999</v>
      </c>
      <c r="J20" s="145">
        <f t="shared" si="15"/>
        <v>0.76743305462322997</v>
      </c>
      <c r="K20" s="145">
        <f t="shared" si="15"/>
        <v>0.47358225209554999</v>
      </c>
      <c r="L20" s="145">
        <f t="shared" si="8"/>
        <v>0.12389252759441227</v>
      </c>
      <c r="M20" s="145">
        <f t="shared" si="9"/>
        <v>9.1726534386000314E-2</v>
      </c>
      <c r="N20" s="145">
        <f t="shared" si="10"/>
        <v>6.7613036770926671E-2</v>
      </c>
      <c r="O20" s="146">
        <f t="shared" si="11"/>
        <v>3.0958928619505932</v>
      </c>
      <c r="P20" s="146">
        <f t="shared" si="12"/>
        <v>2.2568062553864401</v>
      </c>
      <c r="Q20" s="146">
        <f t="shared" si="13"/>
        <v>1.5599869551761936</v>
      </c>
      <c r="R20" s="146">
        <f>[1]!thsiFinD("ths_adjustment_nvg_ratio_fund",$B20,R$1,R$2,101)</f>
        <v>-1.6234988892588</v>
      </c>
      <c r="S20" s="146">
        <f>[1]!thsiFinD("ths_adjustment_nvg_ratio_fund",$B20,S$1,S$2,101)</f>
        <v>10.582757163528999</v>
      </c>
      <c r="T20" s="102">
        <f>[1]!thsiFinD("ths_adjustment_nvg_ratio_fund",$B20,T$1,T$2,101)</f>
        <v>15.204821640467999</v>
      </c>
      <c r="U20" s="146">
        <f>[1]!thsiFinD("ths_adjustment_nvg_ratio_fund",$B20,U$1,U$2,101)</f>
        <v>48.389221182838</v>
      </c>
      <c r="V20" s="146">
        <f>[1]!thsiFinD("ths_adjustment_nvg_ratio_fund",$B20,V$1,V$2,101)</f>
        <v>76.743305462322994</v>
      </c>
      <c r="W20" s="146">
        <f>[1]!thsiFinD("ths_adjustment_nvg_ratio_fund",$B20,W$1,W$2,101)</f>
        <v>47.358225209555002</v>
      </c>
      <c r="X20" s="102">
        <f>[1]!thsiFinD("ths_adjustment_nvg_ratio_fund",$B20,X$1,X$2,101)</f>
        <v>37.00549693184</v>
      </c>
      <c r="Y20" s="102">
        <f>[1]!thsiFinD("ths_adjustment_nvg_ratio_fund",$B20,Y$1,Y$2,101)</f>
        <v>3.8913362708434001</v>
      </c>
      <c r="Z20" s="102">
        <f>[1]!thsiFinD("ths_adjustment_nvg_ratio_fund",$B20,Z$1,Z$2,101)</f>
        <v>-1.8875485952780999</v>
      </c>
      <c r="AA20" s="102">
        <f>[1]!thsiFinD("ths_adjustment_nvg_ratio_fund",$B20,AA$1,AA$2,101)</f>
        <v>-12.744958804024</v>
      </c>
      <c r="AB20" s="147">
        <f>(1+([1]!thsiFinD("ths_adjustment_nvg_ratio_fund",$B20,AB$1,AB$2,101)-[1]!thsiFinD("ths_int_chg_ratio_index",$AJ20,AB$1,AB$2,101))/100)^(365/(AB$2-AB$1))-1</f>
        <v>0.12389252759441227</v>
      </c>
      <c r="AC20" s="147">
        <f>[1]!thsiFinD("ths_tracking_error_annual_fund",$B20,AC$1,AC$2,100,101,$AJ20)/100</f>
        <v>4.0018351124836003E-2</v>
      </c>
      <c r="AD20" s="147">
        <f>(1+([1]!thsiFinD("ths_adjustment_nvg_ratio_fund",$B20,AD$1,AD$2,101)-[1]!thsiFinD("ths_int_chg_ratio_index",$AJ20,AD$1,AD$2,101))/100)^(365/(AD$2-AD$1))-1</f>
        <v>9.1726534386000314E-2</v>
      </c>
      <c r="AE20" s="147">
        <f>[1]!thsiFinD("ths_tracking_error_annual_fund",$B20,AE$1,AE$2,100,101,$AJ20)/100</f>
        <v>4.0644399211085001E-2</v>
      </c>
      <c r="AF20" s="147">
        <f>(1+([1]!thsiFinD("ths_adjustment_nvg_ratio_fund",$B20,AF$1,AF$2,101)-[1]!thsiFinD("ths_int_chg_ratio_index",$AJ20,AF$1,AF$2,101))/100)^(365/(AF$2-AF$1))-1</f>
        <v>6.7613036770926671E-2</v>
      </c>
      <c r="AG20" s="147">
        <f>[1]!thsiFinD("ths_tracking_error_annual_fund",$B20,AG$1,AG$2,100,101,$AJ20)/100</f>
        <v>4.3342052666901998E-2</v>
      </c>
      <c r="AH20" s="148" t="str">
        <f>[1]!thsiFinD("ths_service_start_fund",B20,100,1,101)</f>
        <v>2018-11-22</v>
      </c>
      <c r="AI20" s="149" t="str">
        <f>[1]!thsiFinD("ths_fund_establishment_date_fund",B20)</f>
        <v>2018-11-22</v>
      </c>
      <c r="AJ20" s="3" t="str">
        <f>[1]!thsiFinD("ths_fund_basement_fund",B20,1)</f>
        <v>000852.SH</v>
      </c>
      <c r="AK20" s="9"/>
    </row>
    <row r="21" spans="1:37" s="150" customFormat="1" hidden="1">
      <c r="A21" s="3" t="s">
        <v>311</v>
      </c>
      <c r="B21" s="142" t="s">
        <v>312</v>
      </c>
      <c r="C21" s="143" t="s">
        <v>313</v>
      </c>
      <c r="D21" s="142" t="str">
        <f>[1]!thsiFinD("ths_fund_manager_current_fund",B21)</f>
        <v>乔亮</v>
      </c>
      <c r="E21" s="144" t="str">
        <f t="shared" si="14"/>
        <v>2018-01-30</v>
      </c>
      <c r="F21" s="145">
        <f t="shared" si="15"/>
        <v>-4.9005136809054002E-3</v>
      </c>
      <c r="G21" s="145">
        <f t="shared" si="15"/>
        <v>9.9126124923093001E-2</v>
      </c>
      <c r="H21" s="145">
        <f t="shared" si="15"/>
        <v>0.14455997732081</v>
      </c>
      <c r="I21" s="145">
        <f t="shared" si="15"/>
        <v>0.47658233655209997</v>
      </c>
      <c r="J21" s="145">
        <f t="shared" si="15"/>
        <v>0.73195695749429002</v>
      </c>
      <c r="K21" s="145">
        <f t="shared" si="15"/>
        <v>0.37929937037577</v>
      </c>
      <c r="L21" s="145">
        <f t="shared" si="8"/>
        <v>0.11667088649922408</v>
      </c>
      <c r="M21" s="145">
        <f t="shared" si="9"/>
        <v>7.5486309408198116E-2</v>
      </c>
      <c r="N21" s="145">
        <f t="shared" si="10"/>
        <v>3.9478967468769222E-2</v>
      </c>
      <c r="O21" s="146">
        <f t="shared" si="11"/>
        <v>3.1782719573188118</v>
      </c>
      <c r="P21" s="146">
        <f t="shared" si="12"/>
        <v>1.9463485619524505</v>
      </c>
      <c r="Q21" s="146">
        <f t="shared" si="13"/>
        <v>1.0192265713558097</v>
      </c>
      <c r="R21" s="146">
        <f>[1]!thsiFinD("ths_adjustment_nvg_ratio_fund",$B21,R$1,R$2,101)</f>
        <v>-0.49005136809054001</v>
      </c>
      <c r="S21" s="146">
        <f>[1]!thsiFinD("ths_adjustment_nvg_ratio_fund",$B21,S$1,S$2,101)</f>
        <v>9.9126124923093002</v>
      </c>
      <c r="T21" s="102">
        <f>[1]!thsiFinD("ths_adjustment_nvg_ratio_fund",$B21,T$1,T$2,101)</f>
        <v>14.455997732081</v>
      </c>
      <c r="U21" s="146">
        <f>[1]!thsiFinD("ths_adjustment_nvg_ratio_fund",$B21,U$1,U$2,101)</f>
        <v>47.658233655209997</v>
      </c>
      <c r="V21" s="146">
        <f>[1]!thsiFinD("ths_adjustment_nvg_ratio_fund",$B21,V$1,V$2,101)</f>
        <v>73.195695749429007</v>
      </c>
      <c r="W21" s="146">
        <f>[1]!thsiFinD("ths_adjustment_nvg_ratio_fund",$B21,W$1,W$2,101)</f>
        <v>37.929937037576998</v>
      </c>
      <c r="X21" s="102">
        <f>[1]!thsiFinD("ths_adjustment_nvg_ratio_fund",$B21,X$1,X$2,101)</f>
        <v>37.572946147689997</v>
      </c>
      <c r="Y21" s="102">
        <f>[1]!thsiFinD("ths_adjustment_nvg_ratio_fund",$B21,Y$1,Y$2,101)</f>
        <v>0.23222084195573001</v>
      </c>
      <c r="Z21" s="102">
        <f>[1]!thsiFinD("ths_adjustment_nvg_ratio_fund",$B21,Z$1,Z$2,101)</f>
        <v>-6.3901630009780996</v>
      </c>
      <c r="AA21" s="102">
        <f>[1]!thsiFinD("ths_adjustment_nvg_ratio_fund",$B21,AA$1,AA$2,101)</f>
        <v>-8.6500557822693001</v>
      </c>
      <c r="AB21" s="147">
        <f>(1+([1]!thsiFinD("ths_adjustment_nvg_ratio_fund",$B21,AB$1,AB$2,101)-[1]!thsiFinD("ths_int_chg_ratio_index",$AJ21,AB$1,AB$2,101))/100)^(365/(AB$2-AB$1))-1</f>
        <v>0.11667088649922408</v>
      </c>
      <c r="AC21" s="147">
        <f>[1]!thsiFinD("ths_tracking_error_annual_fund",$B21,AC$1,AC$2,100,101,$AJ21)/100</f>
        <v>3.6708905992314002E-2</v>
      </c>
      <c r="AD21" s="147">
        <f>(1+([1]!thsiFinD("ths_adjustment_nvg_ratio_fund",$B21,AD$1,AD$2,101)-[1]!thsiFinD("ths_int_chg_ratio_index",$AJ21,AD$1,AD$2,101))/100)^(365/(AD$2-AD$1))-1</f>
        <v>7.5486309408198116E-2</v>
      </c>
      <c r="AE21" s="147">
        <f>[1]!thsiFinD("ths_tracking_error_annual_fund",$B21,AE$1,AE$2,100,101,$AJ21)/100</f>
        <v>3.8783551355505999E-2</v>
      </c>
      <c r="AF21" s="147">
        <f>(1+([1]!thsiFinD("ths_adjustment_nvg_ratio_fund",$B21,AF$1,AF$2,101)-[1]!thsiFinD("ths_int_chg_ratio_index",$AJ21,AF$1,AF$2,101))/100)^(365/(AF$2-AF$1))-1</f>
        <v>3.9478967468769222E-2</v>
      </c>
      <c r="AG21" s="147">
        <f>[1]!thsiFinD("ths_tracking_error_annual_fund",$B21,AG$1,AG$2,100,101,$AJ21)/100</f>
        <v>3.8734240823660004E-2</v>
      </c>
      <c r="AH21" s="148" t="str">
        <f>[1]!thsiFinD("ths_service_start_fund",B21,100,1,101)</f>
        <v>2019-08-21</v>
      </c>
      <c r="AI21" s="149" t="str">
        <f>[1]!thsiFinD("ths_fund_establishment_date_fund",B21)</f>
        <v>2018-01-30</v>
      </c>
      <c r="AJ21" s="3" t="str">
        <f>[1]!thsiFinD("ths_fund_basement_fund",B21,1)</f>
        <v>000852.SH</v>
      </c>
      <c r="AK21" s="9"/>
    </row>
    <row r="22" spans="1:37" s="150" customFormat="1" hidden="1">
      <c r="A22" s="3" t="s">
        <v>299</v>
      </c>
      <c r="B22" s="142" t="s">
        <v>314</v>
      </c>
      <c r="C22" s="143" t="s">
        <v>315</v>
      </c>
      <c r="D22" s="142" t="str">
        <f>[1]!thsiFinD("ths_fund_manager_current_fund",B22)</f>
        <v>蔡振</v>
      </c>
      <c r="E22" s="144" t="str">
        <f t="shared" si="14"/>
        <v>2017-03-03</v>
      </c>
      <c r="F22" s="145">
        <f t="shared" si="15"/>
        <v>-1.9714838936806998E-2</v>
      </c>
      <c r="G22" s="145">
        <f t="shared" si="15"/>
        <v>4.9665441522947995E-2</v>
      </c>
      <c r="H22" s="145">
        <f t="shared" si="15"/>
        <v>6.5837320574163E-2</v>
      </c>
      <c r="I22" s="145">
        <f t="shared" si="15"/>
        <v>0.35243761763099002</v>
      </c>
      <c r="J22" s="145">
        <f t="shared" si="15"/>
        <v>0.63325757020309004</v>
      </c>
      <c r="K22" s="145">
        <f t="shared" si="15"/>
        <v>0.41858243647711002</v>
      </c>
      <c r="L22" s="145">
        <f t="shared" si="8"/>
        <v>-6.0564180252210553E-3</v>
      </c>
      <c r="M22" s="145">
        <f t="shared" si="9"/>
        <v>2.8936960779988308E-2</v>
      </c>
      <c r="N22" s="145">
        <f t="shared" si="10"/>
        <v>5.1385821019625633E-2</v>
      </c>
      <c r="O22" s="146">
        <f t="shared" si="11"/>
        <v>-0.14664045552598068</v>
      </c>
      <c r="P22" s="146">
        <f t="shared" si="12"/>
        <v>0.66075133910901829</v>
      </c>
      <c r="Q22" s="146">
        <f t="shared" si="13"/>
        <v>1.2390506495612479</v>
      </c>
      <c r="R22" s="146">
        <f>[1]!thsiFinD("ths_adjustment_nvg_ratio_fund",$B22,R$1,R$2,101)</f>
        <v>-1.9714838936807</v>
      </c>
      <c r="S22" s="146">
        <f>[1]!thsiFinD("ths_adjustment_nvg_ratio_fund",$B22,S$1,S$2,101)</f>
        <v>4.9665441522947997</v>
      </c>
      <c r="T22" s="102">
        <f>[1]!thsiFinD("ths_adjustment_nvg_ratio_fund",$B22,T$1,T$2,101)</f>
        <v>6.5837320574162996</v>
      </c>
      <c r="U22" s="146">
        <f>[1]!thsiFinD("ths_adjustment_nvg_ratio_fund",$B22,U$1,U$2,101)</f>
        <v>35.243761763099002</v>
      </c>
      <c r="V22" s="146">
        <f>[1]!thsiFinD("ths_adjustment_nvg_ratio_fund",$B22,V$1,V$2,101)</f>
        <v>63.325757020308998</v>
      </c>
      <c r="W22" s="146">
        <f>[1]!thsiFinD("ths_adjustment_nvg_ratio_fund",$B22,W$1,W$2,101)</f>
        <v>41.858243647710999</v>
      </c>
      <c r="X22" s="102">
        <f>[1]!thsiFinD("ths_adjustment_nvg_ratio_fund",$B22,X$1,X$2,101)</f>
        <v>35.520684736090999</v>
      </c>
      <c r="Y22" s="102">
        <f>[1]!thsiFinD("ths_adjustment_nvg_ratio_fund",$B22,Y$1,Y$2,101)</f>
        <v>6.8819738027583002</v>
      </c>
      <c r="Z22" s="102">
        <f>[1]!thsiFinD("ths_adjustment_nvg_ratio_fund",$B22,Z$1,Z$2,101)</f>
        <v>1.0221942169011999</v>
      </c>
      <c r="AA22" s="102">
        <f>[1]!thsiFinD("ths_adjustment_nvg_ratio_fund",$B22,AA$1,AA$2,101)</f>
        <v>-13.009318472501</v>
      </c>
      <c r="AB22" s="147">
        <f>(1+([1]!thsiFinD("ths_adjustment_nvg_ratio_fund",$B22,AB$1,AB$2,101)-[1]!thsiFinD("ths_int_chg_ratio_index",$AJ22,AB$1,AB$2,101))/100)^(365/(AB$2-AB$1))-1</f>
        <v>-6.0564180252210553E-3</v>
      </c>
      <c r="AC22" s="147">
        <f>[1]!thsiFinD("ths_tracking_error_annual_fund",$B22,AC$1,AC$2,100,101,$AJ22)/100</f>
        <v>4.1301140285587998E-2</v>
      </c>
      <c r="AD22" s="147">
        <f>(1+([1]!thsiFinD("ths_adjustment_nvg_ratio_fund",$B22,AD$1,AD$2,101)-[1]!thsiFinD("ths_int_chg_ratio_index",$AJ22,AD$1,AD$2,101))/100)^(365/(AD$2-AD$1))-1</f>
        <v>2.8936960779988308E-2</v>
      </c>
      <c r="AE22" s="147">
        <f>[1]!thsiFinD("ths_tracking_error_annual_fund",$B22,AE$1,AE$2,100,101,$AJ22)/100</f>
        <v>4.3794025175957998E-2</v>
      </c>
      <c r="AF22" s="147">
        <f>(1+([1]!thsiFinD("ths_adjustment_nvg_ratio_fund",$B22,AF$1,AF$2,101)-[1]!thsiFinD("ths_int_chg_ratio_index",$AJ22,AF$1,AF$2,101))/100)^(365/(AF$2-AF$1))-1</f>
        <v>5.1385821019625633E-2</v>
      </c>
      <c r="AG22" s="147">
        <f>[1]!thsiFinD("ths_tracking_error_annual_fund",$B22,AG$1,AG$2,100,101,$AJ22)/100</f>
        <v>4.1471929366101001E-2</v>
      </c>
      <c r="AH22" s="148" t="str">
        <f>[1]!thsiFinD("ths_service_start_fund",B22,100,1,101)</f>
        <v>2021-11-05</v>
      </c>
      <c r="AI22" s="149" t="str">
        <f>[1]!thsiFinD("ths_fund_establishment_date_fund",B22)</f>
        <v>2017-03-03</v>
      </c>
      <c r="AJ22" s="3" t="str">
        <f>[1]!thsiFinD("ths_fund_basement_fund",B22,1)</f>
        <v>000852.SH</v>
      </c>
      <c r="AK22" s="9"/>
    </row>
    <row r="23" spans="1:37">
      <c r="B23" s="120" t="s">
        <v>316</v>
      </c>
      <c r="C23" s="119" t="s">
        <v>317</v>
      </c>
      <c r="F23" s="145">
        <f t="shared" si="15"/>
        <v>-1.070766203295E-2</v>
      </c>
      <c r="G23" s="145">
        <f t="shared" si="15"/>
        <v>9.1714072125538004E-2</v>
      </c>
      <c r="H23" s="145">
        <f t="shared" si="15"/>
        <v>9.5245056324091998E-2</v>
      </c>
      <c r="I23" s="145">
        <f t="shared" si="15"/>
        <v>0.35856020376366998</v>
      </c>
      <c r="J23" s="145">
        <f t="shared" si="15"/>
        <v>0.57413250775324998</v>
      </c>
      <c r="K23" s="145">
        <f t="shared" si="15"/>
        <v>0.25541005711289999</v>
      </c>
      <c r="L23" s="151"/>
      <c r="M23" s="151"/>
      <c r="N23" s="151"/>
      <c r="O23" s="151"/>
      <c r="P23" s="151"/>
      <c r="Q23" s="146"/>
      <c r="R23" s="151">
        <f>[1]!thsiFinD("ths_int_chg_ratio_index",$B23,R$1,R$2,101)</f>
        <v>-1.0707662032950001</v>
      </c>
      <c r="S23" s="151">
        <f>[1]!thsiFinD("ths_int_chg_ratio_index",$B23,S$1,S$2,101)</f>
        <v>9.1714072125538006</v>
      </c>
      <c r="T23" s="151">
        <f>[1]!thsiFinD("ths_int_chg_ratio_index",$B23,T$1,T$2,101)</f>
        <v>9.5245056324092001</v>
      </c>
      <c r="U23" s="151">
        <f>[1]!thsiFinD("ths_int_chg_ratio_index",$B23,U$1,U$2,101)</f>
        <v>35.856020376366999</v>
      </c>
      <c r="V23" s="151">
        <f>[1]!thsiFinD("ths_int_chg_ratio_index",$B23,V$1,V$2,101)</f>
        <v>57.413250775324997</v>
      </c>
      <c r="W23" s="151">
        <f>[1]!thsiFinD("ths_int_chg_ratio_index",$B23,W$1,W$2,101)</f>
        <v>25.541005711290001</v>
      </c>
      <c r="X23" s="151">
        <f>[1]!thsiFinD("ths_int_chg_ratio_index",$B23,X$1,X$2,101)</f>
        <v>27.486489288213001</v>
      </c>
      <c r="Y23" s="151">
        <f>[1]!thsiFinD("ths_int_chg_ratio_index",$B23,Y$1,Y$2,101)</f>
        <v>1.1972037807222</v>
      </c>
      <c r="Z23" s="151">
        <f>[1]!thsiFinD("ths_int_chg_ratio_index",$B23,Z$1,Z$2,101)</f>
        <v>-6.2784097652247999</v>
      </c>
      <c r="AA23" s="151">
        <f>[1]!thsiFinD("ths_int_chg_ratio_index",$B23,AA$1,AA$2,101)</f>
        <v>-21.580933653928</v>
      </c>
      <c r="AJ23" s="151">
        <f>[1]!thsiFinD("ths_int_chg_ratio_index",$B23,AJ$1,AJ$2,101)</f>
        <v>0</v>
      </c>
    </row>
    <row r="24" spans="1:37">
      <c r="A24" s="37" t="s">
        <v>318</v>
      </c>
      <c r="B24" s="128" t="s">
        <v>319</v>
      </c>
      <c r="C24" s="129" t="s">
        <v>320</v>
      </c>
      <c r="D24" s="128" t="str">
        <f>[1]!thsiFinD("ths_name_fund",B24,100,1)</f>
        <v>孔令烨</v>
      </c>
      <c r="E24" s="130" t="str">
        <f>AI24</f>
        <v>2024-01-12</v>
      </c>
      <c r="F24" s="131">
        <f t="shared" si="15"/>
        <v>-1.3601161665053001E-2</v>
      </c>
      <c r="G24" s="131">
        <f t="shared" si="15"/>
        <v>8.0426253843706996E-2</v>
      </c>
      <c r="H24" s="131">
        <f t="shared" si="15"/>
        <v>0.13103563103562998</v>
      </c>
      <c r="I24" s="131">
        <f t="shared" si="15"/>
        <v>0.48275611175785998</v>
      </c>
      <c r="J24" s="131">
        <f t="shared" si="15"/>
        <v>1.2441361083581</v>
      </c>
      <c r="K24" s="131">
        <f t="shared" si="15"/>
        <v>0</v>
      </c>
      <c r="L24" s="131">
        <f>AB24</f>
        <v>0.15738477123494365</v>
      </c>
      <c r="M24" s="131">
        <f>AD24</f>
        <v>0.23066791508133644</v>
      </c>
      <c r="N24" s="131">
        <f>AF24</f>
        <v>-0.1549769820358845</v>
      </c>
      <c r="O24" s="132" t="e">
        <f>AB24/AC24</f>
        <v>#DIV/0!</v>
      </c>
      <c r="P24" s="132" t="e">
        <f>AD24/AE24</f>
        <v>#DIV/0!</v>
      </c>
      <c r="Q24" s="132" t="e">
        <f>AF24/AG24</f>
        <v>#DIV/0!</v>
      </c>
      <c r="R24" s="132">
        <f>[1]!thsiFinD("ths_adjustment_nvg_ratio_fund",$B24,R$1,R$2,101)</f>
        <v>-1.3601161665053001</v>
      </c>
      <c r="S24" s="132">
        <f>[1]!thsiFinD("ths_adjustment_nvg_ratio_fund",$B24,S$1,S$2,101)</f>
        <v>8.0426253843706998</v>
      </c>
      <c r="T24" s="133">
        <f>[1]!thsiFinD("ths_adjustment_nvg_ratio_fund",$B24,T$1,T$2,101)</f>
        <v>13.103563103562999</v>
      </c>
      <c r="U24" s="132">
        <f>[1]!thsiFinD("ths_adjustment_nvg_ratio_fund",$B24,U$1,U$2,101)</f>
        <v>48.275611175785997</v>
      </c>
      <c r="V24" s="132">
        <f>[1]!thsiFinD("ths_adjustment_nvg_ratio_fund",$B24,V$1,V$2,101)</f>
        <v>124.41361083581</v>
      </c>
      <c r="W24" s="132"/>
      <c r="X24" s="133">
        <f>[1]!thsiFinD("ths_adjustment_nvg_ratio_fund",$B24,X$1,X$2,101)</f>
        <v>54.356206630686003</v>
      </c>
      <c r="Y24" s="133"/>
      <c r="Z24" s="133"/>
      <c r="AA24" s="133"/>
      <c r="AB24" s="170">
        <f>(1+([1]!thsiFinD("ths_adjustment_nvg_ratio_fund",$B24,AB$1,AB$2,101)-[1]!thsiFinD("ths_int_chg_ratio_index",$AJ24,AB$1,AB$2,101))/100)^(365/(AB$2-AB$1))-1</f>
        <v>0.15738477123494365</v>
      </c>
      <c r="AC24" s="170">
        <f>[1]!thsiFinD("ths_tracking_error_annual_fund",$B24,AC$1,AC$2,100,101,$AJ24)/100</f>
        <v>0</v>
      </c>
      <c r="AD24" s="170">
        <f>(1+([1]!thsiFinD("ths_adjustment_nvg_ratio_fund",$B24,AD$1,AD$2,101)-[1]!thsiFinD("ths_int_chg_ratio_index",$AJ24,AD$1,AD$2,101))/100)^(365/(AD$2-AD$1))-1</f>
        <v>0.23066791508133644</v>
      </c>
      <c r="AE24" s="170">
        <f>[1]!thsiFinD("ths_tracking_error_annual_fund",$B24,AE$1,AE$2,100,101,$AJ24)/100</f>
        <v>0</v>
      </c>
      <c r="AF24" s="170">
        <f>(1+([1]!thsiFinD("ths_adjustment_nvg_ratio_fund",$B24,AF$1,AF$2,101)-[1]!thsiFinD("ths_int_chg_ratio_index",$AJ24,AF$1,AF$2,101))/100)^(365/(AF$2-AF$1))-1</f>
        <v>-0.1549769820358845</v>
      </c>
      <c r="AG24" s="134">
        <f>[1]!thsiFinD("ths_tracking_error_annual_fund",$B24,AG$1,AG$2,100,101,$AJ24)/100</f>
        <v>0</v>
      </c>
      <c r="AH24" s="135" t="str">
        <f>[1]!thsiFinD("ths_service_start_fund",B24,100,1,101)</f>
        <v>2024-01-12</v>
      </c>
      <c r="AI24" s="136" t="str">
        <f>[1]!thsiFinD("ths_fund_establishment_date_fund",B24)</f>
        <v>2024-01-12</v>
      </c>
      <c r="AJ24" s="120" t="str">
        <f>[1]!thsiFinD("ths_fund_basement_fund",B24,1)</f>
        <v>932000.CSI</v>
      </c>
    </row>
    <row r="25" spans="1:37">
      <c r="A25" s="37" t="s">
        <v>321</v>
      </c>
      <c r="B25" s="128" t="s">
        <v>322</v>
      </c>
      <c r="C25" s="129" t="s">
        <v>323</v>
      </c>
      <c r="D25" s="128" t="str">
        <f>[1]!thsiFinD("ths_name_fund",B25,100,1)</f>
        <v>王平</v>
      </c>
      <c r="E25" s="130" t="str">
        <f>AI25</f>
        <v>2024-01-02</v>
      </c>
      <c r="F25" s="131">
        <f t="shared" si="15"/>
        <v>-1.4939495045068E-2</v>
      </c>
      <c r="G25" s="131">
        <f t="shared" si="15"/>
        <v>0.11473654550578001</v>
      </c>
      <c r="H25" s="131">
        <f t="shared" si="15"/>
        <v>0.14965709636173</v>
      </c>
      <c r="I25" s="131">
        <f t="shared" si="15"/>
        <v>0.46917706476530002</v>
      </c>
      <c r="J25" s="131">
        <f t="shared" si="15"/>
        <v>1.0776178972796999</v>
      </c>
      <c r="K25" s="131">
        <f t="shared" si="15"/>
        <v>0</v>
      </c>
      <c r="L25" s="131">
        <f>AB25</f>
        <v>0.14397356551380147</v>
      </c>
      <c r="M25" s="131">
        <f>AD25</f>
        <v>0.16170725785822304</v>
      </c>
      <c r="N25" s="131">
        <f>AF25</f>
        <v>-0.1549769820358845</v>
      </c>
      <c r="O25" s="132" t="e">
        <f>AB25/AC25</f>
        <v>#DIV/0!</v>
      </c>
      <c r="P25" s="132" t="e">
        <f>AD25/AE25</f>
        <v>#DIV/0!</v>
      </c>
      <c r="Q25" s="132" t="e">
        <f>AF25/AG25</f>
        <v>#DIV/0!</v>
      </c>
      <c r="R25" s="132">
        <f>[1]!thsiFinD("ths_adjustment_nvg_ratio_fund",$B25,R$1,R$2,101)</f>
        <v>-1.4939495045068001</v>
      </c>
      <c r="S25" s="132">
        <f>[1]!thsiFinD("ths_adjustment_nvg_ratio_fund",$B25,S$1,S$2,101)</f>
        <v>11.473654550578001</v>
      </c>
      <c r="T25" s="133">
        <f>[1]!thsiFinD("ths_adjustment_nvg_ratio_fund",$B25,T$1,T$2,101)</f>
        <v>14.965709636173001</v>
      </c>
      <c r="U25" s="132">
        <f>[1]!thsiFinD("ths_adjustment_nvg_ratio_fund",$B25,U$1,U$2,101)</f>
        <v>46.91770647653</v>
      </c>
      <c r="V25" s="132">
        <f>[1]!thsiFinD("ths_adjustment_nvg_ratio_fund",$B25,V$1,V$2,101)</f>
        <v>107.76178972797</v>
      </c>
      <c r="W25" s="132"/>
      <c r="X25" s="133">
        <f>[1]!thsiFinD("ths_adjustment_nvg_ratio_fund",$B25,X$1,X$2,101)</f>
        <v>49.098786828423002</v>
      </c>
      <c r="Y25" s="133"/>
      <c r="Z25" s="133"/>
      <c r="AA25" s="133"/>
      <c r="AB25" s="170">
        <f>(1+([1]!thsiFinD("ths_adjustment_nvg_ratio_fund",$B25,AB$1,AB$2,101)-[1]!thsiFinD("ths_int_chg_ratio_index",$AJ25,AB$1,AB$2,101))/100)^(365/(AB$2-AB$1))-1</f>
        <v>0.14397356551380147</v>
      </c>
      <c r="AC25" s="170">
        <f>[1]!thsiFinD("ths_tracking_error_annual_fund",$B25,AC$1,AC$2,100,101,$AJ25)/100</f>
        <v>0</v>
      </c>
      <c r="AD25" s="170">
        <f>(1+([1]!thsiFinD("ths_adjustment_nvg_ratio_fund",$B25,AD$1,AD$2,101)-[1]!thsiFinD("ths_int_chg_ratio_index",$AJ25,AD$1,AD$2,101))/100)^(365/(AD$2-AD$1))-1</f>
        <v>0.16170725785822304</v>
      </c>
      <c r="AE25" s="170">
        <f>[1]!thsiFinD("ths_tracking_error_annual_fund",$B25,AE$1,AE$2,100,101,$AJ25)/100</f>
        <v>0</v>
      </c>
      <c r="AF25" s="170">
        <f>(1+([1]!thsiFinD("ths_adjustment_nvg_ratio_fund",$B25,AF$1,AF$2,101)-[1]!thsiFinD("ths_int_chg_ratio_index",$AJ25,AF$1,AF$2,101))/100)^(365/(AF$2-AF$1))-1</f>
        <v>-0.1549769820358845</v>
      </c>
      <c r="AG25" s="134">
        <f>[1]!thsiFinD("ths_tracking_error_annual_fund",$B25,AG$1,AG$2,100,101,$AJ25)/100</f>
        <v>0</v>
      </c>
      <c r="AH25" s="135" t="str">
        <f>[1]!thsiFinD("ths_service_start_fund",B25,100,1,101)</f>
        <v>2024-01-02</v>
      </c>
      <c r="AI25" s="136" t="str">
        <f>[1]!thsiFinD("ths_fund_establishment_date_fund",B25)</f>
        <v>2024-01-02</v>
      </c>
      <c r="AJ25" s="120" t="str">
        <f>[1]!thsiFinD("ths_fund_basement_fund",B25,1)</f>
        <v>932000.CSI</v>
      </c>
    </row>
    <row r="26" spans="1:37">
      <c r="A26" s="37" t="s">
        <v>324</v>
      </c>
      <c r="B26" s="128" t="s">
        <v>325</v>
      </c>
      <c r="C26" s="129" t="s">
        <v>326</v>
      </c>
      <c r="D26" s="128" t="str">
        <f>[1]!thsiFinD("ths_name_fund",B26,100,1)</f>
        <v>乔亮</v>
      </c>
      <c r="E26" s="130" t="str">
        <f>AI26</f>
        <v>2025-01-21</v>
      </c>
      <c r="F26" s="131">
        <f t="shared" si="15"/>
        <v>-1.8016898608348999E-3</v>
      </c>
      <c r="G26" s="131">
        <f t="shared" si="15"/>
        <v>8.8328930434194E-2</v>
      </c>
      <c r="H26" s="131">
        <f t="shared" si="15"/>
        <v>0.14756088850796001</v>
      </c>
      <c r="I26" s="131">
        <f t="shared" si="15"/>
        <v>0.49543931496649002</v>
      </c>
      <c r="J26" s="131">
        <f t="shared" si="15"/>
        <v>0</v>
      </c>
      <c r="K26" s="131">
        <f t="shared" si="15"/>
        <v>0</v>
      </c>
      <c r="L26" s="131">
        <f>AB26</f>
        <v>0.16990966762778492</v>
      </c>
      <c r="M26" s="131">
        <f>AD26</f>
        <v>-0.47355441795249409</v>
      </c>
      <c r="N26" s="131">
        <f>AF26</f>
        <v>-0.1549769820358845</v>
      </c>
      <c r="O26" s="132" t="e">
        <f>AB26/AC26</f>
        <v>#DIV/0!</v>
      </c>
      <c r="P26" s="132" t="e">
        <f>AD26/AE26</f>
        <v>#DIV/0!</v>
      </c>
      <c r="Q26" s="132" t="e">
        <f>AF26/AG26</f>
        <v>#DIV/0!</v>
      </c>
      <c r="R26" s="132">
        <f>[1]!thsiFinD("ths_adjustment_nvg_ratio_fund",$B26,R$1,R$2,101)</f>
        <v>-0.18016898608349</v>
      </c>
      <c r="S26" s="132">
        <f>[1]!thsiFinD("ths_adjustment_nvg_ratio_fund",$B26,S$1,S$2,101)</f>
        <v>8.8328930434194</v>
      </c>
      <c r="T26" s="133">
        <f>[1]!thsiFinD("ths_adjustment_nvg_ratio_fund",$B26,T$1,T$2,101)</f>
        <v>14.756088850796001</v>
      </c>
      <c r="U26" s="132">
        <f>[1]!thsiFinD("ths_adjustment_nvg_ratio_fund",$B26,U$1,U$2,101)</f>
        <v>49.543931496649002</v>
      </c>
      <c r="V26" s="132"/>
      <c r="W26" s="132"/>
      <c r="X26" s="133"/>
      <c r="Y26" s="133"/>
      <c r="Z26" s="133"/>
      <c r="AA26" s="133"/>
      <c r="AB26" s="170">
        <f>(1+([1]!thsiFinD("ths_adjustment_nvg_ratio_fund",$B26,AB$1,AB$2,101)-[1]!thsiFinD("ths_int_chg_ratio_index",$AJ26,AB$1,AB$2,101))/100)^(365/(AB$2-AB$1))-1</f>
        <v>0.16990966762778492</v>
      </c>
      <c r="AC26" s="170">
        <f>[1]!thsiFinD("ths_tracking_error_annual_fund",$B26,AC$1,AC$2,100,101,$AJ26)/100</f>
        <v>0</v>
      </c>
      <c r="AD26" s="170">
        <f>(1+([1]!thsiFinD("ths_adjustment_nvg_ratio_fund",$B26,AD$1,AD$2,101)-[1]!thsiFinD("ths_int_chg_ratio_index",$AJ26,AD$1,AD$2,101))/100)^(365/(AD$2-AD$1))-1</f>
        <v>-0.47355441795249409</v>
      </c>
      <c r="AE26" s="170">
        <f>[1]!thsiFinD("ths_tracking_error_annual_fund",$B26,AE$1,AE$2,100,101,$AJ26)/100</f>
        <v>0</v>
      </c>
      <c r="AF26" s="170">
        <f>(1+([1]!thsiFinD("ths_adjustment_nvg_ratio_fund",$B26,AF$1,AF$2,101)-[1]!thsiFinD("ths_int_chg_ratio_index",$AJ26,AF$1,AF$2,101))/100)^(365/(AF$2-AF$1))-1</f>
        <v>-0.1549769820358845</v>
      </c>
      <c r="AG26" s="134">
        <f>[1]!thsiFinD("ths_tracking_error_annual_fund",$B26,AG$1,AG$2,100,101,$AJ26)/100</f>
        <v>0</v>
      </c>
      <c r="AH26" s="135" t="str">
        <f>[1]!thsiFinD("ths_service_start_fund",B26,100,1,101)</f>
        <v>2025-01-21</v>
      </c>
      <c r="AI26" s="136" t="str">
        <f>[1]!thsiFinD("ths_fund_establishment_date_fund",B26)</f>
        <v>2025-01-21</v>
      </c>
      <c r="AJ26" s="120" t="str">
        <f>[1]!thsiFinD("ths_fund_basement_fund",B26,1)</f>
        <v>932000.CSI</v>
      </c>
    </row>
    <row r="27" spans="1:37">
      <c r="B27" s="120" t="s">
        <v>327</v>
      </c>
      <c r="C27" s="119" t="s">
        <v>328</v>
      </c>
      <c r="F27" s="145">
        <f t="shared" si="15"/>
        <v>-1.1878294353929999E-2</v>
      </c>
      <c r="G27" s="145">
        <f t="shared" si="15"/>
        <v>5.7752991455047996E-2</v>
      </c>
      <c r="H27" s="145">
        <f t="shared" si="15"/>
        <v>7.0626825363470994E-2</v>
      </c>
      <c r="I27" s="145">
        <f t="shared" si="15"/>
        <v>0.32351597250115999</v>
      </c>
      <c r="J27" s="145">
        <f t="shared" si="15"/>
        <v>0.72528024196722995</v>
      </c>
      <c r="K27" s="145">
        <f t="shared" si="15"/>
        <v>0.39826751734254001</v>
      </c>
      <c r="L27" s="151"/>
      <c r="M27" s="151"/>
      <c r="N27" s="151"/>
      <c r="O27" s="151"/>
      <c r="P27" s="151"/>
      <c r="Q27" s="146"/>
      <c r="R27" s="151">
        <f>[1]!thsiFinD("ths_int_chg_ratio_index",$B27,R$1,R$2,101)</f>
        <v>-1.1878294353929999</v>
      </c>
      <c r="S27" s="151">
        <f>[1]!thsiFinD("ths_int_chg_ratio_index",$B27,S$1,S$2,101)</f>
        <v>5.7752991455047997</v>
      </c>
      <c r="T27" s="151">
        <f>[1]!thsiFinD("ths_int_chg_ratio_index",$B27,T$1,T$2,101)</f>
        <v>7.0626825363470997</v>
      </c>
      <c r="U27" s="151">
        <f>[1]!thsiFinD("ths_int_chg_ratio_index",$B27,U$1,U$2,101)</f>
        <v>32.351597250116001</v>
      </c>
      <c r="V27" s="151">
        <f>[1]!thsiFinD("ths_int_chg_ratio_index",$B27,V$1,V$2,101)</f>
        <v>72.528024196722995</v>
      </c>
      <c r="W27" s="151">
        <f>[1]!thsiFinD("ths_int_chg_ratio_index",$B27,W$1,W$2,101)</f>
        <v>39.826751734254003</v>
      </c>
      <c r="X27" s="151">
        <f>[1]!thsiFinD("ths_int_chg_ratio_index",$B27,X$1,X$2,101)</f>
        <v>36.417600131169003</v>
      </c>
      <c r="Y27" s="151">
        <f>[1]!thsiFinD("ths_int_chg_ratio_index",$B27,Y$1,Y$2,101)</f>
        <v>-2.1406298962608998</v>
      </c>
      <c r="Z27" s="151">
        <f>[1]!thsiFinD("ths_int_chg_ratio_index",$B27,Z$1,Z$2,101)</f>
        <v>5.5675063772423998</v>
      </c>
      <c r="AA27" s="151">
        <f>[1]!thsiFinD("ths_int_chg_ratio_index",$B27,AA$1,AA$2,101)</f>
        <v>-14.774946978205</v>
      </c>
      <c r="AJ27" s="151"/>
    </row>
    <row r="28" spans="1:37" s="179" customFormat="1">
      <c r="A28" s="74" t="s">
        <v>329</v>
      </c>
      <c r="B28" s="171" t="s">
        <v>330</v>
      </c>
      <c r="C28" s="172" t="s">
        <v>331</v>
      </c>
      <c r="D28" s="171" t="str">
        <f>[1]!thsiFinD("ths_fund_manager_current_fund",B28)</f>
        <v>施荣盛</v>
      </c>
      <c r="E28" s="173" t="str">
        <f t="shared" ref="E28:E33" si="16">AI28</f>
        <v>2017-03-16</v>
      </c>
      <c r="F28" s="174">
        <f t="shared" si="15"/>
        <v>-1.4674860130239E-2</v>
      </c>
      <c r="G28" s="174">
        <f t="shared" si="15"/>
        <v>6.7097094611373004E-2</v>
      </c>
      <c r="H28" s="174">
        <f t="shared" si="15"/>
        <v>6.7256109676138001E-2</v>
      </c>
      <c r="I28" s="174">
        <f t="shared" si="15"/>
        <v>0.28728057036726001</v>
      </c>
      <c r="J28" s="174">
        <f t="shared" si="15"/>
        <v>0.56535042984118</v>
      </c>
      <c r="K28" s="174">
        <f t="shared" si="15"/>
        <v>0.48898128898129001</v>
      </c>
      <c r="L28" s="174">
        <f t="shared" ref="L28:L33" si="17">AB28</f>
        <v>4.5588518354562124E-2</v>
      </c>
      <c r="M28" s="174">
        <f t="shared" ref="M28:M33" si="18">AD28</f>
        <v>0.10707864690762325</v>
      </c>
      <c r="N28" s="174">
        <f t="shared" ref="N28:N33" si="19">AF28</f>
        <v>7.5516924107318362E-2</v>
      </c>
      <c r="O28" s="175">
        <f t="shared" ref="O28:O33" si="20">AB28/AC28</f>
        <v>1.2357055602162454</v>
      </c>
      <c r="P28" s="175">
        <f t="shared" ref="P28:P33" si="21">AD28/AE28</f>
        <v>2.4169193849411785</v>
      </c>
      <c r="Q28" s="175">
        <f t="shared" ref="Q28:Q33" si="22">AF28/AG28</f>
        <v>1.7256631862301166</v>
      </c>
      <c r="R28" s="175">
        <f>[1]!thsiFinD("ths_adjustment_nvg_ratio_fund",$B28,R$1,R$2,101)</f>
        <v>-1.4674860130239</v>
      </c>
      <c r="S28" s="175">
        <f>[1]!thsiFinD("ths_adjustment_nvg_ratio_fund",$B28,S$1,S$2,101)</f>
        <v>6.7097094611373</v>
      </c>
      <c r="T28" s="104">
        <f>[1]!thsiFinD("ths_adjustment_nvg_ratio_fund",$B28,T$1,T$2,101)</f>
        <v>6.7256109676138003</v>
      </c>
      <c r="U28" s="175">
        <f>[1]!thsiFinD("ths_adjustment_nvg_ratio_fund",$B28,U$1,U$2,101)</f>
        <v>28.728057036726</v>
      </c>
      <c r="V28" s="175">
        <f>[1]!thsiFinD("ths_adjustment_nvg_ratio_fund",$B28,V$1,V$2,101)</f>
        <v>56.535042984118</v>
      </c>
      <c r="W28" s="175">
        <f>[1]!thsiFinD("ths_adjustment_nvg_ratio_fund",$B28,W$1,W$2,101)</f>
        <v>48.898128898129002</v>
      </c>
      <c r="X28" s="104">
        <f>[1]!thsiFinD("ths_adjustment_nvg_ratio_fund",$B28,X$1,X$2,101)</f>
        <v>26.512913969709999</v>
      </c>
      <c r="Y28" s="104">
        <f>[1]!thsiFinD("ths_adjustment_nvg_ratio_fund",$B28,Y$1,Y$2,101)</f>
        <v>21.020609932313999</v>
      </c>
      <c r="Z28" s="104">
        <f>[1]!thsiFinD("ths_adjustment_nvg_ratio_fund",$B28,Z$1,Z$2,101)</f>
        <v>-9.3422504136790003</v>
      </c>
      <c r="AA28" s="104">
        <f>[1]!thsiFinD("ths_adjustment_nvg_ratio_fund",$B28,AA$1,AA$2,101)</f>
        <v>-21.032286165405001</v>
      </c>
      <c r="AB28" s="176">
        <f>(1+([1]!thsiFinD("ths_adjustment_nvg_ratio_fund",$B28,AB$1,AB$2,101)-[1]!thsiFinD("ths_int_chg_ratio_index",$AJ28,AB$1,AB$2,101))/100)^(365/(AB$2-AB$1))-1</f>
        <v>4.5588518354562124E-2</v>
      </c>
      <c r="AC28" s="176">
        <f>[1]!thsiFinD("ths_tracking_error_annual_fund",$B28,AC$1,AC$2,100,101,$AJ28)/100</f>
        <v>3.6892703102011003E-2</v>
      </c>
      <c r="AD28" s="176">
        <f>(1+([1]!thsiFinD("ths_adjustment_nvg_ratio_fund",$B28,AD$1,AD$2,101)-[1]!thsiFinD("ths_int_chg_ratio_index",$AJ28,AD$1,AD$2,101))/100)^(365/(AD$2-AD$1))-1</f>
        <v>0.10707864690762325</v>
      </c>
      <c r="AE28" s="176">
        <f>[1]!thsiFinD("ths_tracking_error_annual_fund",$B28,AE$1,AE$2,100,101,$AJ28)/100</f>
        <v>4.4303772635026994E-2</v>
      </c>
      <c r="AF28" s="176">
        <f>(1+([1]!thsiFinD("ths_adjustment_nvg_ratio_fund",$B28,AF$1,AF$2,101)-[1]!thsiFinD("ths_int_chg_ratio_index",$AJ28,AF$1,AF$2,101))/100)^(365/(AF$2-AF$1))-1</f>
        <v>7.5516924107318362E-2</v>
      </c>
      <c r="AG28" s="176">
        <f>[1]!thsiFinD("ths_tracking_error_annual_fund",$B28,AG$1,AG$2,100,101,$AJ28)/100</f>
        <v>4.3761102809577006E-2</v>
      </c>
      <c r="AH28" s="177" t="str">
        <f>[1]!thsiFinD("ths_service_start_fund",B28,100,1,101)</f>
        <v>2023-08-24</v>
      </c>
      <c r="AI28" s="178" t="str">
        <f>[1]!thsiFinD("ths_fund_establishment_date_fund",B28)</f>
        <v>2017-03-16</v>
      </c>
      <c r="AJ28" s="74" t="str">
        <f>[1]!thsiFinD("ths_fund_basement_fund",B28,1)</f>
        <v>000300.SH</v>
      </c>
      <c r="AK28" s="79"/>
    </row>
    <row r="29" spans="1:37" s="179" customFormat="1">
      <c r="A29" s="74" t="s">
        <v>332</v>
      </c>
      <c r="B29" s="171" t="s">
        <v>333</v>
      </c>
      <c r="C29" s="172" t="s">
        <v>334</v>
      </c>
      <c r="D29" s="171" t="str">
        <f>[1]!thsiFinD("ths_fund_manager_current_fund",B29)</f>
        <v>杨梦</v>
      </c>
      <c r="E29" s="173" t="str">
        <f t="shared" si="16"/>
        <v>2019-04-26</v>
      </c>
      <c r="F29" s="174">
        <f t="shared" si="15"/>
        <v>-1.4008343204408E-2</v>
      </c>
      <c r="G29" s="174">
        <f t="shared" si="15"/>
        <v>9.7763761467889995E-2</v>
      </c>
      <c r="H29" s="174">
        <f t="shared" si="15"/>
        <v>7.2368789559177998E-2</v>
      </c>
      <c r="I29" s="174">
        <f t="shared" si="15"/>
        <v>0.30362249761678001</v>
      </c>
      <c r="J29" s="174">
        <f t="shared" si="15"/>
        <v>0.47337232568878002</v>
      </c>
      <c r="K29" s="174">
        <f t="shared" si="15"/>
        <v>0.49769224751622998</v>
      </c>
      <c r="L29" s="174">
        <f t="shared" si="17"/>
        <v>6.1744041145458173E-2</v>
      </c>
      <c r="M29" s="174">
        <f t="shared" si="18"/>
        <v>6.5069986499435073E-2</v>
      </c>
      <c r="N29" s="174">
        <f t="shared" si="19"/>
        <v>7.8004663245528461E-2</v>
      </c>
      <c r="O29" s="175">
        <f t="shared" si="20"/>
        <v>1.9830564878926955</v>
      </c>
      <c r="P29" s="175">
        <f t="shared" si="21"/>
        <v>1.7158078556678957</v>
      </c>
      <c r="Q29" s="175">
        <f t="shared" si="22"/>
        <v>1.9416219383612974</v>
      </c>
      <c r="R29" s="175">
        <f>[1]!thsiFinD("ths_adjustment_nvg_ratio_fund",$B29,R$1,R$2,101)</f>
        <v>-1.4008343204408</v>
      </c>
      <c r="S29" s="175">
        <f>[1]!thsiFinD("ths_adjustment_nvg_ratio_fund",$B29,S$1,S$2,101)</f>
        <v>9.7763761467889996</v>
      </c>
      <c r="T29" s="104">
        <f>[1]!thsiFinD("ths_adjustment_nvg_ratio_fund",$B29,T$1,T$2,101)</f>
        <v>7.2368789559177999</v>
      </c>
      <c r="U29" s="175">
        <f>[1]!thsiFinD("ths_adjustment_nvg_ratio_fund",$B29,U$1,U$2,101)</f>
        <v>30.362249761678001</v>
      </c>
      <c r="V29" s="175">
        <f>[1]!thsiFinD("ths_adjustment_nvg_ratio_fund",$B29,V$1,V$2,101)</f>
        <v>47.337232568878001</v>
      </c>
      <c r="W29" s="175">
        <f>[1]!thsiFinD("ths_adjustment_nvg_ratio_fund",$B29,W$1,W$2,101)</f>
        <v>49.769224751623</v>
      </c>
      <c r="X29" s="104">
        <f>[1]!thsiFinD("ths_adjustment_nvg_ratio_fund",$B29,X$1,X$2,101)</f>
        <v>23.030804217490001</v>
      </c>
      <c r="Y29" s="104">
        <f>[1]!thsiFinD("ths_adjustment_nvg_ratio_fund",$B29,Y$1,Y$2,101)</f>
        <v>19.089043906442001</v>
      </c>
      <c r="Z29" s="104">
        <f>[1]!thsiFinD("ths_adjustment_nvg_ratio_fund",$B29,Z$1,Z$2,101)</f>
        <v>-4.2661847894406</v>
      </c>
      <c r="AA29" s="104">
        <f>[1]!thsiFinD("ths_adjustment_nvg_ratio_fund",$B29,AA$1,AA$2,101)</f>
        <v>-20.860535969657001</v>
      </c>
      <c r="AB29" s="176">
        <f>(1+([1]!thsiFinD("ths_adjustment_nvg_ratio_fund",$B29,AB$1,AB$2,101)-[1]!thsiFinD("ths_int_chg_ratio_index",$AJ29,AB$1,AB$2,101))/100)^(365/(AB$2-AB$1))-1</f>
        <v>6.1744041145458173E-2</v>
      </c>
      <c r="AC29" s="176">
        <f>[1]!thsiFinD("ths_tracking_error_annual_fund",$B29,AC$1,AC$2,100,101,$AJ29)/100</f>
        <v>3.1135795436201E-2</v>
      </c>
      <c r="AD29" s="176">
        <f>(1+([1]!thsiFinD("ths_adjustment_nvg_ratio_fund",$B29,AD$1,AD$2,101)-[1]!thsiFinD("ths_int_chg_ratio_index",$AJ29,AD$1,AD$2,101))/100)^(365/(AD$2-AD$1))-1</f>
        <v>6.5069986499435073E-2</v>
      </c>
      <c r="AE29" s="176">
        <f>[1]!thsiFinD("ths_tracking_error_annual_fund",$B29,AE$1,AE$2,100,101,$AJ29)/100</f>
        <v>3.7923818966375998E-2</v>
      </c>
      <c r="AF29" s="176">
        <f>(1+([1]!thsiFinD("ths_adjustment_nvg_ratio_fund",$B29,AF$1,AF$2,101)-[1]!thsiFinD("ths_int_chg_ratio_index",$AJ29,AF$1,AF$2,101))/100)^(365/(AF$2-AF$1))-1</f>
        <v>7.8004663245528461E-2</v>
      </c>
      <c r="AG29" s="176">
        <f>[1]!thsiFinD("ths_tracking_error_annual_fund",$B29,AG$1,AG$2,100,101,$AJ29)/100</f>
        <v>4.0175000964071998E-2</v>
      </c>
      <c r="AH29" s="177" t="str">
        <f>[1]!thsiFinD("ths_service_start_fund",B29,100,1,101)</f>
        <v>2019-04-26</v>
      </c>
      <c r="AI29" s="178" t="str">
        <f>[1]!thsiFinD("ths_fund_establishment_date_fund",B29)</f>
        <v>2019-04-26</v>
      </c>
      <c r="AJ29" s="74" t="str">
        <f>[1]!thsiFinD("ths_fund_basement_fund",B29,1)</f>
        <v>000300.SH</v>
      </c>
      <c r="AK29" s="79"/>
    </row>
    <row r="30" spans="1:37" s="179" customFormat="1">
      <c r="A30" s="74" t="s">
        <v>335</v>
      </c>
      <c r="B30" s="171" t="s">
        <v>336</v>
      </c>
      <c r="C30" s="172" t="s">
        <v>337</v>
      </c>
      <c r="D30" s="171" t="str">
        <f>[1]!thsiFinD("ths_fund_manager_current_fund",B30)</f>
        <v>杨超</v>
      </c>
      <c r="E30" s="173" t="str">
        <f t="shared" si="16"/>
        <v>2019-12-27</v>
      </c>
      <c r="F30" s="174">
        <f t="shared" si="15"/>
        <v>-1.6534597866100998E-2</v>
      </c>
      <c r="G30" s="174">
        <f t="shared" si="15"/>
        <v>9.4355342636951001E-2</v>
      </c>
      <c r="H30" s="174">
        <f t="shared" si="15"/>
        <v>6.7596857220265996E-2</v>
      </c>
      <c r="I30" s="174">
        <f t="shared" si="15"/>
        <v>0.28365502076716004</v>
      </c>
      <c r="J30" s="174">
        <f t="shared" si="15"/>
        <v>0.39462042116440005</v>
      </c>
      <c r="K30" s="174">
        <f t="shared" si="15"/>
        <v>0.35879310344827997</v>
      </c>
      <c r="L30" s="174">
        <f>AB30</f>
        <v>4.2003954315107173E-2</v>
      </c>
      <c r="M30" s="174">
        <f>AD30</f>
        <v>2.7719092152370672E-2</v>
      </c>
      <c r="N30" s="174">
        <f>AF30</f>
        <v>3.6866741113970702E-2</v>
      </c>
      <c r="O30" s="175">
        <f>AB30/AC30</f>
        <v>1.9967937663201727</v>
      </c>
      <c r="P30" s="175">
        <f>AD30/AE30</f>
        <v>1.1147582622359316</v>
      </c>
      <c r="Q30" s="175">
        <f>AF30/AG30</f>
        <v>1.4917881788234066</v>
      </c>
      <c r="R30" s="175">
        <f>[1]!thsiFinD("ths_adjustment_nvg_ratio_fund",$B30,R$1,R$2,101)</f>
        <v>-1.6534597866101</v>
      </c>
      <c r="S30" s="175">
        <f>[1]!thsiFinD("ths_adjustment_nvg_ratio_fund",$B30,S$1,S$2,101)</f>
        <v>9.4355342636951001</v>
      </c>
      <c r="T30" s="104">
        <f>[1]!thsiFinD("ths_adjustment_nvg_ratio_fund",$B30,T$1,T$2,101)</f>
        <v>6.7596857220265996</v>
      </c>
      <c r="U30" s="175">
        <f>[1]!thsiFinD("ths_adjustment_nvg_ratio_fund",$B30,U$1,U$2,101)</f>
        <v>28.365502076716002</v>
      </c>
      <c r="V30" s="175">
        <f>[1]!thsiFinD("ths_adjustment_nvg_ratio_fund",$B30,V$1,V$2,101)</f>
        <v>39.462042116440003</v>
      </c>
      <c r="W30" s="175">
        <f>[1]!thsiFinD("ths_adjustment_nvg_ratio_fund",$B30,W$1,W$2,101)</f>
        <v>35.879310344827999</v>
      </c>
      <c r="X30" s="104">
        <f>[1]!thsiFinD("ths_adjustment_nvg_ratio_fund",$B30,X$1,X$2,101)</f>
        <v>19.662830280434001</v>
      </c>
      <c r="Y30" s="104">
        <f>[1]!thsiFinD("ths_adjustment_nvg_ratio_fund",$B30,Y$1,Y$2,101)</f>
        <v>14.793449944176</v>
      </c>
      <c r="Z30" s="104">
        <f>[1]!thsiFinD("ths_adjustment_nvg_ratio_fund",$B30,Z$1,Z$2,101)</f>
        <v>-7.6632302405498001</v>
      </c>
      <c r="AA30" s="104">
        <f>[1]!thsiFinD("ths_adjustment_nvg_ratio_fund",$B30,AA$1,AA$2,101)</f>
        <v>-21.138211382114001</v>
      </c>
      <c r="AB30" s="176">
        <f>(1+([1]!thsiFinD("ths_adjustment_nvg_ratio_fund",$B30,AB$1,AB$2,101)-[1]!thsiFinD("ths_int_chg_ratio_index",$AJ30,AB$1,AB$2,101))/100)^(365/(AB$2-AB$1))-1</f>
        <v>4.2003954315107173E-2</v>
      </c>
      <c r="AC30" s="176">
        <f>[1]!thsiFinD("ths_tracking_error_annual_fund",$B30,AC$1,AC$2,100,101,$AJ30)/100</f>
        <v>2.1035699842210001E-2</v>
      </c>
      <c r="AD30" s="176">
        <f>(1+([1]!thsiFinD("ths_adjustment_nvg_ratio_fund",$B30,AD$1,AD$2,101)-[1]!thsiFinD("ths_int_chg_ratio_index",$AJ30,AD$1,AD$2,101))/100)^(365/(AD$2-AD$1))-1</f>
        <v>2.7719092152370672E-2</v>
      </c>
      <c r="AE30" s="176">
        <f>[1]!thsiFinD("ths_tracking_error_annual_fund",$B30,AE$1,AE$2,100,101,$AJ30)/100</f>
        <v>2.4865563316635999E-2</v>
      </c>
      <c r="AF30" s="176">
        <f>(1+([1]!thsiFinD("ths_adjustment_nvg_ratio_fund",$B30,AF$1,AF$2,101)-[1]!thsiFinD("ths_int_chg_ratio_index",$AJ30,AF$1,AF$2,101))/100)^(365/(AF$2-AF$1))-1</f>
        <v>3.6866741113970702E-2</v>
      </c>
      <c r="AG30" s="176">
        <f>[1]!thsiFinD("ths_tracking_error_annual_fund",$B30,AG$1,AG$2,100,101,$AJ30)/100</f>
        <v>2.4713120560486003E-2</v>
      </c>
      <c r="AH30" s="177" t="str">
        <f>[1]!thsiFinD("ths_service_start_fund",B30,100,1,101)</f>
        <v>2019-12-27</v>
      </c>
      <c r="AI30" s="178" t="str">
        <f>[1]!thsiFinD("ths_fund_establishment_date_fund",B30)</f>
        <v>2019-12-27</v>
      </c>
      <c r="AJ30" s="74" t="str">
        <f>[1]!thsiFinD("ths_fund_basement_fund",B30,1)</f>
        <v>000300.SH</v>
      </c>
      <c r="AK30" s="79"/>
    </row>
    <row r="31" spans="1:37" s="179" customFormat="1">
      <c r="A31" s="74" t="s">
        <v>338</v>
      </c>
      <c r="B31" s="171" t="s">
        <v>339</v>
      </c>
      <c r="C31" s="172" t="s">
        <v>340</v>
      </c>
      <c r="D31" s="171" t="str">
        <f>[1]!thsiFinD("ths_fund_manager_current_fund",B31)</f>
        <v>黎海威</v>
      </c>
      <c r="E31" s="173" t="str">
        <f t="shared" si="16"/>
        <v>2013-10-29</v>
      </c>
      <c r="F31" s="174">
        <f t="shared" si="15"/>
        <v>-1.6908212548692E-2</v>
      </c>
      <c r="G31" s="174">
        <f t="shared" si="15"/>
        <v>9.7457627118228002E-2</v>
      </c>
      <c r="H31" s="174">
        <f t="shared" si="15"/>
        <v>7.5906344407006998E-2</v>
      </c>
      <c r="I31" s="174">
        <f t="shared" si="15"/>
        <v>0.30628152225225003</v>
      </c>
      <c r="J31" s="174">
        <f t="shared" si="15"/>
        <v>0.41530054642499997</v>
      </c>
      <c r="K31" s="174">
        <f t="shared" si="15"/>
        <v>0.35023696682065003</v>
      </c>
      <c r="L31" s="174">
        <f>AB31</f>
        <v>6.4372479671428673E-2</v>
      </c>
      <c r="M31" s="174">
        <f>AD31</f>
        <v>3.765935018342903E-2</v>
      </c>
      <c r="N31" s="174">
        <f>AF31</f>
        <v>3.4223141015492065E-2</v>
      </c>
      <c r="O31" s="175">
        <f>AB31/AC31</f>
        <v>3.1219759547180117</v>
      </c>
      <c r="P31" s="175">
        <f>AD31/AE31</f>
        <v>1.6202166968543263</v>
      </c>
      <c r="Q31" s="175">
        <f>AF31/AG31</f>
        <v>1.4200240452766129</v>
      </c>
      <c r="R31" s="175">
        <f>[1]!thsiFinD("ths_adjustment_nvg_ratio_fund",$B31,R$1,R$2,101)</f>
        <v>-1.6908212548692001</v>
      </c>
      <c r="S31" s="175">
        <f>[1]!thsiFinD("ths_adjustment_nvg_ratio_fund",$B31,S$1,S$2,101)</f>
        <v>9.7457627118228007</v>
      </c>
      <c r="T31" s="104">
        <f>[1]!thsiFinD("ths_adjustment_nvg_ratio_fund",$B31,T$1,T$2,101)</f>
        <v>7.5906344407006996</v>
      </c>
      <c r="U31" s="175">
        <f>[1]!thsiFinD("ths_adjustment_nvg_ratio_fund",$B31,U$1,U$2,101)</f>
        <v>30.628152225225001</v>
      </c>
      <c r="V31" s="175">
        <f>[1]!thsiFinD("ths_adjustment_nvg_ratio_fund",$B31,V$1,V$2,101)</f>
        <v>41.530054642499998</v>
      </c>
      <c r="W31" s="175">
        <f>[1]!thsiFinD("ths_adjustment_nvg_ratio_fund",$B31,W$1,W$2,101)</f>
        <v>35.023696682065001</v>
      </c>
      <c r="X31" s="104">
        <f>[1]!thsiFinD("ths_adjustment_nvg_ratio_fund",$B31,X$1,X$2,101)</f>
        <v>20.858055684039002</v>
      </c>
      <c r="Y31" s="104">
        <f>[1]!thsiFinD("ths_adjustment_nvg_ratio_fund",$B31,Y$1,Y$2,101)</f>
        <v>12.996389889306</v>
      </c>
      <c r="Z31" s="104">
        <f>[1]!thsiFinD("ths_adjustment_nvg_ratio_fund",$B31,Z$1,Z$2,101)</f>
        <v>-9.9396191339061009</v>
      </c>
      <c r="AA31" s="104">
        <f>[1]!thsiFinD("ths_adjustment_nvg_ratio_fund",$B31,AA$1,AA$2,101)</f>
        <v>-20.961820853399999</v>
      </c>
      <c r="AB31" s="176">
        <f>(1+([1]!thsiFinD("ths_adjustment_nvg_ratio_fund",$B31,AB$1,AB$2,101)-[1]!thsiFinD("ths_int_chg_ratio_index",$AJ31,AB$1,AB$2,101))/100)^(365/(AB$2-AB$1))-1</f>
        <v>6.4372479671428673E-2</v>
      </c>
      <c r="AC31" s="176">
        <f>[1]!thsiFinD("ths_tracking_error_annual_fund",$B31,AC$1,AC$2,100,101,$AJ31)/100</f>
        <v>2.0619146529346998E-2</v>
      </c>
      <c r="AD31" s="176">
        <f>(1+([1]!thsiFinD("ths_adjustment_nvg_ratio_fund",$B31,AD$1,AD$2,101)-[1]!thsiFinD("ths_int_chg_ratio_index",$AJ31,AD$1,AD$2,101))/100)^(365/(AD$2-AD$1))-1</f>
        <v>3.765935018342903E-2</v>
      </c>
      <c r="AE31" s="176">
        <f>[1]!thsiFinD("ths_tracking_error_annual_fund",$B31,AE$1,AE$2,100,101,$AJ31)/100</f>
        <v>2.3243403340149002E-2</v>
      </c>
      <c r="AF31" s="176">
        <f>(1+([1]!thsiFinD("ths_adjustment_nvg_ratio_fund",$B31,AF$1,AF$2,101)-[1]!thsiFinD("ths_int_chg_ratio_index",$AJ31,AF$1,AF$2,101))/100)^(365/(AF$2-AF$1))-1</f>
        <v>3.4223141015492065E-2</v>
      </c>
      <c r="AG31" s="176">
        <f>[1]!thsiFinD("ths_tracking_error_annual_fund",$B31,AG$1,AG$2,100,101,$AJ31)/100</f>
        <v>2.410039543297E-2</v>
      </c>
      <c r="AH31" s="177" t="str">
        <f>[1]!thsiFinD("ths_service_start_fund",B31,100,1,101)</f>
        <v>2013-10-29</v>
      </c>
      <c r="AI31" s="178" t="str">
        <f>[1]!thsiFinD("ths_fund_establishment_date_fund",B31)</f>
        <v>2013-10-29</v>
      </c>
      <c r="AJ31" s="74" t="str">
        <f>[1]!thsiFinD("ths_fund_basement_fund",B31,1)</f>
        <v>000300.SH</v>
      </c>
      <c r="AK31" s="79"/>
    </row>
    <row r="32" spans="1:37" s="179" customFormat="1">
      <c r="A32" s="74" t="s">
        <v>329</v>
      </c>
      <c r="B32" s="171" t="s">
        <v>341</v>
      </c>
      <c r="C32" s="172" t="s">
        <v>342</v>
      </c>
      <c r="D32" s="171" t="str">
        <f>[1]!thsiFinD("ths_fund_manager_current_fund",B32)</f>
        <v>张胜记</v>
      </c>
      <c r="E32" s="173" t="str">
        <f t="shared" si="16"/>
        <v>2020-12-30</v>
      </c>
      <c r="F32" s="174">
        <f t="shared" si="15"/>
        <v>6.7840536626267E-3</v>
      </c>
      <c r="G32" s="174">
        <f t="shared" si="15"/>
        <v>0.36094796496650999</v>
      </c>
      <c r="H32" s="174">
        <f t="shared" si="15"/>
        <v>0.28758042503412001</v>
      </c>
      <c r="I32" s="174">
        <f t="shared" si="15"/>
        <v>0.71132417724799002</v>
      </c>
      <c r="J32" s="174">
        <f t="shared" si="15"/>
        <v>0.77526881720429996</v>
      </c>
      <c r="K32" s="174">
        <f t="shared" si="15"/>
        <v>0.84520815870354993</v>
      </c>
      <c r="L32" s="174">
        <f t="shared" si="17"/>
        <v>0.4640145891737828</v>
      </c>
      <c r="M32" s="174">
        <f t="shared" si="18"/>
        <v>0.19737565705238591</v>
      </c>
      <c r="N32" s="174">
        <f t="shared" si="19"/>
        <v>0.16904617742807915</v>
      </c>
      <c r="O32" s="175">
        <f t="shared" si="20"/>
        <v>3.9871560354703481</v>
      </c>
      <c r="P32" s="175">
        <f t="shared" si="21"/>
        <v>1.9603156479455555</v>
      </c>
      <c r="Q32" s="175">
        <f t="shared" si="22"/>
        <v>1.8896351264881679</v>
      </c>
      <c r="R32" s="175">
        <f>[1]!thsiFinD("ths_adjustment_nvg_ratio_fund",$B32,R$1,R$2,101)</f>
        <v>0.67840536626267001</v>
      </c>
      <c r="S32" s="175">
        <f>[1]!thsiFinD("ths_adjustment_nvg_ratio_fund",$B32,S$1,S$2,101)</f>
        <v>36.094796496651</v>
      </c>
      <c r="T32" s="104">
        <f>[1]!thsiFinD("ths_adjustment_nvg_ratio_fund",$B32,T$1,T$2,101)</f>
        <v>28.758042503412</v>
      </c>
      <c r="U32" s="175">
        <f>[1]!thsiFinD("ths_adjustment_nvg_ratio_fund",$B32,U$1,U$2,101)</f>
        <v>71.132417724798998</v>
      </c>
      <c r="V32" s="175">
        <f>[1]!thsiFinD("ths_adjustment_nvg_ratio_fund",$B32,V$1,V$2,101)</f>
        <v>77.526881720429998</v>
      </c>
      <c r="W32" s="175">
        <f>[1]!thsiFinD("ths_adjustment_nvg_ratio_fund",$B32,W$1,W$2,101)</f>
        <v>84.520815870354994</v>
      </c>
      <c r="X32" s="104">
        <f>[1]!thsiFinD("ths_adjustment_nvg_ratio_fund",$B32,X$1,X$2,101)</f>
        <v>30.808467227748</v>
      </c>
      <c r="Y32" s="104">
        <f>[1]!thsiFinD("ths_adjustment_nvg_ratio_fund",$B32,Y$1,Y$2,101)</f>
        <v>22.054474708171</v>
      </c>
      <c r="Z32" s="104">
        <f>[1]!thsiFinD("ths_adjustment_nvg_ratio_fund",$B32,Z$1,Z$2,101)</f>
        <v>-11.974243046992999</v>
      </c>
      <c r="AA32" s="104">
        <f>[1]!thsiFinD("ths_adjustment_nvg_ratio_fund",$B32,AA$1,AA$2,101)</f>
        <v>-19.543650793651</v>
      </c>
      <c r="AB32" s="176">
        <f>(1+([1]!thsiFinD("ths_adjustment_nvg_ratio_fund",$B32,AB$1,AB$2,101)-[1]!thsiFinD("ths_int_chg_ratio_index",$AJ32,AB$1,AB$2,101))/100)^(365/(AB$2-AB$1))-1</f>
        <v>0.4640145891737828</v>
      </c>
      <c r="AC32" s="176">
        <f>[1]!thsiFinD("ths_tracking_error_annual_fund",$B32,AC$1,AC$2,100,101,$AJ32)/100</f>
        <v>0.11637733388055001</v>
      </c>
      <c r="AD32" s="176">
        <f>(1+([1]!thsiFinD("ths_adjustment_nvg_ratio_fund",$B32,AD$1,AD$2,101)-[1]!thsiFinD("ths_int_chg_ratio_index",$AJ32,AD$1,AD$2,101))/100)^(365/(AD$2-AD$1))-1</f>
        <v>0.19737565705238591</v>
      </c>
      <c r="AE32" s="176">
        <f>[1]!thsiFinD("ths_tracking_error_annual_fund",$B32,AE$1,AE$2,100,101,$AJ32)/100</f>
        <v>0.10068565093547001</v>
      </c>
      <c r="AF32" s="176">
        <f>(1+([1]!thsiFinD("ths_adjustment_nvg_ratio_fund",$B32,AF$1,AF$2,101)-[1]!thsiFinD("ths_int_chg_ratio_index",$AJ32,AF$1,AF$2,101))/100)^(365/(AF$2-AF$1))-1</f>
        <v>0.16904617742807915</v>
      </c>
      <c r="AG32" s="176">
        <f>[1]!thsiFinD("ths_tracking_error_annual_fund",$B32,AG$1,AG$2,100,101,$AJ32)/100</f>
        <v>8.9459692539822E-2</v>
      </c>
      <c r="AH32" s="177" t="str">
        <f>[1]!thsiFinD("ths_service_start_fund",B32,100,1,101)</f>
        <v>2020-12-30</v>
      </c>
      <c r="AI32" s="178" t="str">
        <f>[1]!thsiFinD("ths_fund_establishment_date_fund",B32)</f>
        <v>2020-12-30</v>
      </c>
      <c r="AJ32" s="74" t="str">
        <f>[1]!thsiFinD("ths_fund_basement_fund",B32,1)</f>
        <v>000300.SH</v>
      </c>
      <c r="AK32" s="79"/>
    </row>
    <row r="33" spans="1:37" s="150" customFormat="1" hidden="1">
      <c r="A33" s="3" t="s">
        <v>335</v>
      </c>
      <c r="B33" s="142" t="s">
        <v>343</v>
      </c>
      <c r="C33" s="143" t="s">
        <v>344</v>
      </c>
      <c r="D33" s="142" t="str">
        <f>[1]!thsiFinD("ths_fund_manager_current_fund",B33)</f>
        <v>乔亮</v>
      </c>
      <c r="E33" s="180" t="str">
        <f t="shared" si="16"/>
        <v>2016-09-26</v>
      </c>
      <c r="F33" s="145">
        <f t="shared" si="15"/>
        <v>-1.8827454686608999E-2</v>
      </c>
      <c r="G33" s="145">
        <f t="shared" si="15"/>
        <v>9.1029548171291996E-2</v>
      </c>
      <c r="H33" s="145">
        <f t="shared" si="15"/>
        <v>9.0235021505970001E-2</v>
      </c>
      <c r="I33" s="145">
        <f t="shared" si="15"/>
        <v>0.31670264652973001</v>
      </c>
      <c r="J33" s="145">
        <f t="shared" si="15"/>
        <v>0.38351676052648997</v>
      </c>
      <c r="K33" s="145">
        <f t="shared" si="15"/>
        <v>0.25614035091773002</v>
      </c>
      <c r="L33" s="145">
        <f t="shared" si="17"/>
        <v>7.4673048320231805E-2</v>
      </c>
      <c r="M33" s="145">
        <f t="shared" si="18"/>
        <v>2.2341499289503686E-2</v>
      </c>
      <c r="N33" s="145">
        <f t="shared" si="19"/>
        <v>4.2052211344600909E-3</v>
      </c>
      <c r="O33" s="146">
        <f t="shared" si="20"/>
        <v>2.4159407533647648</v>
      </c>
      <c r="P33" s="146">
        <f t="shared" si="21"/>
        <v>0.64372790095245802</v>
      </c>
      <c r="Q33" s="146">
        <f t="shared" si="22"/>
        <v>0.11806991189662627</v>
      </c>
      <c r="R33" s="146">
        <f>[1]!thsiFinD("ths_adjustment_nvg_ratio_fund",$B33,R$1,R$2,101)</f>
        <v>-1.8827454686609</v>
      </c>
      <c r="S33" s="146">
        <f>[1]!thsiFinD("ths_adjustment_nvg_ratio_fund",$B33,S$1,S$2,101)</f>
        <v>9.1029548171292003</v>
      </c>
      <c r="T33" s="102">
        <f>[1]!thsiFinD("ths_adjustment_nvg_ratio_fund",$B33,T$1,T$2,101)</f>
        <v>9.0235021505970003</v>
      </c>
      <c r="U33" s="146">
        <f>[1]!thsiFinD("ths_adjustment_nvg_ratio_fund",$B33,U$1,U$2,101)</f>
        <v>31.670264652973</v>
      </c>
      <c r="V33" s="146">
        <f>[1]!thsiFinD("ths_adjustment_nvg_ratio_fund",$B33,V$1,V$2,101)</f>
        <v>38.351676052648997</v>
      </c>
      <c r="W33" s="146">
        <f>[1]!thsiFinD("ths_adjustment_nvg_ratio_fund",$B33,W$1,W$2,101)</f>
        <v>25.614035091773001</v>
      </c>
      <c r="X33" s="102">
        <f>[1]!thsiFinD("ths_adjustment_nvg_ratio_fund",$B33,X$1,X$2,101)</f>
        <v>20.521822389819</v>
      </c>
      <c r="Y33" s="102">
        <f>[1]!thsiFinD("ths_adjustment_nvg_ratio_fund",$B33,Y$1,Y$2,101)</f>
        <v>5.0632911417279001</v>
      </c>
      <c r="Z33" s="102">
        <f>[1]!thsiFinD("ths_adjustment_nvg_ratio_fund",$B33,Z$1,Z$2,101)</f>
        <v>-10.891163071827</v>
      </c>
      <c r="AA33" s="102">
        <f>[1]!thsiFinD("ths_adjustment_nvg_ratio_fund",$B33,AA$1,AA$2,101)</f>
        <v>-12.571839077541</v>
      </c>
      <c r="AB33" s="147">
        <f>(1+([1]!thsiFinD("ths_adjustment_nvg_ratio_fund",$B33,AB$1,AB$2,101)-[1]!thsiFinD("ths_int_chg_ratio_index",$AJ33,AB$1,AB$2,101))/100)^(365/(AB$2-AB$1))-1</f>
        <v>7.4673048320231805E-2</v>
      </c>
      <c r="AC33" s="147">
        <f>[1]!thsiFinD("ths_tracking_error_annual_fund",$B33,AC$1,AC$2,100,101,$AJ33)/100</f>
        <v>3.0908476632232E-2</v>
      </c>
      <c r="AD33" s="147">
        <f>(1+([1]!thsiFinD("ths_adjustment_nvg_ratio_fund",$B33,AD$1,AD$2,101)-[1]!thsiFinD("ths_int_chg_ratio_index",$AJ33,AD$1,AD$2,101))/100)^(365/(AD$2-AD$1))-1</f>
        <v>2.2341499289503686E-2</v>
      </c>
      <c r="AE33" s="147">
        <f>[1]!thsiFinD("ths_tracking_error_annual_fund",$B33,AE$1,AE$2,100,101,$AJ33)/100</f>
        <v>3.4706433038628998E-2</v>
      </c>
      <c r="AF33" s="147">
        <f>(1+([1]!thsiFinD("ths_adjustment_nvg_ratio_fund",$B33,AF$1,AF$2,101)-[1]!thsiFinD("ths_int_chg_ratio_index",$AJ33,AF$1,AF$2,101))/100)^(365/(AF$2-AF$1))-1</f>
        <v>4.2052211344600909E-3</v>
      </c>
      <c r="AG33" s="147">
        <f>[1]!thsiFinD("ths_tracking_error_annual_fund",$B33,AG$1,AG$2,100,101,$AJ33)/100</f>
        <v>3.5616365481341998E-2</v>
      </c>
      <c r="AH33" s="148" t="str">
        <f>[1]!thsiFinD("ths_service_start_fund",B33,100,1,101)</f>
        <v>2019-09-06</v>
      </c>
      <c r="AI33" s="149" t="str">
        <f>[1]!thsiFinD("ths_fund_establishment_date_fund",B33)</f>
        <v>2016-09-26</v>
      </c>
      <c r="AJ33" s="3" t="str">
        <f>[1]!thsiFinD("ths_fund_basement_fund",B33,1)</f>
        <v>000300.SH</v>
      </c>
      <c r="AK33" s="9"/>
    </row>
    <row r="34" spans="1:37">
      <c r="B34" s="120" t="s">
        <v>345</v>
      </c>
      <c r="C34" s="119" t="s">
        <v>335</v>
      </c>
      <c r="F34" s="145">
        <f t="shared" si="15"/>
        <v>-1.8460437601987002E-2</v>
      </c>
      <c r="G34" s="145">
        <f t="shared" si="15"/>
        <v>7.9046607416236994E-2</v>
      </c>
      <c r="H34" s="145">
        <f t="shared" si="15"/>
        <v>3.7121672972184001E-2</v>
      </c>
      <c r="I34" s="145">
        <f t="shared" si="15"/>
        <v>0.24118110820958999</v>
      </c>
      <c r="J34" s="145">
        <f t="shared" si="15"/>
        <v>0.33801821654642</v>
      </c>
      <c r="K34" s="145">
        <f t="shared" si="15"/>
        <v>0.24340170318571999</v>
      </c>
      <c r="L34" s="151"/>
      <c r="M34" s="151"/>
      <c r="N34" s="151"/>
      <c r="O34" s="151"/>
      <c r="P34" s="151"/>
      <c r="Q34" s="146"/>
      <c r="R34" s="151">
        <f>[1]!thsiFinD("ths_int_chg_ratio_index",$B34,R$1,R$2,101)</f>
        <v>-1.8460437601987001</v>
      </c>
      <c r="S34" s="151">
        <f>[1]!thsiFinD("ths_int_chg_ratio_index",$B34,S$1,S$2,101)</f>
        <v>7.9046607416237</v>
      </c>
      <c r="T34" s="151">
        <f>[1]!thsiFinD("ths_int_chg_ratio_index",$B34,T$1,T$2,101)</f>
        <v>3.7121672972184001</v>
      </c>
      <c r="U34" s="151">
        <f>[1]!thsiFinD("ths_int_chg_ratio_index",$B34,U$1,U$2,101)</f>
        <v>24.118110820959</v>
      </c>
      <c r="V34" s="151">
        <f>[1]!thsiFinD("ths_int_chg_ratio_index",$B34,V$1,V$2,101)</f>
        <v>33.801821654641998</v>
      </c>
      <c r="W34" s="151">
        <f>[1]!thsiFinD("ths_int_chg_ratio_index",$B34,W$1,W$2,101)</f>
        <v>24.340170318572</v>
      </c>
      <c r="X34" s="151">
        <f>[1]!thsiFinD("ths_int_chg_ratio_index",$B34,X$1,X$2,101)</f>
        <v>17.663134379993</v>
      </c>
      <c r="Y34" s="151">
        <f>[1]!thsiFinD("ths_int_chg_ratio_index",$B34,Y$1,Y$2,101)</f>
        <v>14.683324483427</v>
      </c>
      <c r="Z34" s="151">
        <f>[1]!thsiFinD("ths_int_chg_ratio_index",$B34,Z$1,Z$2,101)</f>
        <v>-11.378242952626</v>
      </c>
      <c r="AA34" s="151">
        <f>[1]!thsiFinD("ths_int_chg_ratio_index",$B34,AA$1,AA$2,101)</f>
        <v>-21.632768114910998</v>
      </c>
      <c r="AJ34" s="151">
        <f>[1]!thsiFinD("ths_int_chg_ratio_index",$B34,AJ$1,AJ$2,101)</f>
        <v>0</v>
      </c>
    </row>
    <row r="35" spans="1:37">
      <c r="A35" s="152">
        <v>300</v>
      </c>
      <c r="B35" s="152" t="s">
        <v>346</v>
      </c>
      <c r="C35" s="181" t="s">
        <v>347</v>
      </c>
      <c r="D35" s="152"/>
      <c r="E35" s="152"/>
      <c r="F35" s="152"/>
      <c r="G35" s="152"/>
      <c r="H35" s="152"/>
      <c r="I35" s="157"/>
      <c r="J35" s="157"/>
      <c r="K35" s="157"/>
      <c r="L35" s="157"/>
      <c r="M35" s="157"/>
      <c r="N35" s="157"/>
      <c r="O35" s="157"/>
      <c r="P35" s="157"/>
      <c r="Q35" s="157"/>
      <c r="R35" s="157">
        <f>[1]!thsiFinD("ths_adjustment_nvg_ratio_fund",$B35,R$1,R$2,101)</f>
        <v>-1.7003529022248001</v>
      </c>
      <c r="S35" s="157">
        <f>[1]!thsiFinD("ths_adjustment_nvg_ratio_fund",$B35,S$1,S$2,101)</f>
        <v>7.8588400954040996</v>
      </c>
      <c r="T35" s="158">
        <f>[1]!thsiFinD("ths_adjustment_nvg_ratio_fund",$B35,T$1,T$2,101)</f>
        <v>3.9742197663230998</v>
      </c>
      <c r="U35" s="157">
        <f>[1]!thsiFinD("ths_adjustment_nvg_ratio_fund",$B35,U$1,U$2,101)</f>
        <v>25.784963376413</v>
      </c>
      <c r="V35" s="157">
        <f>[1]!thsiFinD("ths_adjustment_nvg_ratio_fund",$B35,V$1,V$2,101)</f>
        <v>38.598740522941</v>
      </c>
      <c r="W35" s="157">
        <f>[1]!thsiFinD("ths_adjustment_nvg_ratio_fund",$B35,W$1,W$2,101)</f>
        <v>31.646722291884</v>
      </c>
      <c r="X35" s="158">
        <f>[1]!thsiFinD("ths_adjustment_nvg_ratio_fund",$B35,X$1,X$2,101)</f>
        <v>19.595643310956</v>
      </c>
      <c r="Y35" s="158">
        <f>[1]!thsiFinD("ths_adjustment_nvg_ratio_fund",$B35,Y$1,Y$2,101)</f>
        <v>16.371031523443001</v>
      </c>
      <c r="Z35" s="158">
        <f>[1]!thsiFinD("ths_adjustment_nvg_ratio_fund",$B35,Z$1,Z$2,101)</f>
        <v>-9.1832546702101006</v>
      </c>
      <c r="AA35" s="158">
        <f>[1]!thsiFinD("ths_adjustment_nvg_ratio_fund",$B35,AA$1,AA$2,101)</f>
        <v>-19.441229953998999</v>
      </c>
      <c r="AH35" s="177" t="str">
        <f>[1]!thsiFinD("ths_service_start_fund",B35,100,1,101)</f>
        <v>2021-09-24</v>
      </c>
      <c r="AI35" s="178" t="str">
        <f>[1]!thsiFinD("ths_fund_establishment_date_fund",B35)</f>
        <v>2005-08-29</v>
      </c>
      <c r="AJ35" s="157"/>
    </row>
    <row r="36" spans="1:37">
      <c r="A36" s="152">
        <v>300</v>
      </c>
      <c r="B36" s="152" t="s">
        <v>348</v>
      </c>
      <c r="C36" s="181" t="s">
        <v>349</v>
      </c>
      <c r="D36" s="152"/>
      <c r="E36" s="152"/>
      <c r="F36" s="152"/>
      <c r="G36" s="152"/>
      <c r="H36" s="152"/>
      <c r="I36" s="157"/>
      <c r="J36" s="157"/>
      <c r="K36" s="157"/>
      <c r="L36" s="157"/>
      <c r="M36" s="157"/>
      <c r="N36" s="157"/>
      <c r="O36" s="157"/>
      <c r="P36" s="157"/>
      <c r="Q36" s="157"/>
      <c r="R36" s="157">
        <f>[1]!thsiFinD("ths_adjustment_nvg_ratio_fund",$B36,R$1,R$2,101)</f>
        <v>-1.6851081108517001</v>
      </c>
      <c r="S36" s="157">
        <f>[1]!thsiFinD("ths_adjustment_nvg_ratio_fund",$B36,S$1,S$2,101)</f>
        <v>7.9529621579445999</v>
      </c>
      <c r="T36" s="158">
        <f>[1]!thsiFinD("ths_adjustment_nvg_ratio_fund",$B36,T$1,T$2,101)</f>
        <v>4.1789920937987004</v>
      </c>
      <c r="U36" s="157">
        <f>[1]!thsiFinD("ths_adjustment_nvg_ratio_fund",$B36,U$1,U$2,101)</f>
        <v>26.188925081432998</v>
      </c>
      <c r="V36" s="157">
        <f>[1]!thsiFinD("ths_adjustment_nvg_ratio_fund",$B36,V$1,V$2,101)</f>
        <v>38.892872508246001</v>
      </c>
      <c r="W36" s="157">
        <f>[1]!thsiFinD("ths_adjustment_nvg_ratio_fund",$B36,W$1,W$2,101)</f>
        <v>32.535066712282003</v>
      </c>
      <c r="X36" s="158">
        <f>[1]!thsiFinD("ths_adjustment_nvg_ratio_fund",$B36,X$1,X$2,101)</f>
        <v>19.769389332646</v>
      </c>
      <c r="Y36" s="158">
        <f>[1]!thsiFinD("ths_adjustment_nvg_ratio_fund",$B36,Y$1,Y$2,101)</f>
        <v>16.380538271235</v>
      </c>
      <c r="Z36" s="158">
        <f>[1]!thsiFinD("ths_adjustment_nvg_ratio_fund",$B36,Z$1,Z$2,101)</f>
        <v>-8.6807694940782003</v>
      </c>
      <c r="AA36" s="158">
        <f>[1]!thsiFinD("ths_adjustment_nvg_ratio_fund",$B36,AA$1,AA$2,101)</f>
        <v>-18.958055925433001</v>
      </c>
      <c r="AH36" s="177" t="str">
        <f>[1]!thsiFinD("ths_service_start_fund",B36,100,1,101)</f>
        <v>2022-12-15</v>
      </c>
      <c r="AI36" s="178" t="str">
        <f>[1]!thsiFinD("ths_fund_establishment_date_fund",B36)</f>
        <v>2009-08-26</v>
      </c>
      <c r="AJ36" s="157"/>
    </row>
    <row r="37" spans="1:37">
      <c r="A37" s="152">
        <v>300</v>
      </c>
      <c r="B37" s="152" t="s">
        <v>350</v>
      </c>
      <c r="C37" s="181" t="s">
        <v>351</v>
      </c>
      <c r="D37" s="152"/>
      <c r="E37" s="152"/>
      <c r="F37" s="152"/>
      <c r="G37" s="152"/>
      <c r="H37" s="152"/>
      <c r="I37" s="157"/>
      <c r="J37" s="157"/>
      <c r="K37" s="157"/>
      <c r="L37" s="157"/>
      <c r="M37" s="157"/>
      <c r="N37" s="157"/>
      <c r="O37" s="157"/>
      <c r="P37" s="157"/>
      <c r="Q37" s="157"/>
      <c r="R37" s="157">
        <f>[1]!thsiFinD("ths_adjustment_nvg_ratio_fund",$B37,R$1,R$2,101)</f>
        <v>-1.7053168956714999</v>
      </c>
      <c r="S37" s="157">
        <f>[1]!thsiFinD("ths_adjustment_nvg_ratio_fund",$B37,S$1,S$2,101)</f>
        <v>7.8669765778652003</v>
      </c>
      <c r="T37" s="158">
        <f>[1]!thsiFinD("ths_adjustment_nvg_ratio_fund",$B37,T$1,T$2,101)</f>
        <v>4.0052867486496</v>
      </c>
      <c r="U37" s="157">
        <f>[1]!thsiFinD("ths_adjustment_nvg_ratio_fund",$B37,U$1,U$2,101)</f>
        <v>26.063940934735999</v>
      </c>
      <c r="V37" s="157">
        <f>[1]!thsiFinD("ths_adjustment_nvg_ratio_fund",$B37,V$1,V$2,101)</f>
        <v>39.373171107346003</v>
      </c>
      <c r="W37" s="157">
        <f>[1]!thsiFinD("ths_adjustment_nvg_ratio_fund",$B37,W$1,W$2,101)</f>
        <v>32.671162586130997</v>
      </c>
      <c r="X37" s="158">
        <f>[1]!thsiFinD("ths_adjustment_nvg_ratio_fund",$B37,X$1,X$2,101)</f>
        <v>19.864995178398999</v>
      </c>
      <c r="Y37" s="158">
        <f>[1]!thsiFinD("ths_adjustment_nvg_ratio_fund",$B37,Y$1,Y$2,101)</f>
        <v>16.816865143225002</v>
      </c>
      <c r="Z37" s="158">
        <f>[1]!thsiFinD("ths_adjustment_nvg_ratio_fund",$B37,Z$1,Z$2,101)</f>
        <v>-8.9857195166606001</v>
      </c>
      <c r="AA37" s="158">
        <f>[1]!thsiFinD("ths_adjustment_nvg_ratio_fund",$B37,AA$1,AA$2,101)</f>
        <v>-19.201183431953002</v>
      </c>
      <c r="AH37" s="177" t="str">
        <f>[1]!thsiFinD("ths_service_start_fund",B37,100,1,101)</f>
        <v>2017-04-17</v>
      </c>
      <c r="AI37" s="178" t="str">
        <f>[1]!thsiFinD("ths_fund_establishment_date_fund",B37)</f>
        <v>2009-07-10</v>
      </c>
      <c r="AJ37" s="157"/>
    </row>
    <row r="38" spans="1:37">
      <c r="A38" s="152">
        <v>500</v>
      </c>
      <c r="B38" s="152" t="s">
        <v>352</v>
      </c>
      <c r="C38" s="181" t="s">
        <v>353</v>
      </c>
      <c r="D38" s="152"/>
      <c r="E38" s="152"/>
      <c r="F38" s="152"/>
      <c r="G38" s="152"/>
      <c r="H38" s="152"/>
      <c r="I38" s="157"/>
      <c r="J38" s="157"/>
      <c r="K38" s="157"/>
      <c r="L38" s="157"/>
      <c r="M38" s="157"/>
      <c r="N38" s="157"/>
      <c r="O38" s="157"/>
      <c r="P38" s="157"/>
      <c r="Q38" s="157"/>
      <c r="R38" s="157">
        <f>[1]!thsiFinD("ths_adjustment_nvg_ratio_fund",$B38,R$1,R$2,101)</f>
        <v>-2.0120972702205</v>
      </c>
      <c r="S38" s="157">
        <f>[1]!thsiFinD("ths_adjustment_nvg_ratio_fund",$B38,S$1,S$2,101)</f>
        <v>7.1785408887672997</v>
      </c>
      <c r="T38" s="158">
        <f>[1]!thsiFinD("ths_adjustment_nvg_ratio_fund",$B38,T$1,T$2,101)</f>
        <v>9.1534124802424</v>
      </c>
      <c r="U38" s="157">
        <f>[1]!thsiFinD("ths_adjustment_nvg_ratio_fund",$B38,U$1,U$2,101)</f>
        <v>41.902037897988997</v>
      </c>
      <c r="V38" s="157">
        <f>[1]!thsiFinD("ths_adjustment_nvg_ratio_fund",$B38,V$1,V$2,101)</f>
        <v>55.129958967862997</v>
      </c>
      <c r="W38" s="157">
        <f>[1]!thsiFinD("ths_adjustment_nvg_ratio_fund",$B38,W$1,W$2,101)</f>
        <v>37.122128177229001</v>
      </c>
      <c r="X38" s="158">
        <f>[1]!thsiFinD("ths_adjustment_nvg_ratio_fund",$B38,X$1,X$2,101)</f>
        <v>30.797362105181001</v>
      </c>
      <c r="Y38" s="158">
        <f>[1]!thsiFinD("ths_adjustment_nvg_ratio_fund",$B38,Y$1,Y$2,101)</f>
        <v>6.2014516780741999</v>
      </c>
      <c r="Z38" s="158">
        <f>[1]!thsiFinD("ths_adjustment_nvg_ratio_fund",$B38,Z$1,Z$2,101)</f>
        <v>-5.5050839329723003</v>
      </c>
      <c r="AA38" s="158">
        <f>[1]!thsiFinD("ths_adjustment_nvg_ratio_fund",$B38,AA$1,AA$2,101)</f>
        <v>-17.607693449319999</v>
      </c>
      <c r="AH38" s="177" t="str">
        <f>[1]!thsiFinD("ths_service_start_fund",B38,100,1,101)</f>
        <v>2021-09-24</v>
      </c>
      <c r="AI38" s="178" t="str">
        <f>[1]!thsiFinD("ths_fund_establishment_date_fund",B38)</f>
        <v>2013-03-22</v>
      </c>
      <c r="AJ38" s="157"/>
    </row>
    <row r="39" spans="1:37">
      <c r="A39" s="152">
        <v>500</v>
      </c>
      <c r="B39" s="152" t="s">
        <v>354</v>
      </c>
      <c r="C39" s="181" t="s">
        <v>355</v>
      </c>
      <c r="D39" s="152"/>
      <c r="E39" s="152"/>
      <c r="F39" s="152"/>
      <c r="G39" s="152"/>
      <c r="H39" s="152"/>
      <c r="I39" s="157"/>
      <c r="J39" s="157"/>
      <c r="K39" s="157"/>
      <c r="L39" s="157"/>
      <c r="M39" s="157"/>
      <c r="N39" s="157"/>
      <c r="O39" s="157"/>
      <c r="P39" s="157"/>
      <c r="Q39" s="157"/>
      <c r="R39" s="157">
        <f>[1]!thsiFinD("ths_adjustment_nvg_ratio_fund",$B39,R$1,R$2,101)</f>
        <v>-1.9425252828677</v>
      </c>
      <c r="S39" s="157">
        <f>[1]!thsiFinD("ths_adjustment_nvg_ratio_fund",$B39,S$1,S$2,101)</f>
        <v>7.3676132003069998</v>
      </c>
      <c r="T39" s="158">
        <f>[1]!thsiFinD("ths_adjustment_nvg_ratio_fund",$B39,T$1,T$2,101)</f>
        <v>9.3090746735127006</v>
      </c>
      <c r="U39" s="157">
        <f>[1]!thsiFinD("ths_adjustment_nvg_ratio_fund",$B39,U$1,U$2,101)</f>
        <v>42.381506251817001</v>
      </c>
      <c r="V39" s="157">
        <f>[1]!thsiFinD("ths_adjustment_nvg_ratio_fund",$B39,V$1,V$2,101)</f>
        <v>56.612825843594997</v>
      </c>
      <c r="W39" s="157">
        <f>[1]!thsiFinD("ths_adjustment_nvg_ratio_fund",$B39,W$1,W$2,101)</f>
        <v>37.968441814595998</v>
      </c>
      <c r="X39" s="158">
        <f>[1]!thsiFinD("ths_adjustment_nvg_ratio_fund",$B39,X$1,X$2,101)</f>
        <v>31.152100717318</v>
      </c>
      <c r="Y39" s="158">
        <f>[1]!thsiFinD("ths_adjustment_nvg_ratio_fund",$B39,Y$1,Y$2,101)</f>
        <v>6.734375</v>
      </c>
      <c r="Z39" s="158">
        <f>[1]!thsiFinD("ths_adjustment_nvg_ratio_fund",$B39,Z$1,Z$2,101)</f>
        <v>-6.0481503229594997</v>
      </c>
      <c r="AA39" s="158">
        <f>[1]!thsiFinD("ths_adjustment_nvg_ratio_fund",$B39,AA$1,AA$2,101)</f>
        <v>-17.679758308156998</v>
      </c>
      <c r="AH39" s="177" t="str">
        <f>[1]!thsiFinD("ths_service_start_fund",B39,100,1,101)</f>
        <v>2016-10-20</v>
      </c>
      <c r="AI39" s="178" t="str">
        <f>[1]!thsiFinD("ths_fund_establishment_date_fund",B39)</f>
        <v>2015-05-05</v>
      </c>
      <c r="AJ39" s="157"/>
    </row>
    <row r="40" spans="1:37">
      <c r="A40" s="152">
        <v>500</v>
      </c>
      <c r="B40" s="152" t="s">
        <v>356</v>
      </c>
      <c r="C40" s="181" t="s">
        <v>357</v>
      </c>
      <c r="D40" s="152"/>
      <c r="E40" s="152"/>
      <c r="F40" s="152"/>
      <c r="G40" s="152"/>
      <c r="H40" s="152"/>
      <c r="I40" s="157"/>
      <c r="J40" s="157"/>
      <c r="K40" s="157"/>
      <c r="L40" s="157"/>
      <c r="M40" s="157"/>
      <c r="N40" s="157"/>
      <c r="O40" s="157"/>
      <c r="P40" s="157"/>
      <c r="Q40" s="157"/>
      <c r="R40" s="157">
        <f>[1]!thsiFinD("ths_adjustment_nvg_ratio_fund",$B40,R$1,R$2,101)</f>
        <v>-1.9617061282229</v>
      </c>
      <c r="S40" s="157">
        <f>[1]!thsiFinD("ths_adjustment_nvg_ratio_fund",$B40,S$1,S$2,101)</f>
        <v>7.3571395124267003</v>
      </c>
      <c r="T40" s="158">
        <f>[1]!thsiFinD("ths_adjustment_nvg_ratio_fund",$B40,T$1,T$2,101)</f>
        <v>9.4209120363387004</v>
      </c>
      <c r="U40" s="157">
        <f>[1]!thsiFinD("ths_adjustment_nvg_ratio_fund",$B40,U$1,U$2,101)</f>
        <v>42.434026695585999</v>
      </c>
      <c r="V40" s="157">
        <f>[1]!thsiFinD("ths_adjustment_nvg_ratio_fund",$B40,V$1,V$2,101)</f>
        <v>55.920337141099999</v>
      </c>
      <c r="W40" s="157">
        <f>[1]!thsiFinD("ths_adjustment_nvg_ratio_fund",$B40,W$1,W$2,101)</f>
        <v>37.581718944035998</v>
      </c>
      <c r="X40" s="158">
        <f>[1]!thsiFinD("ths_adjustment_nvg_ratio_fund",$B40,X$1,X$2,101)</f>
        <v>30.828756867740001</v>
      </c>
      <c r="Y40" s="158">
        <f>[1]!thsiFinD("ths_adjustment_nvg_ratio_fund",$B40,Y$1,Y$2,101)</f>
        <v>6.3798712091713998</v>
      </c>
      <c r="Z40" s="158">
        <f>[1]!thsiFinD("ths_adjustment_nvg_ratio_fund",$B40,Z$1,Z$2,101)</f>
        <v>-5.7266241100905999</v>
      </c>
      <c r="AA40" s="158">
        <f>[1]!thsiFinD("ths_adjustment_nvg_ratio_fund",$B40,AA$1,AA$2,101)</f>
        <v>-17.464745078149001</v>
      </c>
      <c r="AH40" s="177" t="str">
        <f>[1]!thsiFinD("ths_service_start_fund",B40,100,1,101)</f>
        <v>2026-07-24</v>
      </c>
      <c r="AI40" s="178" t="str">
        <f>[1]!thsiFinD("ths_fund_establishment_date_fund",B40)</f>
        <v>2009-09-25</v>
      </c>
      <c r="AJ40" s="157"/>
    </row>
    <row r="41" spans="1:37">
      <c r="A41" s="152">
        <v>1000</v>
      </c>
      <c r="B41" s="152" t="s">
        <v>358</v>
      </c>
      <c r="C41" s="181" t="s">
        <v>359</v>
      </c>
      <c r="D41" s="152"/>
      <c r="E41" s="152"/>
      <c r="F41" s="152"/>
      <c r="G41" s="152"/>
      <c r="H41" s="152"/>
      <c r="I41" s="157"/>
      <c r="J41" s="157"/>
      <c r="K41" s="157"/>
      <c r="L41" s="157"/>
      <c r="M41" s="157"/>
      <c r="N41" s="157"/>
      <c r="O41" s="157"/>
      <c r="P41" s="157"/>
      <c r="Q41" s="157"/>
      <c r="R41" s="157">
        <f>[1]!thsiFinD("ths_adjustment_nvg_ratio_fund",$B41,R$1,R$2,101)</f>
        <v>-0.92860271572492004</v>
      </c>
      <c r="S41" s="157">
        <f>[1]!thsiFinD("ths_adjustment_nvg_ratio_fund",$B41,S$1,S$2,101)</f>
        <v>9.2657004830918002</v>
      </c>
      <c r="T41" s="158">
        <f>[1]!thsiFinD("ths_adjustment_nvg_ratio_fund",$B41,T$1,T$2,101)</f>
        <v>9.3713733075435002</v>
      </c>
      <c r="U41" s="157">
        <f>[1]!thsiFinD("ths_adjustment_nvg_ratio_fund",$B41,U$1,U$2,101)</f>
        <v>35.811216524559001</v>
      </c>
      <c r="V41" s="157">
        <f>[1]!thsiFinD("ths_adjustment_nvg_ratio_fund",$B41,V$1,V$2,101)</f>
        <v>57.004026100235997</v>
      </c>
      <c r="W41" s="157">
        <f>[1]!thsiFinD("ths_adjustment_nvg_ratio_fund",$B41,W$1,W$2,101)</f>
        <v>26.810944157883</v>
      </c>
      <c r="X41" s="158">
        <f>[1]!thsiFinD("ths_adjustment_nvg_ratio_fund",$B41,X$1,X$2,101)</f>
        <v>28.033680039623999</v>
      </c>
      <c r="Y41" s="158">
        <f>[1]!thsiFinD("ths_adjustment_nvg_ratio_fund",$B41,Y$1,Y$2,101)</f>
        <v>0.91215794077221002</v>
      </c>
      <c r="Z41" s="158">
        <f>[1]!thsiFinD("ths_adjustment_nvg_ratio_fund",$B41,Z$1,Z$2,101)</f>
        <v>-5.6027364944561997</v>
      </c>
      <c r="AA41" s="158">
        <f>[1]!thsiFinD("ths_adjustment_nvg_ratio_fund",$B41,AA$1,AA$2,101)</f>
        <v>-20.640269587195</v>
      </c>
      <c r="AH41" s="177" t="str">
        <f>[1]!thsiFinD("ths_service_start_fund",B41,100,1,101)</f>
        <v>2021-09-27</v>
      </c>
      <c r="AI41" s="178" t="str">
        <f>[1]!thsiFinD("ths_fund_establishment_date_fund",B41)</f>
        <v>2021-09-27</v>
      </c>
      <c r="AJ41" s="157"/>
    </row>
    <row r="42" spans="1:37">
      <c r="A42" s="152">
        <v>1000</v>
      </c>
      <c r="B42" s="152" t="s">
        <v>360</v>
      </c>
      <c r="C42" s="181" t="s">
        <v>361</v>
      </c>
      <c r="D42" s="152"/>
      <c r="E42" s="152"/>
      <c r="F42" s="152"/>
      <c r="G42" s="152"/>
      <c r="H42" s="152"/>
      <c r="I42" s="157"/>
      <c r="J42" s="157"/>
      <c r="K42" s="157"/>
      <c r="L42" s="157"/>
      <c r="M42" s="157"/>
      <c r="N42" s="157"/>
      <c r="O42" s="157"/>
      <c r="P42" s="157"/>
      <c r="Q42" s="157"/>
      <c r="R42" s="157">
        <f>[1]!thsiFinD("ths_adjustment_nvg_ratio_fund",$B42,R$1,R$2,101)</f>
        <v>-0.93248143671214001</v>
      </c>
      <c r="S42" s="157">
        <f>[1]!thsiFinD("ths_adjustment_nvg_ratio_fund",$B42,S$1,S$2,101)</f>
        <v>8.3474976392823006</v>
      </c>
      <c r="T42" s="158">
        <f>[1]!thsiFinD("ths_adjustment_nvg_ratio_fund",$B42,T$1,T$2,101)</f>
        <v>7.8113254823352998</v>
      </c>
      <c r="U42" s="157">
        <f>[1]!thsiFinD("ths_adjustment_nvg_ratio_fund",$B42,U$1,U$2,101)</f>
        <v>32.841926520530997</v>
      </c>
      <c r="V42" s="157">
        <f>[1]!thsiFinD("ths_adjustment_nvg_ratio_fund",$B42,V$1,V$2,101)</f>
        <v>54.013422818792002</v>
      </c>
      <c r="W42" s="157">
        <f>[1]!thsiFinD("ths_adjustment_nvg_ratio_fund",$B42,W$1,W$2,101)</f>
        <v>20.499894980046001</v>
      </c>
      <c r="X42" s="158">
        <f>[1]!thsiFinD("ths_adjustment_nvg_ratio_fund",$B42,X$1,X$2,101)</f>
        <v>27.041222346013001</v>
      </c>
      <c r="Y42" s="158">
        <f>[1]!thsiFinD("ths_adjustment_nvg_ratio_fund",$B42,Y$1,Y$2,101)</f>
        <v>-1.8511286417246</v>
      </c>
      <c r="Z42" s="158">
        <f>[1]!thsiFinD("ths_adjustment_nvg_ratio_fund",$B42,Z$1,Z$2,101)</f>
        <v>-5.3592548787699998</v>
      </c>
      <c r="AA42" s="158">
        <f>[1]!thsiFinD("ths_adjustment_nvg_ratio_fund",$B42,AA$1,AA$2,101)</f>
        <v>-20.879635045034998</v>
      </c>
      <c r="AH42" s="177" t="str">
        <f>[1]!thsiFinD("ths_service_start_fund",B42,100,1,101)</f>
        <v>2024-08-08</v>
      </c>
      <c r="AI42" s="178" t="str">
        <f>[1]!thsiFinD("ths_fund_establishment_date_fund",B42)</f>
        <v>2018-11-02</v>
      </c>
      <c r="AJ42" s="157"/>
    </row>
    <row r="43" spans="1:37">
      <c r="A43" s="152">
        <v>1000</v>
      </c>
      <c r="B43" s="152" t="s">
        <v>362</v>
      </c>
      <c r="C43" s="181" t="s">
        <v>363</v>
      </c>
      <c r="D43" s="152"/>
      <c r="E43" s="152"/>
      <c r="F43" s="152"/>
      <c r="G43" s="152"/>
      <c r="H43" s="152"/>
      <c r="I43" s="157"/>
      <c r="J43" s="157"/>
      <c r="K43" s="157"/>
      <c r="L43" s="157"/>
      <c r="M43" s="157"/>
      <c r="N43" s="157"/>
      <c r="O43" s="157"/>
      <c r="P43" s="157"/>
      <c r="Q43" s="157"/>
      <c r="R43" s="157">
        <f>[1]!thsiFinD("ths_adjustment_nvg_ratio_fund",$B43,R$1,R$2,101)</f>
        <v>-0.95769487008661003</v>
      </c>
      <c r="S43" s="157">
        <f>[1]!thsiFinD("ths_adjustment_nvg_ratio_fund",$B43,S$1,S$2,101)</f>
        <v>8.9801154586272993</v>
      </c>
      <c r="T43" s="158">
        <f>[1]!thsiFinD("ths_adjustment_nvg_ratio_fund",$B43,T$1,T$2,101)</f>
        <v>9.2504133749770006</v>
      </c>
      <c r="U43" s="157">
        <f>[1]!thsiFinD("ths_adjustment_nvg_ratio_fund",$B43,U$1,U$2,101)</f>
        <v>35.163086714399</v>
      </c>
      <c r="V43" s="157">
        <f>[1]!thsiFinD("ths_adjustment_nvg_ratio_fund",$B43,V$1,V$2,101)</f>
        <v>56.610481959441998</v>
      </c>
      <c r="W43" s="157">
        <f>[1]!thsiFinD("ths_adjustment_nvg_ratio_fund",$B43,W$1,W$2,101)</f>
        <v>26.777529048076001</v>
      </c>
      <c r="X43" s="158">
        <f>[1]!thsiFinD("ths_adjustment_nvg_ratio_fund",$B43,X$1,X$2,101)</f>
        <v>27.291861552853</v>
      </c>
      <c r="Y43" s="158">
        <f>[1]!thsiFinD("ths_adjustment_nvg_ratio_fund",$B43,Y$1,Y$2,101)</f>
        <v>1.6038968753713001</v>
      </c>
      <c r="Z43" s="158">
        <f>[1]!thsiFinD("ths_adjustment_nvg_ratio_fund",$B43,Z$1,Z$2,101)</f>
        <v>-5.2139639639639999</v>
      </c>
      <c r="AA43" s="158">
        <f>[1]!thsiFinD("ths_adjustment_nvg_ratio_fund",$B43,AA$1,AA$2,101)</f>
        <v>0</v>
      </c>
      <c r="AH43" s="177" t="str">
        <f>[1]!thsiFinD("ths_service_start_fund",B43,100,1,101)</f>
        <v>2022-01-25</v>
      </c>
      <c r="AI43" s="178" t="str">
        <f>[1]!thsiFinD("ths_fund_establishment_date_fund",B43)</f>
        <v>2022-01-25</v>
      </c>
      <c r="AJ43" s="157"/>
    </row>
    <row r="44" spans="1:37">
      <c r="A44" s="152">
        <v>2000</v>
      </c>
      <c r="B44" s="152" t="s">
        <v>364</v>
      </c>
      <c r="C44" s="181" t="s">
        <v>365</v>
      </c>
      <c r="D44" s="152"/>
      <c r="E44" s="152"/>
      <c r="F44" s="152"/>
      <c r="G44" s="152"/>
      <c r="H44" s="152"/>
      <c r="I44" s="157"/>
      <c r="J44" s="157"/>
      <c r="K44" s="157"/>
      <c r="L44" s="157"/>
      <c r="M44" s="157"/>
      <c r="N44" s="157"/>
      <c r="O44" s="157"/>
      <c r="P44" s="157"/>
      <c r="Q44" s="157"/>
      <c r="R44" s="157">
        <f>[1]!thsiFinD("ths_adjustment_nvg_ratio_fund",$B44,R$1,R$2,101)</f>
        <v>-0.77631341397363995</v>
      </c>
      <c r="S44" s="157">
        <f>[1]!thsiFinD("ths_adjustment_nvg_ratio_fund",$B44,S$1,S$2,101)</f>
        <v>6.9538142189933003</v>
      </c>
      <c r="T44" s="158">
        <f>[1]!thsiFinD("ths_adjustment_nvg_ratio_fund",$B44,T$1,T$2,101)</f>
        <v>11.060218240604</v>
      </c>
      <c r="U44" s="157">
        <f>[1]!thsiFinD("ths_adjustment_nvg_ratio_fund",$B44,U$1,U$2,101)</f>
        <v>41.152298604572003</v>
      </c>
      <c r="V44" s="157">
        <f>[1]!thsiFinD("ths_adjustment_nvg_ratio_fund",$B44,V$1,V$2,101)</f>
        <v>94.090641553854994</v>
      </c>
      <c r="W44" s="157">
        <f>[1]!thsiFinD("ths_adjustment_nvg_ratio_fund",$B44,W$1,W$2,101)</f>
        <v>0</v>
      </c>
      <c r="X44" s="158">
        <f>[1]!thsiFinD("ths_adjustment_nvg_ratio_fund",$B44,X$1,X$2,101)</f>
        <v>45.335291238375</v>
      </c>
      <c r="Y44" s="158">
        <f>[1]!thsiFinD("ths_adjustment_nvg_ratio_fund",$B44,Y$1,Y$2,101)</f>
        <v>3.3488466208013001</v>
      </c>
      <c r="Z44" s="158">
        <f>[1]!thsiFinD("ths_adjustment_nvg_ratio_fund",$B44,Z$1,Z$2,101)</f>
        <v>0</v>
      </c>
      <c r="AA44" s="158">
        <f>[1]!thsiFinD("ths_adjustment_nvg_ratio_fund",$B44,AA$1,AA$2,101)</f>
        <v>0</v>
      </c>
      <c r="AH44" s="177" t="str">
        <f>[1]!thsiFinD("ths_service_start_fund",B44,100,1,101)</f>
        <v>2025-09-09</v>
      </c>
      <c r="AI44" s="178" t="str">
        <f>[1]!thsiFinD("ths_fund_establishment_date_fund",B44)</f>
        <v>2023-11-08</v>
      </c>
      <c r="AJ44" s="157"/>
    </row>
    <row r="45" spans="1:37">
      <c r="A45" s="152">
        <v>2000</v>
      </c>
      <c r="B45" s="152" t="s">
        <v>366</v>
      </c>
      <c r="C45" s="181" t="s">
        <v>367</v>
      </c>
      <c r="D45" s="152"/>
      <c r="E45" s="152"/>
      <c r="F45" s="152"/>
      <c r="G45" s="152"/>
      <c r="H45" s="152"/>
      <c r="I45" s="157"/>
      <c r="J45" s="157"/>
      <c r="K45" s="157"/>
      <c r="L45" s="157"/>
      <c r="M45" s="157"/>
      <c r="N45" s="157"/>
      <c r="O45" s="157"/>
      <c r="P45" s="157"/>
      <c r="Q45" s="157"/>
      <c r="R45" s="157">
        <f>[1]!thsiFinD("ths_adjustment_nvg_ratio_fund",$B45,R$1,R$2,101)</f>
        <v>-0.64880112834977999</v>
      </c>
      <c r="S45" s="157">
        <f>[1]!thsiFinD("ths_adjustment_nvg_ratio_fund",$B45,S$1,S$2,101)</f>
        <v>8.6701635297748005</v>
      </c>
      <c r="T45" s="158">
        <f>[1]!thsiFinD("ths_adjustment_nvg_ratio_fund",$B45,T$1,T$2,101)</f>
        <v>11.969480209824001</v>
      </c>
      <c r="U45" s="157">
        <f>[1]!thsiFinD("ths_adjustment_nvg_ratio_fund",$B45,U$1,U$2,101)</f>
        <v>34.916682627848999</v>
      </c>
      <c r="V45" s="157">
        <f>[1]!thsiFinD("ths_adjustment_nvg_ratio_fund",$B45,V$1,V$2,101)</f>
        <v>66.053748231965997</v>
      </c>
      <c r="W45" s="157">
        <f>[1]!thsiFinD("ths_adjustment_nvg_ratio_fund",$B45,W$1,W$2,101)</f>
        <v>0</v>
      </c>
      <c r="X45" s="158">
        <f>[1]!thsiFinD("ths_adjustment_nvg_ratio_fund",$B45,X$1,X$2,101)</f>
        <v>30.167597765362999</v>
      </c>
      <c r="Y45" s="158">
        <f>[1]!thsiFinD("ths_adjustment_nvg_ratio_fund",$B45,Y$1,Y$2,101)</f>
        <v>-1.6183206106870001</v>
      </c>
      <c r="Z45" s="158">
        <f>[1]!thsiFinD("ths_adjustment_nvg_ratio_fund",$B45,Z$1,Z$2,101)</f>
        <v>0</v>
      </c>
      <c r="AA45" s="158">
        <f>[1]!thsiFinD("ths_adjustment_nvg_ratio_fund",$B45,AA$1,AA$2,101)</f>
        <v>0</v>
      </c>
      <c r="AH45" s="177" t="str">
        <f>[1]!thsiFinD("ths_service_start_fund",B45,100,1,101)</f>
        <v>2023-11-15</v>
      </c>
      <c r="AI45" s="178" t="str">
        <f>[1]!thsiFinD("ths_fund_establishment_date_fund",B45)</f>
        <v>2023-11-15</v>
      </c>
      <c r="AJ45" s="157"/>
    </row>
    <row r="47" spans="1:37"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U47" s="119"/>
      <c r="V47" s="119"/>
      <c r="W47" s="119"/>
      <c r="AJ47" s="119"/>
    </row>
    <row r="49" spans="1:37">
      <c r="B49" s="120" t="s">
        <v>368</v>
      </c>
      <c r="C49" s="182" t="s">
        <v>369</v>
      </c>
      <c r="D49" s="182" t="s">
        <v>370</v>
      </c>
      <c r="E49" s="182" t="s">
        <v>371</v>
      </c>
      <c r="F49" s="182"/>
      <c r="G49" s="182"/>
      <c r="H49" s="182"/>
      <c r="J49" s="119"/>
    </row>
    <row r="50" spans="1:37">
      <c r="B50" s="171" t="s">
        <v>330</v>
      </c>
      <c r="C50" s="171" t="s">
        <v>331</v>
      </c>
      <c r="D50" s="183">
        <v>0.125</v>
      </c>
      <c r="E50" s="184" t="str">
        <f>[1]!thsiFinD("ths_fund_establishment_date_fund",B50)</f>
        <v>2017-03-16</v>
      </c>
      <c r="F50" s="184"/>
      <c r="G50" s="184"/>
      <c r="H50" s="184"/>
      <c r="J50" s="119"/>
    </row>
    <row r="51" spans="1:37">
      <c r="B51" s="171" t="s">
        <v>333</v>
      </c>
      <c r="C51" s="171" t="s">
        <v>334</v>
      </c>
      <c r="D51" s="183">
        <v>0.125</v>
      </c>
      <c r="E51" s="184" t="str">
        <f>[1]!thsiFinD("ths_fund_establishment_date_fund",B51)</f>
        <v>2019-04-26</v>
      </c>
      <c r="F51" s="184"/>
      <c r="G51" s="184"/>
      <c r="H51" s="184"/>
      <c r="J51" s="119"/>
    </row>
    <row r="52" spans="1:37">
      <c r="B52" s="128" t="s">
        <v>276</v>
      </c>
      <c r="C52" s="128" t="s">
        <v>277</v>
      </c>
      <c r="D52" s="185">
        <v>0.125</v>
      </c>
      <c r="E52" s="184" t="str">
        <f>[1]!thsiFinD("ths_fund_establishment_date_fund",B52)</f>
        <v>2019-08-12</v>
      </c>
      <c r="F52" s="184"/>
      <c r="G52" s="184"/>
      <c r="H52" s="184"/>
      <c r="J52" s="119"/>
    </row>
    <row r="53" spans="1:37">
      <c r="B53" s="128" t="s">
        <v>278</v>
      </c>
      <c r="C53" s="128" t="s">
        <v>279</v>
      </c>
      <c r="D53" s="185">
        <v>0.125</v>
      </c>
      <c r="E53" s="184" t="str">
        <f>[1]!thsiFinD("ths_fund_establishment_date_fund",B53)</f>
        <v>2019-01-03</v>
      </c>
      <c r="F53" s="184"/>
      <c r="G53" s="184"/>
      <c r="H53" s="184"/>
      <c r="J53" s="119"/>
    </row>
    <row r="54" spans="1:37">
      <c r="B54" s="153" t="s">
        <v>294</v>
      </c>
      <c r="C54" s="153" t="s">
        <v>295</v>
      </c>
      <c r="D54" s="186">
        <v>0.125</v>
      </c>
      <c r="E54" s="184" t="str">
        <f>[1]!thsiFinD("ths_fund_establishment_date_fund",B54)</f>
        <v>2023-05-19</v>
      </c>
      <c r="F54" s="184"/>
      <c r="G54" s="184"/>
      <c r="H54" s="184"/>
      <c r="J54" s="152"/>
      <c r="K54" s="181"/>
    </row>
    <row r="55" spans="1:37">
      <c r="B55" s="153" t="s">
        <v>291</v>
      </c>
      <c r="C55" s="153" t="s">
        <v>292</v>
      </c>
      <c r="D55" s="186">
        <v>0.125</v>
      </c>
      <c r="E55" s="184" t="str">
        <f>[1]!thsiFinD("ths_fund_establishment_date_fund",B55)</f>
        <v>2022-08-16</v>
      </c>
      <c r="F55" s="184"/>
      <c r="G55" s="184"/>
      <c r="H55" s="184"/>
      <c r="J55" s="152"/>
      <c r="K55" s="181"/>
    </row>
    <row r="56" spans="1:37">
      <c r="B56" s="128" t="s">
        <v>319</v>
      </c>
      <c r="C56" s="128" t="s">
        <v>320</v>
      </c>
      <c r="D56" s="185">
        <v>0.125</v>
      </c>
      <c r="E56" s="184" t="str">
        <f>[1]!thsiFinD("ths_fund_establishment_date_fund",B56)</f>
        <v>2024-01-12</v>
      </c>
      <c r="F56" s="184"/>
      <c r="G56" s="184"/>
      <c r="H56" s="184"/>
      <c r="J56" s="119"/>
    </row>
    <row r="57" spans="1:37">
      <c r="B57" s="128" t="s">
        <v>322</v>
      </c>
      <c r="C57" s="128" t="s">
        <v>323</v>
      </c>
      <c r="D57" s="185">
        <v>0.125</v>
      </c>
      <c r="E57" s="184" t="str">
        <f>[1]!thsiFinD("ths_fund_establishment_date_fund",B57)</f>
        <v>2024-01-02</v>
      </c>
      <c r="F57" s="184"/>
      <c r="G57" s="184"/>
      <c r="H57" s="184"/>
      <c r="J57" s="119"/>
    </row>
    <row r="58" spans="1:37">
      <c r="B58" s="182" t="s">
        <v>372</v>
      </c>
      <c r="C58" s="120" t="s">
        <v>373</v>
      </c>
      <c r="D58" s="182" t="s">
        <v>374</v>
      </c>
      <c r="E58" s="182"/>
      <c r="F58" s="182"/>
      <c r="G58" s="182"/>
      <c r="H58" s="182"/>
      <c r="I58" s="182"/>
      <c r="J58" s="119"/>
    </row>
    <row r="59" spans="1:37">
      <c r="B59" s="119"/>
      <c r="D59" s="119"/>
      <c r="E59" s="119"/>
      <c r="F59" s="119"/>
      <c r="G59" s="119"/>
      <c r="H59" s="119"/>
      <c r="I59" s="119"/>
      <c r="J59" s="119"/>
    </row>
    <row r="60" spans="1:37">
      <c r="B60" s="120" t="s">
        <v>375</v>
      </c>
      <c r="C60" s="119" t="s">
        <v>376</v>
      </c>
      <c r="D60" s="153" t="str">
        <f>[1]!thsiFinD("ths_name_fund",B60,100,1)</f>
        <v>姚进</v>
      </c>
      <c r="E60" s="153" t="str">
        <f>AH60</f>
        <v>2023-12-12</v>
      </c>
      <c r="F60" s="153"/>
      <c r="G60" s="153"/>
      <c r="H60" s="153"/>
      <c r="I60" s="156">
        <f>U60/100</f>
        <v>0.44512917753022002</v>
      </c>
      <c r="J60" s="156">
        <f>V60/100</f>
        <v>0.76010392609700006</v>
      </c>
      <c r="K60" s="156">
        <f>W60/100</f>
        <v>0</v>
      </c>
      <c r="L60" s="156">
        <f>AB60</f>
        <v>8.5591501604163289E-2</v>
      </c>
      <c r="M60" s="156">
        <f>AD60</f>
        <v>8.8391542155259684E-2</v>
      </c>
      <c r="N60" s="156">
        <f>AF60</f>
        <v>-9.3143879738879276E-2</v>
      </c>
      <c r="O60" s="157">
        <f>AB60/AC60</f>
        <v>1.7753429133618359</v>
      </c>
      <c r="P60" s="157">
        <f>AD60/AE60</f>
        <v>1.5783693077572631</v>
      </c>
      <c r="Q60" s="157" t="e">
        <f>AF60/AG60</f>
        <v>#DIV/0!</v>
      </c>
      <c r="R60" s="157">
        <f>[1]!thsiFinD("ths_adjustment_nvg_ratio_fund",$B60,R$1,R$2,101)</f>
        <v>-1.7774675115455001</v>
      </c>
      <c r="S60" s="157"/>
      <c r="T60" s="158">
        <f>[1]!thsiFinD("ths_adjustment_nvg_ratio_fund",$B60,T$1,T$2,101)</f>
        <v>12.200956937799001</v>
      </c>
      <c r="U60" s="157">
        <f>[1]!thsiFinD("ths_adjustment_nvg_ratio_fund",$B60,U$1,U$2,101)</f>
        <v>44.512917753022002</v>
      </c>
      <c r="V60" s="157">
        <f>[1]!thsiFinD("ths_adjustment_nvg_ratio_fund",$B60,V$1,V$2,101)</f>
        <v>76.010392609700006</v>
      </c>
      <c r="W60" s="157">
        <f>[1]!thsiFinD("ths_adjustment_nvg_ratio_fund",$B60,W$1,W$2,101)</f>
        <v>0</v>
      </c>
      <c r="X60" s="158">
        <f>[1]!thsiFinD("ths_adjustment_nvg_ratio_fund",$B60,X$1,X$2,101)</f>
        <v>37.222222222222001</v>
      </c>
      <c r="Y60" s="158">
        <f>[1]!thsiFinD("ths_adjustment_nvg_ratio_fund",$B60,Y$1,Y$2,101)</f>
        <v>18.705035971223001</v>
      </c>
      <c r="Z60" s="158"/>
      <c r="AA60" s="158"/>
      <c r="AB60" s="159">
        <f>(1+([1]!thsiFinD("ths_adjustment_nvg_ratio_fund",$B60,AB$1,AB$2,101)-[1]!thsiFinD("ths_int_chg_ratio_index",$AJ60,AB$1,AB$2,101))/100)^(365/(AB$2-AB$1))-1</f>
        <v>8.5591501604163289E-2</v>
      </c>
      <c r="AC60" s="159">
        <f>[1]!thsiFinD("ths_tracking_error_annual_fund",$B60,AC$1,AC$2,100,101,$AJ60)/100</f>
        <v>4.8211250322387003E-2</v>
      </c>
      <c r="AD60" s="159">
        <f>(1+([1]!thsiFinD("ths_adjustment_nvg_ratio_fund",$B60,AD$1,AD$2,101)-[1]!thsiFinD("ths_int_chg_ratio_index",$AJ60,AD$1,AD$2,101))/100)^(365/(AD$2-AD$1))-1</f>
        <v>8.8391542155259684E-2</v>
      </c>
      <c r="AE60" s="159">
        <f>[1]!thsiFinD("ths_tracking_error_annual_fund",$B60,AE$1,AE$2,100,101,$AJ60)/100</f>
        <v>5.6001812580135008E-2</v>
      </c>
      <c r="AF60" s="159">
        <f>(1+([1]!thsiFinD("ths_adjustment_nvg_ratio_fund",$B60,AF$1,AF$2,101)-[1]!thsiFinD("ths_int_chg_ratio_index",$AJ60,AF$1,AF$2,101))/100)^(365/(AF$2-AF$1))-1</f>
        <v>-9.3143879738879276E-2</v>
      </c>
      <c r="AG60" s="159">
        <f>[1]!thsiFinD("ths_tracking_error_annual_fund",$B60,AG$1,AG$2,100,101,$AJ60)/100</f>
        <v>0</v>
      </c>
      <c r="AH60" s="160" t="str">
        <f>[1]!thsiFinD("ths_service_start_fund",B60,100,1,101)</f>
        <v>2023-12-12</v>
      </c>
      <c r="AI60" s="161" t="str">
        <f>[1]!thsiFinD("ths_fund_establishment_date_fund",B60)</f>
        <v>2023-12-12</v>
      </c>
      <c r="AJ60" s="152" t="str">
        <f>[1]!thsiFinD("ths_fund_basement_fund",B60,1)</f>
        <v>000852.SH</v>
      </c>
    </row>
    <row r="64" spans="1:37">
      <c r="A64" s="37"/>
      <c r="B64" s="128" t="s">
        <v>269</v>
      </c>
      <c r="C64" s="129" t="s">
        <v>270</v>
      </c>
      <c r="D64" s="129" t="str">
        <f>[1]!thsiFinD("ths_fund_manager_current_fund",B64)</f>
        <v>宋婷,钱亚婷</v>
      </c>
      <c r="E64" s="130" t="str">
        <f t="shared" ref="E64:E72" si="23">AI64</f>
        <v>2022-05-06</v>
      </c>
      <c r="F64" s="131">
        <f t="shared" ref="F64:F76" si="24">R64/100</f>
        <v>-2.7207878290512001E-2</v>
      </c>
      <c r="G64" s="131"/>
      <c r="H64" s="131"/>
      <c r="I64" s="131">
        <f t="shared" ref="I64:K75" si="25">U64/100</f>
        <v>0.47154316271962998</v>
      </c>
      <c r="J64" s="131">
        <f t="shared" si="25"/>
        <v>0.74696746400635006</v>
      </c>
      <c r="K64" s="131">
        <f t="shared" si="25"/>
        <v>0.63536028865542005</v>
      </c>
      <c r="L64" s="131">
        <f t="shared" ref="L64:L72" si="26">AB64</f>
        <v>4.6355331624142959E-2</v>
      </c>
      <c r="M64" s="131">
        <f t="shared" ref="M64:M72" si="27">AD64</f>
        <v>9.3273216554101257E-2</v>
      </c>
      <c r="N64" s="131">
        <f>AF64</f>
        <v>8.9800429255443515E-2</v>
      </c>
      <c r="O64" s="132">
        <f>AB64/AC64</f>
        <v>1.0894347843529957</v>
      </c>
      <c r="P64" s="132">
        <f>AD64/AE64</f>
        <v>2.3524638674133915</v>
      </c>
      <c r="Q64" s="132">
        <f>AF64/AG64</f>
        <v>2.2080377169597267</v>
      </c>
      <c r="R64" s="132">
        <f>[1]!thsiFinD("ths_adjustment_nvg_ratio_fund",$B64,R$1,R$2,101)</f>
        <v>-2.7207878290512002</v>
      </c>
      <c r="S64" s="132"/>
      <c r="T64" s="133">
        <f>[1]!thsiFinD("ths_adjustment_nvg_ratio_fund",$B64,T$1,T$2,101)</f>
        <v>9.8517251211862007</v>
      </c>
      <c r="U64" s="132">
        <f>[1]!thsiFinD("ths_adjustment_nvg_ratio_fund",$B64,U$1,U$2,101)</f>
        <v>47.154316271962998</v>
      </c>
      <c r="V64" s="132">
        <f>[1]!thsiFinD("ths_adjustment_nvg_ratio_fund",$B64,V$1,V$2,101)</f>
        <v>74.696746400635007</v>
      </c>
      <c r="W64" s="132">
        <f>[1]!thsiFinD("ths_adjustment_nvg_ratio_fund",$B64,W$1,W$2,101)</f>
        <v>63.536028865542001</v>
      </c>
      <c r="X64" s="133">
        <f>[1]!thsiFinD("ths_adjustment_nvg_ratio_fund",$B64,X$1,X$2,101)</f>
        <v>43.332992745478997</v>
      </c>
      <c r="Y64" s="133">
        <f>[1]!thsiFinD("ths_adjustment_nvg_ratio_fund",$B64,Y$1,Y$2,101)</f>
        <v>9.7812675266404998</v>
      </c>
      <c r="Z64" s="133">
        <f>[1]!thsiFinD("ths_adjustment_nvg_ratio_fund",$B64,Z$1,Z$2,101)</f>
        <v>-3.8503019844694002</v>
      </c>
      <c r="AA64" s="133">
        <f>[1]!thsiFinD("ths_adjustment_nvg_ratio_fund",$B64,AA$1,AA$2,101)</f>
        <v>0</v>
      </c>
      <c r="AB64" s="134">
        <f>(1+([1]!thsiFinD("ths_adjustment_nvg_ratio_fund",$B64,AB$1,AB$2,101)-[1]!thsiFinD("ths_int_chg_ratio_index",$AJ64,AB$1,AB$2,101))/100)^(365/(AB$2-AB$1))-1</f>
        <v>4.6355331624142959E-2</v>
      </c>
      <c r="AC64" s="134">
        <f>[1]!thsiFinD("ths_tracking_error_annual_fund",$B64,AC$1,AC$2,100,101,$AJ64)/100</f>
        <v>4.2549891273825004E-2</v>
      </c>
      <c r="AD64" s="134">
        <f>(1+([1]!thsiFinD("ths_adjustment_nvg_ratio_fund",$B64,AD$1,AD$2,101)-[1]!thsiFinD("ths_int_chg_ratio_index",$AJ64,AD$1,AD$2,101))/100)^(365/(AD$2-AD$1))-1</f>
        <v>9.3273216554101257E-2</v>
      </c>
      <c r="AE64" s="134">
        <f>[1]!thsiFinD("ths_tracking_error_annual_fund",$B64,AE$1,AE$2,100,101,$AJ64)/100</f>
        <v>3.9649160119368004E-2</v>
      </c>
      <c r="AF64" s="134">
        <f>(1+([1]!thsiFinD("ths_adjustment_nvg_ratio_fund",$B64,AF$1,AF$2,101)-[1]!thsiFinD("ths_int_chg_ratio_index",$AJ64,AF$1,AF$2,101))/100)^(365/(AF$2-AF$1))-1</f>
        <v>8.9800429255443515E-2</v>
      </c>
      <c r="AG64" s="134">
        <f>[1]!thsiFinD("ths_tracking_error_annual_fund",$B64,AG$1,AG$2,100,101,$AJ64)/100</f>
        <v>4.0669789544669002E-2</v>
      </c>
      <c r="AH64" s="135" t="str">
        <f>[1]!thsiFinD("ths_service_start_fund",B64,100,1,101)</f>
        <v>2025-02-21</v>
      </c>
      <c r="AI64" s="136" t="str">
        <f>[1]!thsiFinD("ths_fund_establishment_date_fund",B64)</f>
        <v>2022-05-06</v>
      </c>
      <c r="AJ64" s="120" t="str">
        <f>[1]!thsiFinD("ths_fund_basement_fund",B64,1)</f>
        <v>000905.SH</v>
      </c>
      <c r="AK64" s="187">
        <f>[1]!thsiFinD("ths_daily_large_purchase_limit_fund",B64,"2026-06-03")</f>
        <v>100000</v>
      </c>
    </row>
    <row r="65" spans="1:37">
      <c r="A65" s="37"/>
      <c r="B65" s="128" t="s">
        <v>276</v>
      </c>
      <c r="C65" s="129" t="s">
        <v>277</v>
      </c>
      <c r="D65" s="129" t="str">
        <f>[1]!thsiFinD("ths_fund_manager_current_fund",B65)</f>
        <v>杨超</v>
      </c>
      <c r="E65" s="130" t="str">
        <f t="shared" si="23"/>
        <v>2019-08-12</v>
      </c>
      <c r="F65" s="131">
        <f t="shared" si="24"/>
        <v>-2.5323246955308999E-2</v>
      </c>
      <c r="G65" s="131"/>
      <c r="H65" s="131"/>
      <c r="I65" s="131">
        <f t="shared" si="25"/>
        <v>0.51555852173187999</v>
      </c>
      <c r="J65" s="131">
        <f t="shared" si="25"/>
        <v>0.69785046728972011</v>
      </c>
      <c r="K65" s="131">
        <f t="shared" si="25"/>
        <v>0.50389072847682004</v>
      </c>
      <c r="L65" s="131">
        <f t="shared" si="26"/>
        <v>8.9862165355679258E-2</v>
      </c>
      <c r="M65" s="131">
        <f t="shared" si="27"/>
        <v>7.0754928664813255E-2</v>
      </c>
      <c r="N65" s="131">
        <f>AF65</f>
        <v>5.1837152328210401E-2</v>
      </c>
      <c r="O65" s="132">
        <f>AB65/AC65</f>
        <v>3.1065974880195659</v>
      </c>
      <c r="P65" s="132">
        <f>AD65/AE65</f>
        <v>2.2015810883716593</v>
      </c>
      <c r="Q65" s="132">
        <f>AF65/AG65</f>
        <v>1.6032551478923367</v>
      </c>
      <c r="R65" s="132">
        <f>[1]!thsiFinD("ths_adjustment_nvg_ratio_fund",$B65,R$1,R$2,101)</f>
        <v>-2.5323246955309</v>
      </c>
      <c r="S65" s="132"/>
      <c r="T65" s="133">
        <f>[1]!thsiFinD("ths_adjustment_nvg_ratio_fund",$B65,T$1,T$2,101)</f>
        <v>12.796473363963999</v>
      </c>
      <c r="U65" s="132">
        <f>[1]!thsiFinD("ths_adjustment_nvg_ratio_fund",$B65,U$1,U$2,101)</f>
        <v>51.555852173188001</v>
      </c>
      <c r="V65" s="132">
        <f>[1]!thsiFinD("ths_adjustment_nvg_ratio_fund",$B65,V$1,V$2,101)</f>
        <v>69.785046728972006</v>
      </c>
      <c r="W65" s="132">
        <f>[1]!thsiFinD("ths_adjustment_nvg_ratio_fund",$B65,W$1,W$2,101)</f>
        <v>50.389072847682002</v>
      </c>
      <c r="X65" s="133">
        <f>[1]!thsiFinD("ths_adjustment_nvg_ratio_fund",$B65,X$1,X$2,101)</f>
        <v>37.905642606388</v>
      </c>
      <c r="Y65" s="133">
        <f>[1]!thsiFinD("ths_adjustment_nvg_ratio_fund",$B65,Y$1,Y$2,101)</f>
        <v>10.764415781486999</v>
      </c>
      <c r="Z65" s="133">
        <f>[1]!thsiFinD("ths_adjustment_nvg_ratio_fund",$B65,Z$1,Z$2,101)</f>
        <v>-9.1817398794142999</v>
      </c>
      <c r="AA65" s="133">
        <f>[1]!thsiFinD("ths_adjustment_nvg_ratio_fund",$B65,AA$1,AA$2,101)</f>
        <v>-19.892361829849001</v>
      </c>
      <c r="AB65" s="134">
        <f>(1+([1]!thsiFinD("ths_adjustment_nvg_ratio_fund",$B65,AB$1,AB$2,101)-[1]!thsiFinD("ths_int_chg_ratio_index",$AJ65,AB$1,AB$2,101))/100)^(365/(AB$2-AB$1))-1</f>
        <v>8.9862165355679258E-2</v>
      </c>
      <c r="AC65" s="134">
        <f>[1]!thsiFinD("ths_tracking_error_annual_fund",$B65,AC$1,AC$2,100,101,$AJ65)/100</f>
        <v>2.8926233830494003E-2</v>
      </c>
      <c r="AD65" s="134">
        <f>(1+([1]!thsiFinD("ths_adjustment_nvg_ratio_fund",$B65,AD$1,AD$2,101)-[1]!thsiFinD("ths_int_chg_ratio_index",$AJ65,AD$1,AD$2,101))/100)^(365/(AD$2-AD$1))-1</f>
        <v>7.0754928664813255E-2</v>
      </c>
      <c r="AE65" s="134">
        <f>[1]!thsiFinD("ths_tracking_error_annual_fund",$B65,AE$1,AE$2,100,101,$AJ65)/100</f>
        <v>3.2138234216549003E-2</v>
      </c>
      <c r="AF65" s="134">
        <f>(1+([1]!thsiFinD("ths_adjustment_nvg_ratio_fund",$B65,AF$1,AF$2,101)-[1]!thsiFinD("ths_int_chg_ratio_index",$AJ65,AF$1,AF$2,101))/100)^(365/(AF$2-AF$1))-1</f>
        <v>5.1837152328210401E-2</v>
      </c>
      <c r="AG65" s="134">
        <f>[1]!thsiFinD("ths_tracking_error_annual_fund",$B65,AG$1,AG$2,100,101,$AJ65)/100</f>
        <v>3.2332440907086001E-2</v>
      </c>
      <c r="AH65" s="135" t="str">
        <f>[1]!thsiFinD("ths_service_start_fund",B65,100,1,101)</f>
        <v>2019-08-12</v>
      </c>
      <c r="AI65" s="136" t="str">
        <f>[1]!thsiFinD("ths_fund_establishment_date_fund",B65)</f>
        <v>2019-08-12</v>
      </c>
      <c r="AJ65" s="120" t="str">
        <f>[1]!thsiFinD("ths_fund_basement_fund",B65,1)</f>
        <v>000905.SH</v>
      </c>
      <c r="AK65" s="187">
        <f>[1]!thsiFinD("ths_daily_large_purchase_limit_fund",B65,"2026-06-03")</f>
        <v>0</v>
      </c>
    </row>
    <row r="66" spans="1:37" s="163" customFormat="1">
      <c r="A66" s="152"/>
      <c r="B66" s="153" t="s">
        <v>300</v>
      </c>
      <c r="C66" s="154" t="s">
        <v>301</v>
      </c>
      <c r="D66" s="154" t="str">
        <f>[1]!thsiFinD("ths_fund_manager_current_fund",B66)</f>
        <v>杨超</v>
      </c>
      <c r="E66" s="155" t="str">
        <f t="shared" si="23"/>
        <v>2022-01-04</v>
      </c>
      <c r="F66" s="156">
        <f t="shared" si="24"/>
        <v>-2.026696056821E-2</v>
      </c>
      <c r="G66" s="156"/>
      <c r="H66" s="156"/>
      <c r="I66" s="156">
        <f t="shared" si="25"/>
        <v>0.43609764853707</v>
      </c>
      <c r="J66" s="156">
        <f t="shared" si="25"/>
        <v>0.83140666132540009</v>
      </c>
      <c r="K66" s="156">
        <f t="shared" si="25"/>
        <v>0.58677112257040998</v>
      </c>
      <c r="L66" s="156">
        <f t="shared" si="26"/>
        <v>7.6665508770437318E-2</v>
      </c>
      <c r="M66" s="156">
        <f t="shared" si="27"/>
        <v>0.12040953614429273</v>
      </c>
      <c r="N66" s="156">
        <f>AF66</f>
        <v>9.9527671356118619E-2</v>
      </c>
      <c r="O66" s="157">
        <f>AB66/AC66</f>
        <v>2.415116045328531</v>
      </c>
      <c r="P66" s="157">
        <f>AD66/AE66</f>
        <v>3.4259699195730917</v>
      </c>
      <c r="Q66" s="157">
        <f>AF66/AG66</f>
        <v>2.8013613281688969</v>
      </c>
      <c r="R66" s="157">
        <f>[1]!thsiFinD("ths_adjustment_nvg_ratio_fund",$B66,R$1,R$2,101)</f>
        <v>-2.0266960568210002</v>
      </c>
      <c r="S66" s="157"/>
      <c r="T66" s="158">
        <f>[1]!thsiFinD("ths_adjustment_nvg_ratio_fund",$B66,T$1,T$2,101)</f>
        <v>11.094910782475999</v>
      </c>
      <c r="U66" s="157">
        <f>[1]!thsiFinD("ths_adjustment_nvg_ratio_fund",$B66,U$1,U$2,101)</f>
        <v>43.609764853706999</v>
      </c>
      <c r="V66" s="157">
        <f>[1]!thsiFinD("ths_adjustment_nvg_ratio_fund",$B66,V$1,V$2,101)</f>
        <v>83.140666132540005</v>
      </c>
      <c r="W66" s="157">
        <f>[1]!thsiFinD("ths_adjustment_nvg_ratio_fund",$B66,W$1,W$2,101)</f>
        <v>58.677112257041003</v>
      </c>
      <c r="X66" s="158">
        <f>[1]!thsiFinD("ths_adjustment_nvg_ratio_fund",$B66,X$1,X$2,101)</f>
        <v>40.107003891051001</v>
      </c>
      <c r="Y66" s="158">
        <f>[1]!thsiFinD("ths_adjustment_nvg_ratio_fund",$B66,Y$1,Y$2,101)</f>
        <v>10.728134424817</v>
      </c>
      <c r="Z66" s="158">
        <f>[1]!thsiFinD("ths_adjustment_nvg_ratio_fund",$B66,Z$1,Z$2,101)</f>
        <v>-0.72711719418306997</v>
      </c>
      <c r="AA66" s="158">
        <f>[1]!thsiFinD("ths_adjustment_nvg_ratio_fund",$B66,AA$1,AA$2,101)</f>
        <v>0</v>
      </c>
      <c r="AB66" s="159">
        <f>(1+([1]!thsiFinD("ths_adjustment_nvg_ratio_fund",$B66,AB$1,AB$2,101)-[1]!thsiFinD("ths_int_chg_ratio_index",$AJ66,AB$1,AB$2,101))/100)^(365/(AB$2-AB$1))-1</f>
        <v>7.6665508770437318E-2</v>
      </c>
      <c r="AC66" s="159">
        <f>[1]!thsiFinD("ths_tracking_error_annual_fund",$B66,AC$1,AC$2,100,101,$AJ66)/100</f>
        <v>3.1744026925219E-2</v>
      </c>
      <c r="AD66" s="159">
        <f>(1+([1]!thsiFinD("ths_adjustment_nvg_ratio_fund",$B66,AD$1,AD$2,101)-[1]!thsiFinD("ths_int_chg_ratio_index",$AJ66,AD$1,AD$2,101))/100)^(365/(AD$2-AD$1))-1</f>
        <v>0.12040953614429273</v>
      </c>
      <c r="AE66" s="159">
        <f>[1]!thsiFinD("ths_tracking_error_annual_fund",$B66,AE$1,AE$2,100,101,$AJ66)/100</f>
        <v>3.5146115982039004E-2</v>
      </c>
      <c r="AF66" s="159">
        <f>(1+([1]!thsiFinD("ths_adjustment_nvg_ratio_fund",$B66,AF$1,AF$2,101)-[1]!thsiFinD("ths_int_chg_ratio_index",$AJ66,AF$1,AF$2,101))/100)^(365/(AF$2-AF$1))-1</f>
        <v>9.9527671356118619E-2</v>
      </c>
      <c r="AG66" s="159">
        <f>[1]!thsiFinD("ths_tracking_error_annual_fund",$B66,AG$1,AG$2,100,101,$AJ66)/100</f>
        <v>3.5528323445934998E-2</v>
      </c>
      <c r="AH66" s="160" t="str">
        <f>[1]!thsiFinD("ths_service_start_fund",B66,100,1,101)</f>
        <v>2022-01-04</v>
      </c>
      <c r="AI66" s="161" t="str">
        <f>[1]!thsiFinD("ths_fund_establishment_date_fund",B66)</f>
        <v>2022-01-04</v>
      </c>
      <c r="AJ66" s="152" t="str">
        <f>[1]!thsiFinD("ths_fund_basement_fund",B66,1)</f>
        <v>000852.SH</v>
      </c>
      <c r="AK66" s="187">
        <f>[1]!thsiFinD("ths_daily_large_purchase_limit_fund",B66,"2026-06-03")</f>
        <v>0</v>
      </c>
    </row>
    <row r="67" spans="1:37" s="163" customFormat="1">
      <c r="A67" s="152"/>
      <c r="B67" s="153" t="s">
        <v>291</v>
      </c>
      <c r="C67" s="154" t="s">
        <v>292</v>
      </c>
      <c r="D67" s="154" t="str">
        <f>[1]!thsiFinD("ths_fund_manager_current_fund",B67)</f>
        <v>胡崇海,刘晟</v>
      </c>
      <c r="E67" s="155" t="str">
        <f t="shared" si="23"/>
        <v>2022-08-16</v>
      </c>
      <c r="F67" s="156">
        <f t="shared" si="24"/>
        <v>-2.4206815511162997E-2</v>
      </c>
      <c r="G67" s="156"/>
      <c r="H67" s="156"/>
      <c r="I67" s="156">
        <f t="shared" si="25"/>
        <v>0.45339984247834003</v>
      </c>
      <c r="J67" s="156">
        <f t="shared" si="25"/>
        <v>0.89006486855582001</v>
      </c>
      <c r="K67" s="156">
        <f t="shared" si="25"/>
        <v>0.66830738322451</v>
      </c>
      <c r="L67" s="156">
        <f t="shared" si="26"/>
        <v>9.3764815700589921E-2</v>
      </c>
      <c r="M67" s="156">
        <f t="shared" si="27"/>
        <v>0.14607021838307288</v>
      </c>
      <c r="N67" s="156">
        <f>AF67</f>
        <v>0.12140938734244644</v>
      </c>
      <c r="O67" s="157">
        <f>AB67/AC67</f>
        <v>2.9994515564714703</v>
      </c>
      <c r="P67" s="157">
        <f>AD67/AE67</f>
        <v>4.1219759704804879</v>
      </c>
      <c r="Q67" s="157">
        <f>AF67/AG67</f>
        <v>3.5154297694324868</v>
      </c>
      <c r="R67" s="157">
        <f>[1]!thsiFinD("ths_adjustment_nvg_ratio_fund",$B67,R$1,R$2,101)</f>
        <v>-2.4206815511162998</v>
      </c>
      <c r="S67" s="157"/>
      <c r="T67" s="158">
        <f>[1]!thsiFinD("ths_adjustment_nvg_ratio_fund",$B67,T$1,T$2,101)</f>
        <v>12.299682196227</v>
      </c>
      <c r="U67" s="157">
        <f>[1]!thsiFinD("ths_adjustment_nvg_ratio_fund",$B67,U$1,U$2,101)</f>
        <v>45.339984247834003</v>
      </c>
      <c r="V67" s="157">
        <f>[1]!thsiFinD("ths_adjustment_nvg_ratio_fund",$B67,V$1,V$2,101)</f>
        <v>89.006486855581997</v>
      </c>
      <c r="W67" s="157">
        <f>[1]!thsiFinD("ths_adjustment_nvg_ratio_fund",$B67,W$1,W$2,101)</f>
        <v>66.830738322450998</v>
      </c>
      <c r="X67" s="158">
        <f>[1]!thsiFinD("ths_adjustment_nvg_ratio_fund",$B67,X$1,X$2,101)</f>
        <v>40.313092979126999</v>
      </c>
      <c r="Y67" s="158">
        <f>[1]!thsiFinD("ths_adjustment_nvg_ratio_fund",$B67,Y$1,Y$2,101)</f>
        <v>13.540881180653001</v>
      </c>
      <c r="Z67" s="158">
        <f>[1]!thsiFinD("ths_adjustment_nvg_ratio_fund",$B67,Z$1,Z$2,101)</f>
        <v>2.5632526792619998</v>
      </c>
      <c r="AA67" s="158">
        <f>[1]!thsiFinD("ths_adjustment_nvg_ratio_fund",$B67,AA$1,AA$2,101)</f>
        <v>0</v>
      </c>
      <c r="AB67" s="159">
        <f>(1+([1]!thsiFinD("ths_adjustment_nvg_ratio_fund",$B67,AB$1,AB$2,101)-[1]!thsiFinD("ths_int_chg_ratio_index",$AJ67,AB$1,AB$2,101))/100)^(365/(AB$2-AB$1))-1</f>
        <v>9.3764815700589921E-2</v>
      </c>
      <c r="AC67" s="159">
        <f>[1]!thsiFinD("ths_tracking_error_annual_fund",$B67,AC$1,AC$2,100,101,$AJ67)/100</f>
        <v>3.1260653467894001E-2</v>
      </c>
      <c r="AD67" s="159">
        <f>(1+([1]!thsiFinD("ths_adjustment_nvg_ratio_fund",$B67,AD$1,AD$2,101)-[1]!thsiFinD("ths_int_chg_ratio_index",$AJ67,AD$1,AD$2,101))/100)^(365/(AD$2-AD$1))-1</f>
        <v>0.14607021838307288</v>
      </c>
      <c r="AE67" s="159">
        <f>[1]!thsiFinD("ths_tracking_error_annual_fund",$B67,AE$1,AE$2,100,101,$AJ67)/100</f>
        <v>3.5436940784991003E-2</v>
      </c>
      <c r="AF67" s="159">
        <f>(1+([1]!thsiFinD("ths_adjustment_nvg_ratio_fund",$B67,AF$1,AF$2,101)-[1]!thsiFinD("ths_int_chg_ratio_index",$AJ67,AF$1,AF$2,101))/100)^(365/(AF$2-AF$1))-1</f>
        <v>0.12140938734244644</v>
      </c>
      <c r="AG67" s="159">
        <f>[1]!thsiFinD("ths_tracking_error_annual_fund",$B67,AG$1,AG$2,100,101,$AJ67)/100</f>
        <v>3.4536143602734E-2</v>
      </c>
      <c r="AH67" s="160" t="str">
        <f>[1]!thsiFinD("ths_service_start_fund",B67,100,1,101)</f>
        <v>2024-08-21</v>
      </c>
      <c r="AI67" s="161" t="str">
        <f>[1]!thsiFinD("ths_fund_establishment_date_fund",B67)</f>
        <v>2022-08-16</v>
      </c>
      <c r="AJ67" s="152" t="str">
        <f>[1]!thsiFinD("ths_fund_basement_fund",B67,1)</f>
        <v>000852.SH</v>
      </c>
      <c r="AK67" s="187">
        <f>[1]!thsiFinD("ths_daily_large_purchase_limit_fund",B67,"2026-06-03")</f>
        <v>0</v>
      </c>
    </row>
    <row r="68" spans="1:37" s="163" customFormat="1">
      <c r="A68" s="152"/>
      <c r="B68" s="153" t="s">
        <v>294</v>
      </c>
      <c r="C68" s="154" t="s">
        <v>295</v>
      </c>
      <c r="D68" s="154" t="str">
        <f>[1]!thsiFinD("ths_fund_manager_current_fund",B68)</f>
        <v>许一尊,王星星</v>
      </c>
      <c r="E68" s="155" t="str">
        <f t="shared" si="23"/>
        <v>2023-05-19</v>
      </c>
      <c r="F68" s="156">
        <f t="shared" si="24"/>
        <v>-1.808557565064E-2</v>
      </c>
      <c r="G68" s="156"/>
      <c r="H68" s="156"/>
      <c r="I68" s="156">
        <f>U68/100</f>
        <v>0.52309271296613002</v>
      </c>
      <c r="J68" s="156">
        <f>V68/100</f>
        <v>0.97493623156260001</v>
      </c>
      <c r="K68" s="156">
        <f>W68/100</f>
        <v>0.78044391121776002</v>
      </c>
      <c r="L68" s="156">
        <f t="shared" si="26"/>
        <v>0.1626112635481336</v>
      </c>
      <c r="M68" s="156">
        <f t="shared" si="27"/>
        <v>0.1821994742118298</v>
      </c>
      <c r="N68" s="156">
        <f>AF68</f>
        <v>0.15016521475884592</v>
      </c>
      <c r="O68" s="157">
        <f>AB68/AC68</f>
        <v>3.9294909437412793</v>
      </c>
      <c r="P68" s="157">
        <f>AD68/AE68</f>
        <v>3.5782772335510722</v>
      </c>
      <c r="Q68" s="157">
        <f>AF68/AG68</f>
        <v>2.6071193909605985</v>
      </c>
      <c r="R68" s="157">
        <f>[1]!thsiFinD("ths_adjustment_nvg_ratio_fund",$B68,R$1,R$2,101)</f>
        <v>-1.808557565064</v>
      </c>
      <c r="S68" s="157"/>
      <c r="T68" s="158">
        <f>[1]!thsiFinD("ths_adjustment_nvg_ratio_fund",$B68,T$1,T$2,101)</f>
        <v>15.284521266264999</v>
      </c>
      <c r="U68" s="157">
        <f>[1]!thsiFinD("ths_adjustment_nvg_ratio_fund",$B68,U$1,U$2,101)</f>
        <v>52.309271296612998</v>
      </c>
      <c r="V68" s="157">
        <f>[1]!thsiFinD("ths_adjustment_nvg_ratio_fund",$B68,V$1,V$2,101)</f>
        <v>97.49362315626</v>
      </c>
      <c r="W68" s="157">
        <f>[1]!thsiFinD("ths_adjustment_nvg_ratio_fund",$B68,W$1,W$2,101)</f>
        <v>78.044391121776002</v>
      </c>
      <c r="X68" s="158">
        <f>[1]!thsiFinD("ths_adjustment_nvg_ratio_fund",$B68,X$1,X$2,101)</f>
        <v>47.142312821490002</v>
      </c>
      <c r="Y68" s="158">
        <f>[1]!thsiFinD("ths_adjustment_nvg_ratio_fund",$B68,Y$1,Y$2,101)</f>
        <v>4.2088544768712</v>
      </c>
      <c r="Z68" s="158">
        <f>[1]!thsiFinD("ths_adjustment_nvg_ratio_fund",$B68,Z$1,Z$2,101)</f>
        <v>0</v>
      </c>
      <c r="AA68" s="158">
        <f>[1]!thsiFinD("ths_adjustment_nvg_ratio_fund",$B68,AA$1,AA$2,101)</f>
        <v>0</v>
      </c>
      <c r="AB68" s="159">
        <f>(1+([1]!thsiFinD("ths_adjustment_nvg_ratio_fund",$B68,AB$1,AB$2,101)-[1]!thsiFinD("ths_int_chg_ratio_index",$AJ68,AB$1,AB$2,101))/100)^(365/(AB$2-AB$1))-1</f>
        <v>0.1626112635481336</v>
      </c>
      <c r="AC68" s="159">
        <f>[1]!thsiFinD("ths_tracking_error_annual_fund",$B68,AC$1,AC$2,100,101,$AJ68)/100</f>
        <v>4.1382272125384E-2</v>
      </c>
      <c r="AD68" s="159">
        <f>(1+([1]!thsiFinD("ths_adjustment_nvg_ratio_fund",$B68,AD$1,AD$2,101)-[1]!thsiFinD("ths_int_chg_ratio_index",$AJ68,AD$1,AD$2,101))/100)^(365/(AD$2-AD$1))-1</f>
        <v>0.1821994742118298</v>
      </c>
      <c r="AE68" s="159">
        <f>[1]!thsiFinD("ths_tracking_error_annual_fund",$B68,AE$1,AE$2,100,101,$AJ68)/100</f>
        <v>5.0918210725393001E-2</v>
      </c>
      <c r="AF68" s="159">
        <f>(1+([1]!thsiFinD("ths_adjustment_nvg_ratio_fund",$B68,AF$1,AF$2,101)-[1]!thsiFinD("ths_int_chg_ratio_index",$AJ68,AF$1,AF$2,101))/100)^(365/(AF$2-AF$1))-1</f>
        <v>0.15016521475884592</v>
      </c>
      <c r="AG68" s="159">
        <f>[1]!thsiFinD("ths_tracking_error_annual_fund",$B68,AG$1,AG$2,100,101,$AJ68)/100</f>
        <v>5.7598135044946E-2</v>
      </c>
      <c r="AH68" s="160" t="str">
        <f>[1]!thsiFinD("ths_service_start_fund",B68,100,1,101)</f>
        <v>2023-06-29</v>
      </c>
      <c r="AI68" s="161" t="str">
        <f>[1]!thsiFinD("ths_fund_establishment_date_fund",B68)</f>
        <v>2023-05-19</v>
      </c>
      <c r="AJ68" s="152" t="str">
        <f>[1]!thsiFinD("ths_fund_basement_fund",B68,1)</f>
        <v>000852.SH</v>
      </c>
      <c r="AK68" s="187">
        <f>[1]!thsiFinD("ths_daily_large_purchase_limit_fund",B68,"2026-06-03")</f>
        <v>0</v>
      </c>
    </row>
    <row r="69" spans="1:37">
      <c r="B69" s="128" t="s">
        <v>319</v>
      </c>
      <c r="C69" s="129" t="s">
        <v>320</v>
      </c>
      <c r="D69" s="129" t="str">
        <f>[1]!thsiFinD("ths_fund_manager_current_fund",B69)</f>
        <v>盛豪,雷文渊,孔令烨</v>
      </c>
      <c r="E69" s="130" t="str">
        <f t="shared" si="23"/>
        <v>2024-01-12</v>
      </c>
      <c r="F69" s="131">
        <f t="shared" si="24"/>
        <v>-1.3601161665053001E-2</v>
      </c>
      <c r="G69" s="131"/>
      <c r="H69" s="131"/>
      <c r="I69" s="131">
        <f t="shared" ref="I69:J71" si="28">U69/100</f>
        <v>0.48275611175785998</v>
      </c>
      <c r="J69" s="131">
        <f t="shared" si="28"/>
        <v>1.2441361083581</v>
      </c>
      <c r="K69" s="131" t="s">
        <v>377</v>
      </c>
      <c r="L69" s="131">
        <f t="shared" si="26"/>
        <v>0.15738477123494365</v>
      </c>
      <c r="M69" s="131">
        <f t="shared" si="27"/>
        <v>0.23066791508133644</v>
      </c>
      <c r="N69" s="131"/>
      <c r="O69" s="132"/>
      <c r="P69" s="132"/>
      <c r="Q69" s="132"/>
      <c r="R69" s="132">
        <f>[1]!thsiFinD("ths_adjustment_nvg_ratio_fund",$B69,R$1,R$2,101)</f>
        <v>-1.3601161665053001</v>
      </c>
      <c r="S69" s="132"/>
      <c r="T69" s="133">
        <f>[1]!thsiFinD("ths_adjustment_nvg_ratio_fund",$B69,T$1,T$2,101)</f>
        <v>13.103563103562999</v>
      </c>
      <c r="U69" s="132">
        <f>[1]!thsiFinD("ths_adjustment_nvg_ratio_fund",$B69,U$1,U$2,101)</f>
        <v>48.275611175785997</v>
      </c>
      <c r="V69" s="132">
        <f>[1]!thsiFinD("ths_adjustment_nvg_ratio_fund",$B69,V$1,V$2,101)</f>
        <v>124.41361083581</v>
      </c>
      <c r="W69" s="132">
        <f>[1]!thsiFinD("ths_adjustment_nvg_ratio_fund",$B69,W$1,W$2,101)</f>
        <v>0</v>
      </c>
      <c r="X69" s="133">
        <f>[1]!thsiFinD("ths_adjustment_nvg_ratio_fund",$B69,X$1,X$2,101)</f>
        <v>54.356206630686003</v>
      </c>
      <c r="Y69" s="133">
        <f>[1]!thsiFinD("ths_adjustment_nvg_ratio_fund",$B69,Y$1,Y$2,101)</f>
        <v>0</v>
      </c>
      <c r="Z69" s="133">
        <f>[1]!thsiFinD("ths_adjustment_nvg_ratio_fund",$B69,Z$1,Z$2,101)</f>
        <v>0</v>
      </c>
      <c r="AA69" s="133">
        <f>[1]!thsiFinD("ths_adjustment_nvg_ratio_fund",$B69,AA$1,AA$2,101)</f>
        <v>0</v>
      </c>
      <c r="AB69" s="134">
        <f>(1+([1]!thsiFinD("ths_adjustment_nvg_ratio_fund",$B69,AB$1,AB$2,101)-[1]!thsiFinD("ths_int_chg_ratio_index",$AJ69,AB$1,AB$2,101))/100)^(365/(AB$2-AB$1))-1</f>
        <v>0.15738477123494365</v>
      </c>
      <c r="AC69" s="134">
        <f>[1]!thsiFinD("ths_tracking_error_annual_fund",$B69,AC$1,AC$2,100,101,$AJ69)/100</f>
        <v>0</v>
      </c>
      <c r="AD69" s="134">
        <f>(1+([1]!thsiFinD("ths_adjustment_nvg_ratio_fund",$B69,AD$1,AD$2,101)-[1]!thsiFinD("ths_int_chg_ratio_index",$AJ69,AD$1,AD$2,101))/100)^(365/(AD$2-AD$1))-1</f>
        <v>0.23066791508133644</v>
      </c>
      <c r="AE69" s="134">
        <f>[1]!thsiFinD("ths_tracking_error_annual_fund",$B69,AE$1,AE$2,100,101,$AJ69)/100</f>
        <v>0</v>
      </c>
      <c r="AF69" s="134">
        <f>(1+([1]!thsiFinD("ths_adjustment_nvg_ratio_fund",$B69,AF$1,AF$2,101)-[1]!thsiFinD("ths_int_chg_ratio_index",$AJ69,AF$1,AF$2,101))/100)^(365/(AF$2-AF$1))-1</f>
        <v>-0.1549769820358845</v>
      </c>
      <c r="AG69" s="134">
        <f>[1]!thsiFinD("ths_tracking_error_annual_fund",$B69,AG$1,AG$2,100,101,$AJ69)/100</f>
        <v>0</v>
      </c>
      <c r="AH69" s="135" t="str">
        <f>[1]!thsiFinD("ths_service_start_fund",B69,100,1,101)</f>
        <v>2024-01-12</v>
      </c>
      <c r="AI69" s="136" t="str">
        <f>[1]!thsiFinD("ths_fund_establishment_date_fund",B69)</f>
        <v>2024-01-12</v>
      </c>
      <c r="AJ69" s="120" t="str">
        <f>[1]!thsiFinD("ths_fund_basement_fund",B69,1)</f>
        <v>932000.CSI</v>
      </c>
      <c r="AK69" s="187">
        <f>[1]!thsiFinD("ths_daily_large_purchase_limit_fund",B69,"2026-06-03")</f>
        <v>100000</v>
      </c>
    </row>
    <row r="70" spans="1:37">
      <c r="B70" s="128" t="s">
        <v>322</v>
      </c>
      <c r="C70" s="129" t="s">
        <v>323</v>
      </c>
      <c r="D70" s="129" t="str">
        <f>[1]!thsiFinD("ths_fund_manager_current_fund",B70)</f>
        <v>王平,刘浒</v>
      </c>
      <c r="E70" s="130" t="str">
        <f t="shared" si="23"/>
        <v>2024-01-02</v>
      </c>
      <c r="F70" s="131">
        <f t="shared" si="24"/>
        <v>-1.4939495045068E-2</v>
      </c>
      <c r="G70" s="131"/>
      <c r="H70" s="131"/>
      <c r="I70" s="131">
        <f t="shared" si="28"/>
        <v>0.46917706476530002</v>
      </c>
      <c r="J70" s="131">
        <f t="shared" si="28"/>
        <v>1.0776178972796999</v>
      </c>
      <c r="K70" s="131" t="s">
        <v>378</v>
      </c>
      <c r="L70" s="131">
        <f t="shared" si="26"/>
        <v>0.14397356551380147</v>
      </c>
      <c r="M70" s="131">
        <f t="shared" si="27"/>
        <v>0.16170725785822304</v>
      </c>
      <c r="N70" s="131"/>
      <c r="O70" s="132"/>
      <c r="P70" s="132"/>
      <c r="Q70" s="132"/>
      <c r="R70" s="132">
        <f>[1]!thsiFinD("ths_adjustment_nvg_ratio_fund",$B70,R$1,R$2,101)</f>
        <v>-1.4939495045068001</v>
      </c>
      <c r="S70" s="132"/>
      <c r="T70" s="133">
        <f>[1]!thsiFinD("ths_adjustment_nvg_ratio_fund",$B70,T$1,T$2,101)</f>
        <v>14.965709636173001</v>
      </c>
      <c r="U70" s="132">
        <f>[1]!thsiFinD("ths_adjustment_nvg_ratio_fund",$B70,U$1,U$2,101)</f>
        <v>46.91770647653</v>
      </c>
      <c r="V70" s="132">
        <f>[1]!thsiFinD("ths_adjustment_nvg_ratio_fund",$B70,V$1,V$2,101)</f>
        <v>107.76178972797</v>
      </c>
      <c r="W70" s="132">
        <f>[1]!thsiFinD("ths_adjustment_nvg_ratio_fund",$B70,W$1,W$2,101)</f>
        <v>0</v>
      </c>
      <c r="X70" s="133">
        <f>[1]!thsiFinD("ths_adjustment_nvg_ratio_fund",$B70,X$1,X$2,101)</f>
        <v>49.098786828423002</v>
      </c>
      <c r="Y70" s="133">
        <f>[1]!thsiFinD("ths_adjustment_nvg_ratio_fund",$B70,Y$1,Y$2,101)</f>
        <v>0</v>
      </c>
      <c r="Z70" s="133">
        <f>[1]!thsiFinD("ths_adjustment_nvg_ratio_fund",$B70,Z$1,Z$2,101)</f>
        <v>0</v>
      </c>
      <c r="AA70" s="133">
        <f>[1]!thsiFinD("ths_adjustment_nvg_ratio_fund",$B70,AA$1,AA$2,101)</f>
        <v>0</v>
      </c>
      <c r="AB70" s="134">
        <f>(1+([1]!thsiFinD("ths_adjustment_nvg_ratio_fund",$B70,AB$1,AB$2,101)-[1]!thsiFinD("ths_int_chg_ratio_index",$AJ70,AB$1,AB$2,101))/100)^(365/(AB$2-AB$1))-1</f>
        <v>0.14397356551380147</v>
      </c>
      <c r="AC70" s="134">
        <f>[1]!thsiFinD("ths_tracking_error_annual_fund",$B70,AC$1,AC$2,100,101,$AJ70)/100</f>
        <v>0</v>
      </c>
      <c r="AD70" s="134">
        <f>(1+([1]!thsiFinD("ths_adjustment_nvg_ratio_fund",$B70,AD$1,AD$2,101)-[1]!thsiFinD("ths_int_chg_ratio_index",$AJ70,AD$1,AD$2,101))/100)^(365/(AD$2-AD$1))-1</f>
        <v>0.16170725785822304</v>
      </c>
      <c r="AE70" s="134">
        <f>[1]!thsiFinD("ths_tracking_error_annual_fund",$B70,AE$1,AE$2,100,101,$AJ70)/100</f>
        <v>0</v>
      </c>
      <c r="AF70" s="134">
        <f>(1+([1]!thsiFinD("ths_adjustment_nvg_ratio_fund",$B70,AF$1,AF$2,101)-[1]!thsiFinD("ths_int_chg_ratio_index",$AJ70,AF$1,AF$2,101))/100)^(365/(AF$2-AF$1))-1</f>
        <v>-0.1549769820358845</v>
      </c>
      <c r="AG70" s="134">
        <f>[1]!thsiFinD("ths_tracking_error_annual_fund",$B70,AG$1,AG$2,100,101,$AJ70)/100</f>
        <v>0</v>
      </c>
      <c r="AH70" s="135" t="str">
        <f>[1]!thsiFinD("ths_service_start_fund",B70,100,1,101)</f>
        <v>2024-01-02</v>
      </c>
      <c r="AI70" s="136" t="str">
        <f>[1]!thsiFinD("ths_fund_establishment_date_fund",B70)</f>
        <v>2024-01-02</v>
      </c>
      <c r="AJ70" s="120" t="str">
        <f>[1]!thsiFinD("ths_fund_basement_fund",B70,1)</f>
        <v>932000.CSI</v>
      </c>
      <c r="AK70" s="187">
        <f>[1]!thsiFinD("ths_daily_large_purchase_limit_fund",B70,"2026-06-03")</f>
        <v>0</v>
      </c>
    </row>
    <row r="71" spans="1:37" s="179" customFormat="1">
      <c r="A71" s="74"/>
      <c r="B71" s="171" t="s">
        <v>379</v>
      </c>
      <c r="C71" s="172" t="s">
        <v>380</v>
      </c>
      <c r="D71" s="172" t="str">
        <f>[1]!thsiFinD("ths_fund_manager_current_fund",B71)</f>
        <v>杨梦</v>
      </c>
      <c r="E71" s="188" t="str">
        <f t="shared" si="23"/>
        <v>2019-04-26</v>
      </c>
      <c r="F71" s="174">
        <f t="shared" si="24"/>
        <v>-1.4008343204408E-2</v>
      </c>
      <c r="G71" s="174"/>
      <c r="H71" s="174"/>
      <c r="I71" s="174">
        <f t="shared" si="28"/>
        <v>0.30362249761678001</v>
      </c>
      <c r="J71" s="174">
        <f t="shared" si="28"/>
        <v>0.47337232568878002</v>
      </c>
      <c r="K71" s="174">
        <f>W71/100</f>
        <v>0.49769224751622998</v>
      </c>
      <c r="L71" s="174">
        <f t="shared" si="26"/>
        <v>6.1744041145458173E-2</v>
      </c>
      <c r="M71" s="174">
        <f t="shared" si="27"/>
        <v>6.5069986499435073E-2</v>
      </c>
      <c r="N71" s="174">
        <f>AF71</f>
        <v>7.8004663245528461E-2</v>
      </c>
      <c r="O71" s="175">
        <f>AB71/AC71</f>
        <v>1.9830564878926955</v>
      </c>
      <c r="P71" s="175">
        <f>AD71/AE71</f>
        <v>1.7158078556678957</v>
      </c>
      <c r="Q71" s="175">
        <f>AF71/AG71</f>
        <v>1.9416219383612974</v>
      </c>
      <c r="R71" s="175">
        <f>[1]!thsiFinD("ths_adjustment_nvg_ratio_fund",$B71,R$1,R$2,101)</f>
        <v>-1.4008343204408</v>
      </c>
      <c r="S71" s="175"/>
      <c r="T71" s="104">
        <f>[1]!thsiFinD("ths_adjustment_nvg_ratio_fund",$B71,T$1,T$2,101)</f>
        <v>7.2368789559177999</v>
      </c>
      <c r="U71" s="175">
        <f>[1]!thsiFinD("ths_adjustment_nvg_ratio_fund",$B71,U$1,U$2,101)</f>
        <v>30.362249761678001</v>
      </c>
      <c r="V71" s="175">
        <f>[1]!thsiFinD("ths_adjustment_nvg_ratio_fund",$B71,V$1,V$2,101)</f>
        <v>47.337232568878001</v>
      </c>
      <c r="W71" s="175">
        <f>[1]!thsiFinD("ths_adjustment_nvg_ratio_fund",$B71,W$1,W$2,101)</f>
        <v>49.769224751623</v>
      </c>
      <c r="X71" s="104">
        <f>[1]!thsiFinD("ths_adjustment_nvg_ratio_fund",$B71,X$1,X$2,101)</f>
        <v>23.030804217490001</v>
      </c>
      <c r="Y71" s="104">
        <f>[1]!thsiFinD("ths_adjustment_nvg_ratio_fund",$B71,Y$1,Y$2,101)</f>
        <v>19.089043906442001</v>
      </c>
      <c r="Z71" s="104">
        <f>[1]!thsiFinD("ths_adjustment_nvg_ratio_fund",$B71,Z$1,Z$2,101)</f>
        <v>-4.2661847894406</v>
      </c>
      <c r="AA71" s="104">
        <f>[1]!thsiFinD("ths_adjustment_nvg_ratio_fund",$B71,AA$1,AA$2,101)</f>
        <v>-20.860535969657001</v>
      </c>
      <c r="AB71" s="176">
        <f>(1+([1]!thsiFinD("ths_adjustment_nvg_ratio_fund",$B71,AB$1,AB$2,101)-[1]!thsiFinD("ths_int_chg_ratio_index",$AJ71,AB$1,AB$2,101))/100)^(365/(AB$2-AB$1))-1</f>
        <v>6.1744041145458173E-2</v>
      </c>
      <c r="AC71" s="176">
        <f>[1]!thsiFinD("ths_tracking_error_annual_fund",$B71,AC$1,AC$2,100,101,$AJ71)/100</f>
        <v>3.1135795436201E-2</v>
      </c>
      <c r="AD71" s="176">
        <f>(1+([1]!thsiFinD("ths_adjustment_nvg_ratio_fund",$B71,AD$1,AD$2,101)-[1]!thsiFinD("ths_int_chg_ratio_index",$AJ71,AD$1,AD$2,101))/100)^(365/(AD$2-AD$1))-1</f>
        <v>6.5069986499435073E-2</v>
      </c>
      <c r="AE71" s="176">
        <f>[1]!thsiFinD("ths_tracking_error_annual_fund",$B71,AE$1,AE$2,100,101,$AJ71)/100</f>
        <v>3.7923818966375998E-2</v>
      </c>
      <c r="AF71" s="176">
        <f>(1+([1]!thsiFinD("ths_adjustment_nvg_ratio_fund",$B71,AF$1,AF$2,101)-[1]!thsiFinD("ths_int_chg_ratio_index",$AJ71,AF$1,AF$2,101))/100)^(365/(AF$2-AF$1))-1</f>
        <v>7.8004663245528461E-2</v>
      </c>
      <c r="AG71" s="176">
        <f>[1]!thsiFinD("ths_tracking_error_annual_fund",$B71,AG$1,AG$2,100,101,$AJ71)/100</f>
        <v>4.0175000964071998E-2</v>
      </c>
      <c r="AH71" s="177" t="str">
        <f>[1]!thsiFinD("ths_service_start_fund",B71,100,1,101)</f>
        <v>2019-04-26</v>
      </c>
      <c r="AI71" s="178" t="str">
        <f>[1]!thsiFinD("ths_fund_establishment_date_fund",B71)</f>
        <v>2019-04-26</v>
      </c>
      <c r="AJ71" s="74" t="str">
        <f>[1]!thsiFinD("ths_fund_basement_fund",B71,1)</f>
        <v>000300.SH</v>
      </c>
      <c r="AK71" s="187">
        <f>[1]!thsiFinD("ths_daily_large_purchase_limit_fund",B71,"2026-06-03")</f>
        <v>0</v>
      </c>
    </row>
    <row r="72" spans="1:37" s="179" customFormat="1">
      <c r="A72" s="74"/>
      <c r="B72" s="171" t="s">
        <v>381</v>
      </c>
      <c r="C72" s="172" t="s">
        <v>382</v>
      </c>
      <c r="D72" s="172" t="str">
        <f>[1]!thsiFinD("ths_fund_manager_current_fund",B72)</f>
        <v>施荣盛</v>
      </c>
      <c r="E72" s="188" t="str">
        <f t="shared" si="23"/>
        <v>2017-03-16</v>
      </c>
      <c r="F72" s="174">
        <f t="shared" si="24"/>
        <v>-1.4674860130239E-2</v>
      </c>
      <c r="G72" s="174"/>
      <c r="H72" s="174"/>
      <c r="I72" s="174">
        <f t="shared" si="25"/>
        <v>0.28728057036726001</v>
      </c>
      <c r="J72" s="174">
        <f t="shared" si="25"/>
        <v>0.56535042984118</v>
      </c>
      <c r="K72" s="174">
        <f t="shared" si="25"/>
        <v>0.48898128898129001</v>
      </c>
      <c r="L72" s="174">
        <f t="shared" si="26"/>
        <v>4.5588518354562124E-2</v>
      </c>
      <c r="M72" s="174">
        <f t="shared" si="27"/>
        <v>0.10707864690762325</v>
      </c>
      <c r="N72" s="174">
        <f>AF72</f>
        <v>7.5516924107318362E-2</v>
      </c>
      <c r="O72" s="175">
        <f>AB72/AC72</f>
        <v>1.2357055602162454</v>
      </c>
      <c r="P72" s="175">
        <f>AD72/AE72</f>
        <v>2.4169193849411785</v>
      </c>
      <c r="Q72" s="175">
        <f>AF72/AG72</f>
        <v>1.7256631862301166</v>
      </c>
      <c r="R72" s="175">
        <f>[1]!thsiFinD("ths_adjustment_nvg_ratio_fund",$B72,R$1,R$2,101)</f>
        <v>-1.4674860130239</v>
      </c>
      <c r="S72" s="175"/>
      <c r="T72" s="104">
        <f>[1]!thsiFinD("ths_adjustment_nvg_ratio_fund",$B72,T$1,T$2,101)</f>
        <v>6.7256109676138003</v>
      </c>
      <c r="U72" s="175">
        <f>[1]!thsiFinD("ths_adjustment_nvg_ratio_fund",$B72,U$1,U$2,101)</f>
        <v>28.728057036726</v>
      </c>
      <c r="V72" s="175">
        <f>[1]!thsiFinD("ths_adjustment_nvg_ratio_fund",$B72,V$1,V$2,101)</f>
        <v>56.535042984118</v>
      </c>
      <c r="W72" s="175">
        <f>[1]!thsiFinD("ths_adjustment_nvg_ratio_fund",$B72,W$1,W$2,101)</f>
        <v>48.898128898129002</v>
      </c>
      <c r="X72" s="104">
        <f>[1]!thsiFinD("ths_adjustment_nvg_ratio_fund",$B72,X$1,X$2,101)</f>
        <v>26.512913969709999</v>
      </c>
      <c r="Y72" s="104">
        <f>[1]!thsiFinD("ths_adjustment_nvg_ratio_fund",$B72,Y$1,Y$2,101)</f>
        <v>21.020609932313999</v>
      </c>
      <c r="Z72" s="104">
        <f>[1]!thsiFinD("ths_adjustment_nvg_ratio_fund",$B72,Z$1,Z$2,101)</f>
        <v>-9.3422504136790003</v>
      </c>
      <c r="AA72" s="104">
        <f>[1]!thsiFinD("ths_adjustment_nvg_ratio_fund",$B72,AA$1,AA$2,101)</f>
        <v>-21.032286165405001</v>
      </c>
      <c r="AB72" s="176">
        <f>(1+([1]!thsiFinD("ths_adjustment_nvg_ratio_fund",$B72,AB$1,AB$2,101)-[1]!thsiFinD("ths_int_chg_ratio_index",$AJ72,AB$1,AB$2,101))/100)^(365/(AB$2-AB$1))-1</f>
        <v>4.5588518354562124E-2</v>
      </c>
      <c r="AC72" s="176">
        <f>[1]!thsiFinD("ths_tracking_error_annual_fund",$B72,AC$1,AC$2,100,101,$AJ72)/100</f>
        <v>3.6892703102011003E-2</v>
      </c>
      <c r="AD72" s="176">
        <f>(1+([1]!thsiFinD("ths_adjustment_nvg_ratio_fund",$B72,AD$1,AD$2,101)-[1]!thsiFinD("ths_int_chg_ratio_index",$AJ72,AD$1,AD$2,101))/100)^(365/(AD$2-AD$1))-1</f>
        <v>0.10707864690762325</v>
      </c>
      <c r="AE72" s="176">
        <f>[1]!thsiFinD("ths_tracking_error_annual_fund",$B72,AE$1,AE$2,100,101,$AJ72)/100</f>
        <v>4.4303772635026994E-2</v>
      </c>
      <c r="AF72" s="176">
        <f>(1+([1]!thsiFinD("ths_adjustment_nvg_ratio_fund",$B72,AF$1,AF$2,101)-[1]!thsiFinD("ths_int_chg_ratio_index",$AJ72,AF$1,AF$2,101))/100)^(365/(AF$2-AF$1))-1</f>
        <v>7.5516924107318362E-2</v>
      </c>
      <c r="AG72" s="176">
        <f>[1]!thsiFinD("ths_tracking_error_annual_fund",$B72,AG$1,AG$2,100,101,$AJ72)/100</f>
        <v>4.3761102809577006E-2</v>
      </c>
      <c r="AH72" s="177" t="str">
        <f>[1]!thsiFinD("ths_service_start_fund",B72,100,1,101)</f>
        <v>2023-08-24</v>
      </c>
      <c r="AI72" s="178" t="str">
        <f>[1]!thsiFinD("ths_fund_establishment_date_fund",B72)</f>
        <v>2017-03-16</v>
      </c>
      <c r="AJ72" s="74" t="str">
        <f>[1]!thsiFinD("ths_fund_basement_fund",B72,1)</f>
        <v>000300.SH</v>
      </c>
      <c r="AK72" s="187">
        <f>[1]!thsiFinD("ths_daily_large_purchase_limit_fund",B72,"2026-06-03")</f>
        <v>0</v>
      </c>
    </row>
    <row r="73" spans="1:37">
      <c r="B73" s="3" t="s">
        <v>383</v>
      </c>
      <c r="C73" s="9" t="s">
        <v>268</v>
      </c>
      <c r="D73" s="3"/>
      <c r="E73" s="3"/>
      <c r="F73" s="145">
        <f t="shared" si="24"/>
        <v>-2.1936693889950998E-2</v>
      </c>
      <c r="G73" s="145"/>
      <c r="H73" s="145"/>
      <c r="I73" s="145">
        <f t="shared" si="25"/>
        <v>0.42466810192106996</v>
      </c>
      <c r="J73" s="145">
        <f t="shared" si="25"/>
        <v>0.55026014355862007</v>
      </c>
      <c r="K73" s="145">
        <f t="shared" si="25"/>
        <v>0.33921153447408997</v>
      </c>
      <c r="L73" s="146"/>
      <c r="M73" s="146"/>
      <c r="N73" s="146"/>
      <c r="O73" s="146"/>
      <c r="P73" s="146"/>
      <c r="Q73" s="146"/>
      <c r="R73" s="151">
        <f>[1]!thsiFinD("ths_int_chg_ratio_index",$B73,R$1,R$2,101)</f>
        <v>-2.1936693889951</v>
      </c>
      <c r="S73" s="151"/>
      <c r="T73" s="151">
        <f>[1]!thsiFinD("ths_int_chg_ratio_index",$B73,T$1,T$2,101)</f>
        <v>9.5184145380271001</v>
      </c>
      <c r="U73" s="151">
        <f>[1]!thsiFinD("ths_int_chg_ratio_index",$B73,U$1,U$2,101)</f>
        <v>42.466810192106998</v>
      </c>
      <c r="V73" s="151">
        <f>[1]!thsiFinD("ths_int_chg_ratio_index",$B73,V$1,V$2,101)</f>
        <v>55.026014355862003</v>
      </c>
      <c r="W73" s="151">
        <f>[1]!thsiFinD("ths_int_chg_ratio_index",$B73,W$1,W$2,101)</f>
        <v>33.921153447408997</v>
      </c>
      <c r="X73" s="151">
        <f>[1]!thsiFinD("ths_int_chg_ratio_index",$B73,X$1,X$2,101)</f>
        <v>30.386362450330001</v>
      </c>
      <c r="Y73" s="151">
        <f>[1]!thsiFinD("ths_int_chg_ratio_index",$B73,Y$1,Y$2,101)</f>
        <v>5.4612470927730996</v>
      </c>
      <c r="Z73" s="151">
        <f>[1]!thsiFinD("ths_int_chg_ratio_index",$B73,Z$1,Z$2,101)</f>
        <v>-7.4216140600946998</v>
      </c>
      <c r="AA73" s="151">
        <f>[1]!thsiFinD("ths_int_chg_ratio_index",$B73,AA$1,AA$2,101)</f>
        <v>-20.313272990752999</v>
      </c>
      <c r="AJ73" s="151">
        <f>[1]!thsiFinD("ths_int_chg_ratio_index",$B73,AJ$1,AJ$2,101)</f>
        <v>0</v>
      </c>
    </row>
    <row r="74" spans="1:37">
      <c r="B74" s="3" t="s">
        <v>316</v>
      </c>
      <c r="C74" s="9" t="s">
        <v>384</v>
      </c>
      <c r="D74" s="3"/>
      <c r="E74" s="3"/>
      <c r="F74" s="145">
        <f t="shared" si="24"/>
        <v>-1.070766203295E-2</v>
      </c>
      <c r="G74" s="145"/>
      <c r="H74" s="145"/>
      <c r="I74" s="145">
        <f t="shared" si="25"/>
        <v>0.35856020376366998</v>
      </c>
      <c r="J74" s="145">
        <f t="shared" si="25"/>
        <v>0.57413250775324998</v>
      </c>
      <c r="K74" s="145">
        <f t="shared" si="25"/>
        <v>0.25541005711289999</v>
      </c>
      <c r="L74" s="146"/>
      <c r="M74" s="146"/>
      <c r="N74" s="146"/>
      <c r="O74" s="146"/>
      <c r="P74" s="146"/>
      <c r="Q74" s="146"/>
      <c r="R74" s="151">
        <f>[1]!thsiFinD("ths_int_chg_ratio_index",$B74,R$1,R$2,101)</f>
        <v>-1.0707662032950001</v>
      </c>
      <c r="S74" s="151"/>
      <c r="T74" s="151">
        <f>[1]!thsiFinD("ths_int_chg_ratio_index",$B74,T$1,T$2,101)</f>
        <v>9.5245056324092001</v>
      </c>
      <c r="U74" s="151">
        <f>[1]!thsiFinD("ths_int_chg_ratio_index",$B74,U$1,U$2,101)</f>
        <v>35.856020376366999</v>
      </c>
      <c r="V74" s="151">
        <f>[1]!thsiFinD("ths_int_chg_ratio_index",$B74,V$1,V$2,101)</f>
        <v>57.413250775324997</v>
      </c>
      <c r="W74" s="151">
        <f>[1]!thsiFinD("ths_int_chg_ratio_index",$B74,W$1,W$2,101)</f>
        <v>25.541005711290001</v>
      </c>
      <c r="X74" s="151">
        <f>[1]!thsiFinD("ths_int_chg_ratio_index",$B74,X$1,X$2,101)</f>
        <v>27.486489288213001</v>
      </c>
      <c r="Y74" s="151">
        <f>[1]!thsiFinD("ths_int_chg_ratio_index",$B74,Y$1,Y$2,101)</f>
        <v>1.1972037807222</v>
      </c>
      <c r="Z74" s="151">
        <f>[1]!thsiFinD("ths_int_chg_ratio_index",$B74,Z$1,Z$2,101)</f>
        <v>-6.2784097652247999</v>
      </c>
      <c r="AA74" s="151">
        <f>[1]!thsiFinD("ths_int_chg_ratio_index",$B74,AA$1,AA$2,101)</f>
        <v>-21.580933653928</v>
      </c>
      <c r="AJ74" s="151">
        <f>[1]!thsiFinD("ths_int_chg_ratio_index",$B74,AJ$1,AJ$2,101)</f>
        <v>0</v>
      </c>
    </row>
    <row r="75" spans="1:37">
      <c r="B75" s="3" t="s">
        <v>385</v>
      </c>
      <c r="C75" s="9" t="s">
        <v>324</v>
      </c>
      <c r="D75" s="3"/>
      <c r="E75" s="3"/>
      <c r="F75" s="145">
        <f t="shared" si="24"/>
        <v>-1.1878294353929999E-2</v>
      </c>
      <c r="G75" s="145"/>
      <c r="H75" s="145"/>
      <c r="I75" s="145">
        <f t="shared" si="25"/>
        <v>0.32351597250115999</v>
      </c>
      <c r="J75" s="145">
        <f t="shared" si="25"/>
        <v>0.72528024196722995</v>
      </c>
      <c r="K75" s="145">
        <f t="shared" si="25"/>
        <v>0.39826751734254001</v>
      </c>
      <c r="L75" s="146"/>
      <c r="M75" s="146"/>
      <c r="N75" s="146"/>
      <c r="P75" s="146"/>
      <c r="Q75" s="146"/>
      <c r="R75" s="151">
        <f>[1]!thsiFinD("ths_int_chg_ratio_index",$B75,R$1,R$2,101)</f>
        <v>-1.1878294353929999</v>
      </c>
      <c r="S75" s="151"/>
      <c r="T75" s="151">
        <f>[1]!thsiFinD("ths_int_chg_ratio_index",$B75,T$1,T$2,101)</f>
        <v>7.0626825363470997</v>
      </c>
      <c r="U75" s="151">
        <f>[1]!thsiFinD("ths_int_chg_ratio_index",$B75,U$1,U$2,101)</f>
        <v>32.351597250116001</v>
      </c>
      <c r="V75" s="151">
        <f>[1]!thsiFinD("ths_int_chg_ratio_index",$B75,V$1,V$2,101)</f>
        <v>72.528024196722995</v>
      </c>
      <c r="W75" s="151">
        <f>[1]!thsiFinD("ths_int_chg_ratio_index",$B75,W$1,W$2,101)</f>
        <v>39.826751734254003</v>
      </c>
      <c r="X75" s="151">
        <f>[1]!thsiFinD("ths_int_chg_ratio_index",$B75,X$1,X$2,101)</f>
        <v>36.417600131169003</v>
      </c>
      <c r="Y75" s="151">
        <f>[1]!thsiFinD("ths_int_chg_ratio_index",$B75,Y$1,Y$2,101)</f>
        <v>-2.1406298962608998</v>
      </c>
      <c r="Z75" s="151">
        <f>[1]!thsiFinD("ths_int_chg_ratio_index",$B75,Z$1,Z$2,101)</f>
        <v>5.5675063772423998</v>
      </c>
      <c r="AA75" s="151">
        <f>[1]!thsiFinD("ths_int_chg_ratio_index",$B75,AA$1,AA$2,101)</f>
        <v>-14.774946978205</v>
      </c>
      <c r="AJ75" s="151"/>
    </row>
    <row r="76" spans="1:37">
      <c r="B76" s="3" t="s">
        <v>345</v>
      </c>
      <c r="C76" s="9" t="s">
        <v>335</v>
      </c>
      <c r="D76" s="3"/>
      <c r="E76" s="3"/>
      <c r="F76" s="145">
        <f t="shared" si="24"/>
        <v>-1.8460437601987002E-2</v>
      </c>
      <c r="G76" s="145"/>
      <c r="H76" s="145"/>
      <c r="I76" s="145">
        <f>U76/100</f>
        <v>0.24118110820958999</v>
      </c>
      <c r="J76" s="145">
        <f>V76/100</f>
        <v>0.33801821654642</v>
      </c>
      <c r="K76" s="145">
        <f>W76/100</f>
        <v>0.24340170318571999</v>
      </c>
      <c r="L76" s="146"/>
      <c r="M76" s="146"/>
      <c r="N76" s="146"/>
      <c r="O76" s="146"/>
      <c r="P76" s="146"/>
      <c r="Q76" s="146"/>
      <c r="R76" s="151">
        <f>[1]!thsiFinD("ths_int_chg_ratio_index",$B76,R$1,R$2,101)</f>
        <v>-1.8460437601987001</v>
      </c>
      <c r="S76" s="151"/>
      <c r="T76" s="151">
        <f>[1]!thsiFinD("ths_int_chg_ratio_index",$B76,T$1,T$2,101)</f>
        <v>3.7121672972184001</v>
      </c>
      <c r="U76" s="151">
        <f>[1]!thsiFinD("ths_int_chg_ratio_index",$B76,U$1,U$2,101)</f>
        <v>24.118110820959</v>
      </c>
      <c r="V76" s="151">
        <f>[1]!thsiFinD("ths_int_chg_ratio_index",$B76,V$1,V$2,101)</f>
        <v>33.801821654641998</v>
      </c>
      <c r="W76" s="151">
        <f>[1]!thsiFinD("ths_int_chg_ratio_index",$B76,W$1,W$2,101)</f>
        <v>24.340170318572</v>
      </c>
      <c r="X76" s="151">
        <f>[1]!thsiFinD("ths_int_chg_ratio_index",$B76,X$1,X$2,101)</f>
        <v>17.663134379993</v>
      </c>
      <c r="Y76" s="151">
        <f>[1]!thsiFinD("ths_int_chg_ratio_index",$B76,Y$1,Y$2,101)</f>
        <v>14.683324483427</v>
      </c>
      <c r="Z76" s="151">
        <f>[1]!thsiFinD("ths_int_chg_ratio_index",$B76,Z$1,Z$2,101)</f>
        <v>-11.378242952626</v>
      </c>
      <c r="AA76" s="151">
        <f>[1]!thsiFinD("ths_int_chg_ratio_index",$B76,AA$1,AA$2,101)</f>
        <v>-21.632768114910998</v>
      </c>
      <c r="AJ76" s="151">
        <f>[1]!thsiFinD("ths_int_chg_ratio_index",$B76,AJ$1,AJ$2,101)</f>
        <v>0</v>
      </c>
    </row>
    <row r="77" spans="1:37">
      <c r="O77" s="146"/>
      <c r="P77" s="146"/>
      <c r="Q77" s="146"/>
    </row>
    <row r="83" spans="1:37">
      <c r="A83" s="37"/>
      <c r="B83" s="128" t="s">
        <v>269</v>
      </c>
      <c r="C83" s="129" t="s">
        <v>270</v>
      </c>
      <c r="D83" s="129" t="str">
        <f>[1]!thsiFinD("ths_fund_manager_current_fund",B83)</f>
        <v>宋婷,钱亚婷</v>
      </c>
      <c r="E83" s="130" t="str">
        <f t="shared" ref="E83:E91" si="29">AI83</f>
        <v>2022-05-06</v>
      </c>
      <c r="F83" s="131">
        <f t="shared" ref="F83:F95" si="30">R83/100</f>
        <v>-2.7207878290512001E-2</v>
      </c>
      <c r="G83" s="131"/>
      <c r="H83" s="131"/>
      <c r="I83" s="131">
        <f t="shared" ref="I83:K95" si="31">U83/100</f>
        <v>0.47154316271962998</v>
      </c>
      <c r="J83" s="131">
        <f t="shared" si="31"/>
        <v>0.74696746400635006</v>
      </c>
      <c r="K83" s="131">
        <f t="shared" si="31"/>
        <v>0.63536028865542005</v>
      </c>
      <c r="L83" s="131">
        <f t="shared" ref="L83:L87" si="32">AB83</f>
        <v>4.6355331624142959E-2</v>
      </c>
      <c r="M83" s="131">
        <f t="shared" ref="M83:M87" si="33">AD83</f>
        <v>9.3273216554101257E-2</v>
      </c>
      <c r="N83" s="131">
        <f t="shared" ref="N83:N87" si="34">AF83</f>
        <v>8.9800429255443515E-2</v>
      </c>
      <c r="O83" s="132">
        <f>AB83/AC83</f>
        <v>1.0894347843529957</v>
      </c>
      <c r="P83" s="132">
        <f>AD83/AE83</f>
        <v>2.3524638674133915</v>
      </c>
      <c r="Q83" s="132">
        <f>AF83/AG83</f>
        <v>2.2080377169597267</v>
      </c>
      <c r="R83" s="132">
        <f>[1]!thsiFinD("ths_adjustment_nvg_ratio_fund",$B83,R$1,R$2,101)</f>
        <v>-2.7207878290512002</v>
      </c>
      <c r="S83" s="132"/>
      <c r="T83" s="133">
        <f>[1]!thsiFinD("ths_adjustment_nvg_ratio_fund",$B83,T$1,T$2,101)</f>
        <v>9.8517251211862007</v>
      </c>
      <c r="U83" s="132">
        <f>[1]!thsiFinD("ths_adjustment_nvg_ratio_fund",$B83,U$1,U$2,101)</f>
        <v>47.154316271962998</v>
      </c>
      <c r="V83" s="132">
        <f>[1]!thsiFinD("ths_adjustment_nvg_ratio_fund",$B83,V$1,V$2,101)</f>
        <v>74.696746400635007</v>
      </c>
      <c r="W83" s="132">
        <f>[1]!thsiFinD("ths_adjustment_nvg_ratio_fund",$B83,W$1,W$2,101)</f>
        <v>63.536028865542001</v>
      </c>
      <c r="X83" s="133">
        <f>[1]!thsiFinD("ths_adjustment_nvg_ratio_fund",$B83,X$1,X$2,101)</f>
        <v>43.332992745478997</v>
      </c>
      <c r="Y83" s="133">
        <f>[1]!thsiFinD("ths_adjustment_nvg_ratio_fund",$B83,Y$1,Y$2,101)</f>
        <v>9.7812675266404998</v>
      </c>
      <c r="Z83" s="133">
        <f>[1]!thsiFinD("ths_adjustment_nvg_ratio_fund",$B83,Z$1,Z$2,101)</f>
        <v>-3.8503019844694002</v>
      </c>
      <c r="AA83" s="133">
        <f>[1]!thsiFinD("ths_adjustment_nvg_ratio_fund",$B83,AA$1,AA$2,101)</f>
        <v>0</v>
      </c>
      <c r="AB83" s="134">
        <f>(1+([1]!thsiFinD("ths_adjustment_nvg_ratio_fund",$B83,AB$1,AB$2,101)-[1]!thsiFinD("ths_int_chg_ratio_index",$AJ83,AB$1,AB$2,101))/100)^(365/(AB$2-AB$1))-1</f>
        <v>4.6355331624142959E-2</v>
      </c>
      <c r="AC83" s="134">
        <f>[1]!thsiFinD("ths_tracking_error_annual_fund",$B83,AC$1,AC$2,100,101,$AJ83)/100</f>
        <v>4.2549891273825004E-2</v>
      </c>
      <c r="AD83" s="134">
        <f>(1+([1]!thsiFinD("ths_adjustment_nvg_ratio_fund",$B83,AD$1,AD$2,101)-[1]!thsiFinD("ths_int_chg_ratio_index",$AJ83,AD$1,AD$2,101))/100)^(365/(AD$2-AD$1))-1</f>
        <v>9.3273216554101257E-2</v>
      </c>
      <c r="AE83" s="134">
        <f>[1]!thsiFinD("ths_tracking_error_annual_fund",$B83,AE$1,AE$2,100,101,$AJ83)/100</f>
        <v>3.9649160119368004E-2</v>
      </c>
      <c r="AF83" s="134">
        <f>(1+([1]!thsiFinD("ths_adjustment_nvg_ratio_fund",$B83,AF$1,AF$2,101)-[1]!thsiFinD("ths_int_chg_ratio_index",$AJ83,AF$1,AF$2,101))/100)^(365/(AF$2-AF$1))-1</f>
        <v>8.9800429255443515E-2</v>
      </c>
      <c r="AG83" s="134">
        <f>[1]!thsiFinD("ths_tracking_error_annual_fund",$B83,AG$1,AG$2,100,101,$AJ83)/100</f>
        <v>4.0669789544669002E-2</v>
      </c>
      <c r="AH83" s="135" t="str">
        <f>[1]!thsiFinD("ths_service_start_fund",B83,100,1,101)</f>
        <v>2025-02-21</v>
      </c>
      <c r="AI83" s="136" t="str">
        <f>[1]!thsiFinD("ths_fund_establishment_date_fund",B83)</f>
        <v>2022-05-06</v>
      </c>
      <c r="AJ83" s="120" t="str">
        <f>[1]!thsiFinD("ths_fund_basement_fund",B83,1)</f>
        <v>000905.SH</v>
      </c>
      <c r="AK83" s="187">
        <f>[1]!thsiFinD("ths_daily_large_purchase_limit_fund",B83,"2026-06-03")</f>
        <v>100000</v>
      </c>
    </row>
    <row r="84" spans="1:37">
      <c r="A84" s="37"/>
      <c r="B84" s="128" t="s">
        <v>276</v>
      </c>
      <c r="C84" s="129" t="s">
        <v>277</v>
      </c>
      <c r="D84" s="129" t="str">
        <f>[1]!thsiFinD("ths_fund_manager_current_fund",B84)</f>
        <v>杨超</v>
      </c>
      <c r="E84" s="130" t="str">
        <f t="shared" si="29"/>
        <v>2019-08-12</v>
      </c>
      <c r="F84" s="131">
        <f t="shared" si="30"/>
        <v>-2.5323246955308999E-2</v>
      </c>
      <c r="G84" s="131"/>
      <c r="H84" s="131"/>
      <c r="I84" s="131">
        <f t="shared" si="31"/>
        <v>0.51555852173187999</v>
      </c>
      <c r="J84" s="131">
        <f t="shared" si="31"/>
        <v>0.69785046728972011</v>
      </c>
      <c r="K84" s="131">
        <f t="shared" si="31"/>
        <v>0.50389072847682004</v>
      </c>
      <c r="L84" s="131">
        <f t="shared" si="32"/>
        <v>8.9862165355679258E-2</v>
      </c>
      <c r="M84" s="131">
        <f t="shared" si="33"/>
        <v>7.0754928664813255E-2</v>
      </c>
      <c r="N84" s="131">
        <f t="shared" si="34"/>
        <v>5.1837152328210401E-2</v>
      </c>
      <c r="O84" s="132">
        <f>AB84/AC84</f>
        <v>3.1065974880195659</v>
      </c>
      <c r="P84" s="132">
        <f>AD84/AE84</f>
        <v>2.2015810883716593</v>
      </c>
      <c r="Q84" s="132">
        <f>AF84/AG84</f>
        <v>1.6032551478923367</v>
      </c>
      <c r="R84" s="132">
        <f>[1]!thsiFinD("ths_adjustment_nvg_ratio_fund",$B84,R$1,R$2,101)</f>
        <v>-2.5323246955309</v>
      </c>
      <c r="S84" s="132"/>
      <c r="T84" s="133">
        <f>[1]!thsiFinD("ths_adjustment_nvg_ratio_fund",$B84,T$1,T$2,101)</f>
        <v>12.796473363963999</v>
      </c>
      <c r="U84" s="132">
        <f>[1]!thsiFinD("ths_adjustment_nvg_ratio_fund",$B84,U$1,U$2,101)</f>
        <v>51.555852173188001</v>
      </c>
      <c r="V84" s="132">
        <f>[1]!thsiFinD("ths_adjustment_nvg_ratio_fund",$B84,V$1,V$2,101)</f>
        <v>69.785046728972006</v>
      </c>
      <c r="W84" s="132">
        <f>[1]!thsiFinD("ths_adjustment_nvg_ratio_fund",$B84,W$1,W$2,101)</f>
        <v>50.389072847682002</v>
      </c>
      <c r="X84" s="133">
        <f>[1]!thsiFinD("ths_adjustment_nvg_ratio_fund",$B84,X$1,X$2,101)</f>
        <v>37.905642606388</v>
      </c>
      <c r="Y84" s="133">
        <f>[1]!thsiFinD("ths_adjustment_nvg_ratio_fund",$B84,Y$1,Y$2,101)</f>
        <v>10.764415781486999</v>
      </c>
      <c r="Z84" s="133">
        <f>[1]!thsiFinD("ths_adjustment_nvg_ratio_fund",$B84,Z$1,Z$2,101)</f>
        <v>-9.1817398794142999</v>
      </c>
      <c r="AA84" s="133">
        <f>[1]!thsiFinD("ths_adjustment_nvg_ratio_fund",$B84,AA$1,AA$2,101)</f>
        <v>-19.892361829849001</v>
      </c>
      <c r="AB84" s="134">
        <f>(1+([1]!thsiFinD("ths_adjustment_nvg_ratio_fund",$B84,AB$1,AB$2,101)-[1]!thsiFinD("ths_int_chg_ratio_index",$AJ84,AB$1,AB$2,101))/100)^(365/(AB$2-AB$1))-1</f>
        <v>8.9862165355679258E-2</v>
      </c>
      <c r="AC84" s="134">
        <f>[1]!thsiFinD("ths_tracking_error_annual_fund",$B84,AC$1,AC$2,100,101,$AJ84)/100</f>
        <v>2.8926233830494003E-2</v>
      </c>
      <c r="AD84" s="134">
        <f>(1+([1]!thsiFinD("ths_adjustment_nvg_ratio_fund",$B84,AD$1,AD$2,101)-[1]!thsiFinD("ths_int_chg_ratio_index",$AJ84,AD$1,AD$2,101))/100)^(365/(AD$2-AD$1))-1</f>
        <v>7.0754928664813255E-2</v>
      </c>
      <c r="AE84" s="134">
        <f>[1]!thsiFinD("ths_tracking_error_annual_fund",$B84,AE$1,AE$2,100,101,$AJ84)/100</f>
        <v>3.2138234216549003E-2</v>
      </c>
      <c r="AF84" s="134">
        <f>(1+([1]!thsiFinD("ths_adjustment_nvg_ratio_fund",$B84,AF$1,AF$2,101)-[1]!thsiFinD("ths_int_chg_ratio_index",$AJ84,AF$1,AF$2,101))/100)^(365/(AF$2-AF$1))-1</f>
        <v>5.1837152328210401E-2</v>
      </c>
      <c r="AG84" s="134">
        <f>[1]!thsiFinD("ths_tracking_error_annual_fund",$B84,AG$1,AG$2,100,101,$AJ84)/100</f>
        <v>3.2332440907086001E-2</v>
      </c>
      <c r="AH84" s="135" t="str">
        <f>[1]!thsiFinD("ths_service_start_fund",B84,100,1,101)</f>
        <v>2019-08-12</v>
      </c>
      <c r="AI84" s="136" t="str">
        <f>[1]!thsiFinD("ths_fund_establishment_date_fund",B84)</f>
        <v>2019-08-12</v>
      </c>
      <c r="AJ84" s="120" t="str">
        <f>[1]!thsiFinD("ths_fund_basement_fund",B84,1)</f>
        <v>000905.SH</v>
      </c>
      <c r="AK84" s="187">
        <f>[1]!thsiFinD("ths_daily_large_purchase_limit_fund",B84,"2026-06-03")</f>
        <v>0</v>
      </c>
    </row>
    <row r="85" spans="1:37" s="163" customFormat="1">
      <c r="A85" s="152"/>
      <c r="B85" s="153" t="s">
        <v>300</v>
      </c>
      <c r="C85" s="154" t="s">
        <v>301</v>
      </c>
      <c r="D85" s="154" t="str">
        <f>[1]!thsiFinD("ths_fund_manager_current_fund",B85)</f>
        <v>杨超</v>
      </c>
      <c r="E85" s="155" t="str">
        <f t="shared" si="29"/>
        <v>2022-01-04</v>
      </c>
      <c r="F85" s="156">
        <f t="shared" si="30"/>
        <v>-2.026696056821E-2</v>
      </c>
      <c r="G85" s="156"/>
      <c r="H85" s="156"/>
      <c r="I85" s="156">
        <f t="shared" si="31"/>
        <v>0.43609764853707</v>
      </c>
      <c r="J85" s="156">
        <f t="shared" si="31"/>
        <v>0.83140666132540009</v>
      </c>
      <c r="K85" s="156">
        <f t="shared" si="31"/>
        <v>0.58677112257040998</v>
      </c>
      <c r="L85" s="156">
        <f t="shared" si="32"/>
        <v>7.6665508770437318E-2</v>
      </c>
      <c r="M85" s="156">
        <f t="shared" si="33"/>
        <v>0.12040953614429273</v>
      </c>
      <c r="N85" s="156">
        <f t="shared" si="34"/>
        <v>9.9527671356118619E-2</v>
      </c>
      <c r="O85" s="157">
        <f>AB85/AC85</f>
        <v>2.415116045328531</v>
      </c>
      <c r="P85" s="157">
        <f>AD85/AE85</f>
        <v>3.4259699195730917</v>
      </c>
      <c r="Q85" s="157">
        <f>AF85/AG85</f>
        <v>2.8013613281688969</v>
      </c>
      <c r="R85" s="157">
        <f>[1]!thsiFinD("ths_adjustment_nvg_ratio_fund",$B85,R$1,R$2,101)</f>
        <v>-2.0266960568210002</v>
      </c>
      <c r="S85" s="157"/>
      <c r="T85" s="158">
        <f>[1]!thsiFinD("ths_adjustment_nvg_ratio_fund",$B85,T$1,T$2,101)</f>
        <v>11.094910782475999</v>
      </c>
      <c r="U85" s="157">
        <f>[1]!thsiFinD("ths_adjustment_nvg_ratio_fund",$B85,U$1,U$2,101)</f>
        <v>43.609764853706999</v>
      </c>
      <c r="V85" s="157">
        <f>[1]!thsiFinD("ths_adjustment_nvg_ratio_fund",$B85,V$1,V$2,101)</f>
        <v>83.140666132540005</v>
      </c>
      <c r="W85" s="157">
        <f>[1]!thsiFinD("ths_adjustment_nvg_ratio_fund",$B85,W$1,W$2,101)</f>
        <v>58.677112257041003</v>
      </c>
      <c r="X85" s="158">
        <f>[1]!thsiFinD("ths_adjustment_nvg_ratio_fund",$B85,X$1,X$2,101)</f>
        <v>40.107003891051001</v>
      </c>
      <c r="Y85" s="158">
        <f>[1]!thsiFinD("ths_adjustment_nvg_ratio_fund",$B85,Y$1,Y$2,101)</f>
        <v>10.728134424817</v>
      </c>
      <c r="Z85" s="158">
        <f>[1]!thsiFinD("ths_adjustment_nvg_ratio_fund",$B85,Z$1,Z$2,101)</f>
        <v>-0.72711719418306997</v>
      </c>
      <c r="AA85" s="158">
        <f>[1]!thsiFinD("ths_adjustment_nvg_ratio_fund",$B85,AA$1,AA$2,101)</f>
        <v>0</v>
      </c>
      <c r="AB85" s="159">
        <f>(1+([1]!thsiFinD("ths_adjustment_nvg_ratio_fund",$B85,AB$1,AB$2,101)-[1]!thsiFinD("ths_int_chg_ratio_index",$AJ85,AB$1,AB$2,101))/100)^(365/(AB$2-AB$1))-1</f>
        <v>7.6665508770437318E-2</v>
      </c>
      <c r="AC85" s="159">
        <f>[1]!thsiFinD("ths_tracking_error_annual_fund",$B85,AC$1,AC$2,100,101,$AJ85)/100</f>
        <v>3.1744026925219E-2</v>
      </c>
      <c r="AD85" s="159">
        <f>(1+([1]!thsiFinD("ths_adjustment_nvg_ratio_fund",$B85,AD$1,AD$2,101)-[1]!thsiFinD("ths_int_chg_ratio_index",$AJ85,AD$1,AD$2,101))/100)^(365/(AD$2-AD$1))-1</f>
        <v>0.12040953614429273</v>
      </c>
      <c r="AE85" s="159">
        <f>[1]!thsiFinD("ths_tracking_error_annual_fund",$B85,AE$1,AE$2,100,101,$AJ85)/100</f>
        <v>3.5146115982039004E-2</v>
      </c>
      <c r="AF85" s="159">
        <f>(1+([1]!thsiFinD("ths_adjustment_nvg_ratio_fund",$B85,AF$1,AF$2,101)-[1]!thsiFinD("ths_int_chg_ratio_index",$AJ85,AF$1,AF$2,101))/100)^(365/(AF$2-AF$1))-1</f>
        <v>9.9527671356118619E-2</v>
      </c>
      <c r="AG85" s="159">
        <f>[1]!thsiFinD("ths_tracking_error_annual_fund",$B85,AG$1,AG$2,100,101,$AJ85)/100</f>
        <v>3.5528323445934998E-2</v>
      </c>
      <c r="AH85" s="160" t="str">
        <f>[1]!thsiFinD("ths_service_start_fund",B85,100,1,101)</f>
        <v>2022-01-04</v>
      </c>
      <c r="AI85" s="161" t="str">
        <f>[1]!thsiFinD("ths_fund_establishment_date_fund",B85)</f>
        <v>2022-01-04</v>
      </c>
      <c r="AJ85" s="152" t="str">
        <f>[1]!thsiFinD("ths_fund_basement_fund",B85,1)</f>
        <v>000852.SH</v>
      </c>
      <c r="AK85" s="187">
        <f>[1]!thsiFinD("ths_daily_large_purchase_limit_fund",B85,"2026-06-03")</f>
        <v>0</v>
      </c>
    </row>
    <row r="86" spans="1:37" s="163" customFormat="1">
      <c r="A86" s="152"/>
      <c r="B86" s="153" t="s">
        <v>291</v>
      </c>
      <c r="C86" s="154" t="s">
        <v>292</v>
      </c>
      <c r="D86" s="154" t="str">
        <f>[1]!thsiFinD("ths_fund_manager_current_fund",B86)</f>
        <v>胡崇海,刘晟</v>
      </c>
      <c r="E86" s="155" t="str">
        <f t="shared" si="29"/>
        <v>2022-08-16</v>
      </c>
      <c r="F86" s="156">
        <f t="shared" si="30"/>
        <v>-2.4206815511162997E-2</v>
      </c>
      <c r="G86" s="156"/>
      <c r="H86" s="156"/>
      <c r="I86" s="156">
        <f t="shared" si="31"/>
        <v>0.45339984247834003</v>
      </c>
      <c r="J86" s="156">
        <f t="shared" si="31"/>
        <v>0.89006486855582001</v>
      </c>
      <c r="K86" s="156">
        <f t="shared" si="31"/>
        <v>0.66830738322451</v>
      </c>
      <c r="L86" s="156">
        <f t="shared" si="32"/>
        <v>9.3764815700589921E-2</v>
      </c>
      <c r="M86" s="156">
        <f t="shared" si="33"/>
        <v>0.14607021838307288</v>
      </c>
      <c r="N86" s="156">
        <f t="shared" si="34"/>
        <v>0.12140938734244644</v>
      </c>
      <c r="O86" s="157">
        <f>AB86/AC86</f>
        <v>2.9994515564714703</v>
      </c>
      <c r="P86" s="157">
        <f>AD86/AE86</f>
        <v>4.1219759704804879</v>
      </c>
      <c r="Q86" s="157">
        <f>AF86/AG86</f>
        <v>3.5154297694324868</v>
      </c>
      <c r="R86" s="157">
        <f>[1]!thsiFinD("ths_adjustment_nvg_ratio_fund",$B86,R$1,R$2,101)</f>
        <v>-2.4206815511162998</v>
      </c>
      <c r="S86" s="157"/>
      <c r="T86" s="158">
        <f>[1]!thsiFinD("ths_adjustment_nvg_ratio_fund",$B86,T$1,T$2,101)</f>
        <v>12.299682196227</v>
      </c>
      <c r="U86" s="157">
        <f>[1]!thsiFinD("ths_adjustment_nvg_ratio_fund",$B86,U$1,U$2,101)</f>
        <v>45.339984247834003</v>
      </c>
      <c r="V86" s="157">
        <f>[1]!thsiFinD("ths_adjustment_nvg_ratio_fund",$B86,V$1,V$2,101)</f>
        <v>89.006486855581997</v>
      </c>
      <c r="W86" s="157">
        <f>[1]!thsiFinD("ths_adjustment_nvg_ratio_fund",$B86,W$1,W$2,101)</f>
        <v>66.830738322450998</v>
      </c>
      <c r="X86" s="158">
        <f>[1]!thsiFinD("ths_adjustment_nvg_ratio_fund",$B86,X$1,X$2,101)</f>
        <v>40.313092979126999</v>
      </c>
      <c r="Y86" s="158">
        <f>[1]!thsiFinD("ths_adjustment_nvg_ratio_fund",$B86,Y$1,Y$2,101)</f>
        <v>13.540881180653001</v>
      </c>
      <c r="Z86" s="158">
        <f>[1]!thsiFinD("ths_adjustment_nvg_ratio_fund",$B86,Z$1,Z$2,101)</f>
        <v>2.5632526792619998</v>
      </c>
      <c r="AA86" s="158">
        <f>[1]!thsiFinD("ths_adjustment_nvg_ratio_fund",$B86,AA$1,AA$2,101)</f>
        <v>0</v>
      </c>
      <c r="AB86" s="159">
        <f>(1+([1]!thsiFinD("ths_adjustment_nvg_ratio_fund",$B86,AB$1,AB$2,101)-[1]!thsiFinD("ths_int_chg_ratio_index",$AJ86,AB$1,AB$2,101))/100)^(365/(AB$2-AB$1))-1</f>
        <v>9.3764815700589921E-2</v>
      </c>
      <c r="AC86" s="159">
        <f>[1]!thsiFinD("ths_tracking_error_annual_fund",$B86,AC$1,AC$2,100,101,$AJ86)/100</f>
        <v>3.1260653467894001E-2</v>
      </c>
      <c r="AD86" s="159">
        <f>(1+([1]!thsiFinD("ths_adjustment_nvg_ratio_fund",$B86,AD$1,AD$2,101)-[1]!thsiFinD("ths_int_chg_ratio_index",$AJ86,AD$1,AD$2,101))/100)^(365/(AD$2-AD$1))-1</f>
        <v>0.14607021838307288</v>
      </c>
      <c r="AE86" s="159">
        <f>[1]!thsiFinD("ths_tracking_error_annual_fund",$B86,AE$1,AE$2,100,101,$AJ86)/100</f>
        <v>3.5436940784991003E-2</v>
      </c>
      <c r="AF86" s="159">
        <f>(1+([1]!thsiFinD("ths_adjustment_nvg_ratio_fund",$B86,AF$1,AF$2,101)-[1]!thsiFinD("ths_int_chg_ratio_index",$AJ86,AF$1,AF$2,101))/100)^(365/(AF$2-AF$1))-1</f>
        <v>0.12140938734244644</v>
      </c>
      <c r="AG86" s="159">
        <f>[1]!thsiFinD("ths_tracking_error_annual_fund",$B86,AG$1,AG$2,100,101,$AJ86)/100</f>
        <v>3.4536143602734E-2</v>
      </c>
      <c r="AH86" s="160" t="str">
        <f>[1]!thsiFinD("ths_service_start_fund",B86,100,1,101)</f>
        <v>2024-08-21</v>
      </c>
      <c r="AI86" s="161" t="str">
        <f>[1]!thsiFinD("ths_fund_establishment_date_fund",B86)</f>
        <v>2022-08-16</v>
      </c>
      <c r="AJ86" s="152" t="str">
        <f>[1]!thsiFinD("ths_fund_basement_fund",B86,1)</f>
        <v>000852.SH</v>
      </c>
      <c r="AK86" s="187">
        <f>[1]!thsiFinD("ths_daily_large_purchase_limit_fund",B86,"2026-06-03")</f>
        <v>0</v>
      </c>
    </row>
    <row r="87" spans="1:37" s="163" customFormat="1">
      <c r="A87" s="152"/>
      <c r="B87" s="153" t="s">
        <v>294</v>
      </c>
      <c r="C87" s="154" t="s">
        <v>295</v>
      </c>
      <c r="D87" s="154" t="str">
        <f>[1]!thsiFinD("ths_fund_manager_current_fund",B87)</f>
        <v>许一尊,王星星</v>
      </c>
      <c r="E87" s="155" t="str">
        <f t="shared" si="29"/>
        <v>2023-05-19</v>
      </c>
      <c r="F87" s="156">
        <f t="shared" si="30"/>
        <v>-1.808557565064E-2</v>
      </c>
      <c r="G87" s="156"/>
      <c r="H87" s="156"/>
      <c r="I87" s="156">
        <f t="shared" si="31"/>
        <v>0.52309271296613002</v>
      </c>
      <c r="J87" s="156">
        <f t="shared" si="31"/>
        <v>0.97493623156260001</v>
      </c>
      <c r="K87" s="156">
        <f t="shared" si="31"/>
        <v>0.78044391121776002</v>
      </c>
      <c r="L87" s="156">
        <f t="shared" si="32"/>
        <v>0.1626112635481336</v>
      </c>
      <c r="M87" s="156">
        <f t="shared" si="33"/>
        <v>0.1821994742118298</v>
      </c>
      <c r="N87" s="156">
        <f t="shared" si="34"/>
        <v>0.15016521475884592</v>
      </c>
      <c r="O87" s="157">
        <f>AB87/AC87</f>
        <v>3.9294909437412793</v>
      </c>
      <c r="P87" s="157">
        <f>AD87/AE87</f>
        <v>3.5782772335510722</v>
      </c>
      <c r="Q87" s="157">
        <f>AF87/AG87</f>
        <v>2.6071193909605985</v>
      </c>
      <c r="R87" s="157">
        <f>[1]!thsiFinD("ths_adjustment_nvg_ratio_fund",$B87,R$1,R$2,101)</f>
        <v>-1.808557565064</v>
      </c>
      <c r="S87" s="157"/>
      <c r="T87" s="158">
        <f>[1]!thsiFinD("ths_adjustment_nvg_ratio_fund",$B87,T$1,T$2,101)</f>
        <v>15.284521266264999</v>
      </c>
      <c r="U87" s="157">
        <f>[1]!thsiFinD("ths_adjustment_nvg_ratio_fund",$B87,U$1,U$2,101)</f>
        <v>52.309271296612998</v>
      </c>
      <c r="V87" s="157">
        <f>[1]!thsiFinD("ths_adjustment_nvg_ratio_fund",$B87,V$1,V$2,101)</f>
        <v>97.49362315626</v>
      </c>
      <c r="W87" s="157">
        <f>[1]!thsiFinD("ths_adjustment_nvg_ratio_fund",$B87,W$1,W$2,101)</f>
        <v>78.044391121776002</v>
      </c>
      <c r="X87" s="158">
        <f>[1]!thsiFinD("ths_adjustment_nvg_ratio_fund",$B87,X$1,X$2,101)</f>
        <v>47.142312821490002</v>
      </c>
      <c r="Y87" s="158">
        <f>[1]!thsiFinD("ths_adjustment_nvg_ratio_fund",$B87,Y$1,Y$2,101)</f>
        <v>4.2088544768712</v>
      </c>
      <c r="Z87" s="158">
        <f>[1]!thsiFinD("ths_adjustment_nvg_ratio_fund",$B87,Z$1,Z$2,101)</f>
        <v>0</v>
      </c>
      <c r="AA87" s="158">
        <f>[1]!thsiFinD("ths_adjustment_nvg_ratio_fund",$B87,AA$1,AA$2,101)</f>
        <v>0</v>
      </c>
      <c r="AB87" s="159">
        <f>(1+([1]!thsiFinD("ths_adjustment_nvg_ratio_fund",$B87,AB$1,AB$2,101)-[1]!thsiFinD("ths_int_chg_ratio_index",$AJ87,AB$1,AB$2,101))/100)^(365/(AB$2-AB$1))-1</f>
        <v>0.1626112635481336</v>
      </c>
      <c r="AC87" s="159">
        <f>[1]!thsiFinD("ths_tracking_error_annual_fund",$B87,AC$1,AC$2,100,101,$AJ87)/100</f>
        <v>4.1382272125384E-2</v>
      </c>
      <c r="AD87" s="159">
        <f>(1+([1]!thsiFinD("ths_adjustment_nvg_ratio_fund",$B87,AD$1,AD$2,101)-[1]!thsiFinD("ths_int_chg_ratio_index",$AJ87,AD$1,AD$2,101))/100)^(365/(AD$2-AD$1))-1</f>
        <v>0.1821994742118298</v>
      </c>
      <c r="AE87" s="159">
        <f>[1]!thsiFinD("ths_tracking_error_annual_fund",$B87,AE$1,AE$2,100,101,$AJ87)/100</f>
        <v>5.0918210725393001E-2</v>
      </c>
      <c r="AF87" s="159">
        <f>(1+([1]!thsiFinD("ths_adjustment_nvg_ratio_fund",$B87,AF$1,AF$2,101)-[1]!thsiFinD("ths_int_chg_ratio_index",$AJ87,AF$1,AF$2,101))/100)^(365/(AF$2-AF$1))-1</f>
        <v>0.15016521475884592</v>
      </c>
      <c r="AG87" s="159">
        <f>[1]!thsiFinD("ths_tracking_error_annual_fund",$B87,AG$1,AG$2,100,101,$AJ87)/100</f>
        <v>5.7598135044946E-2</v>
      </c>
      <c r="AH87" s="160" t="str">
        <f>[1]!thsiFinD("ths_service_start_fund",B87,100,1,101)</f>
        <v>2023-06-29</v>
      </c>
      <c r="AI87" s="161" t="str">
        <f>[1]!thsiFinD("ths_fund_establishment_date_fund",B87)</f>
        <v>2023-05-19</v>
      </c>
      <c r="AJ87" s="152" t="str">
        <f>[1]!thsiFinD("ths_fund_basement_fund",B87,1)</f>
        <v>000852.SH</v>
      </c>
      <c r="AK87" s="187">
        <f>[1]!thsiFinD("ths_daily_large_purchase_limit_fund",B87,"2026-06-03")</f>
        <v>0</v>
      </c>
    </row>
    <row r="88" spans="1:37">
      <c r="B88" s="128" t="s">
        <v>319</v>
      </c>
      <c r="C88" s="129" t="s">
        <v>320</v>
      </c>
      <c r="D88" s="129" t="str">
        <f>[1]!thsiFinD("ths_fund_manager_current_fund",B88)</f>
        <v>盛豪,雷文渊,孔令烨</v>
      </c>
      <c r="E88" s="130" t="str">
        <f t="shared" si="29"/>
        <v>2024-01-12</v>
      </c>
      <c r="F88" s="131">
        <f t="shared" si="30"/>
        <v>-1.3601161665053001E-2</v>
      </c>
      <c r="G88" s="131"/>
      <c r="H88" s="131"/>
      <c r="I88" s="131">
        <f t="shared" si="31"/>
        <v>0.48275611175785998</v>
      </c>
      <c r="J88" s="131">
        <f t="shared" si="31"/>
        <v>1.2441361083581</v>
      </c>
      <c r="K88" s="131" t="s">
        <v>386</v>
      </c>
      <c r="L88" s="131">
        <f>AB88</f>
        <v>0.15738477123494365</v>
      </c>
      <c r="M88" s="131">
        <f>AD88</f>
        <v>0.23066791508133644</v>
      </c>
      <c r="N88" s="131"/>
      <c r="O88" s="132"/>
      <c r="P88" s="132"/>
      <c r="Q88" s="132"/>
      <c r="R88" s="132">
        <f>[1]!thsiFinD("ths_adjustment_nvg_ratio_fund",$B88,R$1,R$2,101)</f>
        <v>-1.3601161665053001</v>
      </c>
      <c r="S88" s="132"/>
      <c r="T88" s="133">
        <f>[1]!thsiFinD("ths_adjustment_nvg_ratio_fund",$B88,T$1,T$2,101)</f>
        <v>13.103563103562999</v>
      </c>
      <c r="U88" s="132">
        <f>[1]!thsiFinD("ths_adjustment_nvg_ratio_fund",$B88,U$1,U$2,101)</f>
        <v>48.275611175785997</v>
      </c>
      <c r="V88" s="132">
        <f>[1]!thsiFinD("ths_adjustment_nvg_ratio_fund",$B88,V$1,V$2,101)</f>
        <v>124.41361083581</v>
      </c>
      <c r="W88" s="132">
        <f>[1]!thsiFinD("ths_adjustment_nvg_ratio_fund",$B88,W$1,W$2,101)</f>
        <v>0</v>
      </c>
      <c r="X88" s="133">
        <f>[1]!thsiFinD("ths_adjustment_nvg_ratio_fund",$B88,X$1,X$2,101)</f>
        <v>54.356206630686003</v>
      </c>
      <c r="Y88" s="133">
        <f>[1]!thsiFinD("ths_adjustment_nvg_ratio_fund",$B88,Y$1,Y$2,101)</f>
        <v>0</v>
      </c>
      <c r="Z88" s="133">
        <f>[1]!thsiFinD("ths_adjustment_nvg_ratio_fund",$B88,Z$1,Z$2,101)</f>
        <v>0</v>
      </c>
      <c r="AA88" s="133">
        <f>[1]!thsiFinD("ths_adjustment_nvg_ratio_fund",$B88,AA$1,AA$2,101)</f>
        <v>0</v>
      </c>
      <c r="AB88" s="134">
        <f>(1+([1]!thsiFinD("ths_adjustment_nvg_ratio_fund",$B88,AB$1,AB$2,101)-[1]!thsiFinD("ths_int_chg_ratio_index",$AJ88,AB$1,AB$2,101))/100)^(365/(AB$2-AB$1))-1</f>
        <v>0.15738477123494365</v>
      </c>
      <c r="AC88" s="134">
        <f>[1]!thsiFinD("ths_tracking_error_annual_fund",$B88,AC$1,AC$2,100,101,$AJ88)/100</f>
        <v>0</v>
      </c>
      <c r="AD88" s="134">
        <f>(1+([1]!thsiFinD("ths_adjustment_nvg_ratio_fund",$B88,AD$1,AD$2,101)-[1]!thsiFinD("ths_int_chg_ratio_index",$AJ88,AD$1,AD$2,101))/100)^(365/(AD$2-AD$1))-1</f>
        <v>0.23066791508133644</v>
      </c>
      <c r="AE88" s="134">
        <f>[1]!thsiFinD("ths_tracking_error_annual_fund",$B88,AE$1,AE$2,100,101,$AJ88)/100</f>
        <v>0</v>
      </c>
      <c r="AF88" s="134">
        <f>(1+([1]!thsiFinD("ths_adjustment_nvg_ratio_fund",$B88,AF$1,AF$2,101)-[1]!thsiFinD("ths_int_chg_ratio_index",$AJ88,AF$1,AF$2,101))/100)^(365/(AF$2-AF$1))-1</f>
        <v>-0.1549769820358845</v>
      </c>
      <c r="AG88" s="134">
        <f>[1]!thsiFinD("ths_tracking_error_annual_fund",$B88,AG$1,AG$2,100,101,$AJ88)/100</f>
        <v>0</v>
      </c>
      <c r="AH88" s="135" t="str">
        <f>[1]!thsiFinD("ths_service_start_fund",B88,100,1,101)</f>
        <v>2024-01-12</v>
      </c>
      <c r="AI88" s="136" t="str">
        <f>[1]!thsiFinD("ths_fund_establishment_date_fund",B88)</f>
        <v>2024-01-12</v>
      </c>
      <c r="AJ88" s="120" t="str">
        <f>[1]!thsiFinD("ths_fund_basement_fund",B88,1)</f>
        <v>932000.CSI</v>
      </c>
      <c r="AK88" s="187">
        <f>[1]!thsiFinD("ths_daily_large_purchase_limit_fund",B88,"2026-06-03")</f>
        <v>100000</v>
      </c>
    </row>
    <row r="89" spans="1:37">
      <c r="B89" s="128" t="s">
        <v>322</v>
      </c>
      <c r="C89" s="129" t="s">
        <v>323</v>
      </c>
      <c r="D89" s="129" t="str">
        <f>[1]!thsiFinD("ths_fund_manager_current_fund",B89)</f>
        <v>王平,刘浒</v>
      </c>
      <c r="E89" s="130" t="str">
        <f t="shared" si="29"/>
        <v>2024-01-02</v>
      </c>
      <c r="F89" s="131">
        <f t="shared" si="30"/>
        <v>-1.4939495045068E-2</v>
      </c>
      <c r="G89" s="131"/>
      <c r="H89" s="131"/>
      <c r="I89" s="131">
        <f t="shared" si="31"/>
        <v>0.46917706476530002</v>
      </c>
      <c r="J89" s="131">
        <f t="shared" si="31"/>
        <v>1.0776178972796999</v>
      </c>
      <c r="K89" s="131" t="s">
        <v>387</v>
      </c>
      <c r="L89" s="131">
        <f>AB89</f>
        <v>0.14397356551380147</v>
      </c>
      <c r="M89" s="131">
        <f>AD89</f>
        <v>0.16170725785822304</v>
      </c>
      <c r="N89" s="131"/>
      <c r="O89" s="132"/>
      <c r="P89" s="132"/>
      <c r="Q89" s="132"/>
      <c r="R89" s="132">
        <f>[1]!thsiFinD("ths_adjustment_nvg_ratio_fund",$B89,R$1,R$2,101)</f>
        <v>-1.4939495045068001</v>
      </c>
      <c r="S89" s="132"/>
      <c r="T89" s="133">
        <f>[1]!thsiFinD("ths_adjustment_nvg_ratio_fund",$B89,T$1,T$2,101)</f>
        <v>14.965709636173001</v>
      </c>
      <c r="U89" s="132">
        <f>[1]!thsiFinD("ths_adjustment_nvg_ratio_fund",$B89,U$1,U$2,101)</f>
        <v>46.91770647653</v>
      </c>
      <c r="V89" s="132">
        <f>[1]!thsiFinD("ths_adjustment_nvg_ratio_fund",$B89,V$1,V$2,101)</f>
        <v>107.76178972797</v>
      </c>
      <c r="W89" s="132">
        <f>[1]!thsiFinD("ths_adjustment_nvg_ratio_fund",$B89,W$1,W$2,101)</f>
        <v>0</v>
      </c>
      <c r="X89" s="133">
        <f>[1]!thsiFinD("ths_adjustment_nvg_ratio_fund",$B89,X$1,X$2,101)</f>
        <v>49.098786828423002</v>
      </c>
      <c r="Y89" s="133">
        <f>[1]!thsiFinD("ths_adjustment_nvg_ratio_fund",$B89,Y$1,Y$2,101)</f>
        <v>0</v>
      </c>
      <c r="Z89" s="133">
        <f>[1]!thsiFinD("ths_adjustment_nvg_ratio_fund",$B89,Z$1,Z$2,101)</f>
        <v>0</v>
      </c>
      <c r="AA89" s="133">
        <f>[1]!thsiFinD("ths_adjustment_nvg_ratio_fund",$B89,AA$1,AA$2,101)</f>
        <v>0</v>
      </c>
      <c r="AB89" s="134">
        <f>(1+([1]!thsiFinD("ths_adjustment_nvg_ratio_fund",$B89,AB$1,AB$2,101)-[1]!thsiFinD("ths_int_chg_ratio_index",$AJ89,AB$1,AB$2,101))/100)^(365/(AB$2-AB$1))-1</f>
        <v>0.14397356551380147</v>
      </c>
      <c r="AC89" s="134">
        <f>[1]!thsiFinD("ths_tracking_error_annual_fund",$B89,AC$1,AC$2,100,101,$AJ89)/100</f>
        <v>0</v>
      </c>
      <c r="AD89" s="134">
        <f>(1+([1]!thsiFinD("ths_adjustment_nvg_ratio_fund",$B89,AD$1,AD$2,101)-[1]!thsiFinD("ths_int_chg_ratio_index",$AJ89,AD$1,AD$2,101))/100)^(365/(AD$2-AD$1))-1</f>
        <v>0.16170725785822304</v>
      </c>
      <c r="AE89" s="134">
        <f>[1]!thsiFinD("ths_tracking_error_annual_fund",$B89,AE$1,AE$2,100,101,$AJ89)/100</f>
        <v>0</v>
      </c>
      <c r="AF89" s="134">
        <f>(1+([1]!thsiFinD("ths_adjustment_nvg_ratio_fund",$B89,AF$1,AF$2,101)-[1]!thsiFinD("ths_int_chg_ratio_index",$AJ89,AF$1,AF$2,101))/100)^(365/(AF$2-AF$1))-1</f>
        <v>-0.1549769820358845</v>
      </c>
      <c r="AG89" s="134">
        <f>[1]!thsiFinD("ths_tracking_error_annual_fund",$B89,AG$1,AG$2,100,101,$AJ89)/100</f>
        <v>0</v>
      </c>
      <c r="AH89" s="135" t="str">
        <f>[1]!thsiFinD("ths_service_start_fund",B89,100,1,101)</f>
        <v>2024-01-02</v>
      </c>
      <c r="AI89" s="136" t="str">
        <f>[1]!thsiFinD("ths_fund_establishment_date_fund",B89)</f>
        <v>2024-01-02</v>
      </c>
      <c r="AJ89" s="120" t="str">
        <f>[1]!thsiFinD("ths_fund_basement_fund",B89,1)</f>
        <v>932000.CSI</v>
      </c>
      <c r="AK89" s="187">
        <f>[1]!thsiFinD("ths_daily_large_purchase_limit_fund",B89,"2026-06-03")</f>
        <v>0</v>
      </c>
    </row>
    <row r="90" spans="1:37" s="179" customFormat="1">
      <c r="A90" s="74"/>
      <c r="B90" s="171" t="s">
        <v>388</v>
      </c>
      <c r="C90" s="172" t="s">
        <v>389</v>
      </c>
      <c r="D90" s="172" t="str">
        <f>[1]!thsiFinD("ths_fund_manager_current_fund",B90)</f>
        <v>杨梦</v>
      </c>
      <c r="E90" s="188" t="str">
        <f t="shared" si="29"/>
        <v>2019-04-26</v>
      </c>
      <c r="F90" s="174">
        <f t="shared" si="30"/>
        <v>-1.4008343204408E-2</v>
      </c>
      <c r="G90" s="174"/>
      <c r="H90" s="174"/>
      <c r="I90" s="174">
        <f t="shared" si="31"/>
        <v>0.30362249761678001</v>
      </c>
      <c r="J90" s="174">
        <f t="shared" si="31"/>
        <v>0.47337232568878002</v>
      </c>
      <c r="K90" s="174">
        <f t="shared" si="31"/>
        <v>0.49769224751622998</v>
      </c>
      <c r="L90" s="174">
        <f>AB90</f>
        <v>6.1744041145458173E-2</v>
      </c>
      <c r="M90" s="174">
        <f>AD90</f>
        <v>6.5069986499435073E-2</v>
      </c>
      <c r="N90" s="174">
        <f>AF90</f>
        <v>7.8004663245528461E-2</v>
      </c>
      <c r="O90" s="175">
        <f>AB90/AC90</f>
        <v>1.9830564878926955</v>
      </c>
      <c r="P90" s="175">
        <f>AD90/AE90</f>
        <v>1.7158078556678957</v>
      </c>
      <c r="Q90" s="175">
        <f>AF90/AG90</f>
        <v>1.9416219383612974</v>
      </c>
      <c r="R90" s="175">
        <f>[1]!thsiFinD("ths_adjustment_nvg_ratio_fund",$B90,R$1,R$2,101)</f>
        <v>-1.4008343204408</v>
      </c>
      <c r="S90" s="175"/>
      <c r="T90" s="104">
        <f>[1]!thsiFinD("ths_adjustment_nvg_ratio_fund",$B90,T$1,T$2,101)</f>
        <v>7.2368789559177999</v>
      </c>
      <c r="U90" s="175">
        <f>[1]!thsiFinD("ths_adjustment_nvg_ratio_fund",$B90,U$1,U$2,101)</f>
        <v>30.362249761678001</v>
      </c>
      <c r="V90" s="175">
        <f>[1]!thsiFinD("ths_adjustment_nvg_ratio_fund",$B90,V$1,V$2,101)</f>
        <v>47.337232568878001</v>
      </c>
      <c r="W90" s="175">
        <f>[1]!thsiFinD("ths_adjustment_nvg_ratio_fund",$B90,W$1,W$2,101)</f>
        <v>49.769224751623</v>
      </c>
      <c r="X90" s="104">
        <f>[1]!thsiFinD("ths_adjustment_nvg_ratio_fund",$B90,X$1,X$2,101)</f>
        <v>23.030804217490001</v>
      </c>
      <c r="Y90" s="104">
        <f>[1]!thsiFinD("ths_adjustment_nvg_ratio_fund",$B90,Y$1,Y$2,101)</f>
        <v>19.089043906442001</v>
      </c>
      <c r="Z90" s="104">
        <f>[1]!thsiFinD("ths_adjustment_nvg_ratio_fund",$B90,Z$1,Z$2,101)</f>
        <v>-4.2661847894406</v>
      </c>
      <c r="AA90" s="104">
        <f>[1]!thsiFinD("ths_adjustment_nvg_ratio_fund",$B90,AA$1,AA$2,101)</f>
        <v>-20.860535969657001</v>
      </c>
      <c r="AB90" s="176">
        <f>(1+([1]!thsiFinD("ths_adjustment_nvg_ratio_fund",$B90,AB$1,AB$2,101)-[1]!thsiFinD("ths_int_chg_ratio_index",$AJ90,AB$1,AB$2,101))/100)^(365/(AB$2-AB$1))-1</f>
        <v>6.1744041145458173E-2</v>
      </c>
      <c r="AC90" s="176">
        <f>[1]!thsiFinD("ths_tracking_error_annual_fund",$B90,AC$1,AC$2,100,101,$AJ90)/100</f>
        <v>3.1135795436201E-2</v>
      </c>
      <c r="AD90" s="176">
        <f>(1+([1]!thsiFinD("ths_adjustment_nvg_ratio_fund",$B90,AD$1,AD$2,101)-[1]!thsiFinD("ths_int_chg_ratio_index",$AJ90,AD$1,AD$2,101))/100)^(365/(AD$2-AD$1))-1</f>
        <v>6.5069986499435073E-2</v>
      </c>
      <c r="AE90" s="176">
        <f>[1]!thsiFinD("ths_tracking_error_annual_fund",$B90,AE$1,AE$2,100,101,$AJ90)/100</f>
        <v>3.7923818966375998E-2</v>
      </c>
      <c r="AF90" s="176">
        <f>(1+([1]!thsiFinD("ths_adjustment_nvg_ratio_fund",$B90,AF$1,AF$2,101)-[1]!thsiFinD("ths_int_chg_ratio_index",$AJ90,AF$1,AF$2,101))/100)^(365/(AF$2-AF$1))-1</f>
        <v>7.8004663245528461E-2</v>
      </c>
      <c r="AG90" s="176">
        <f>[1]!thsiFinD("ths_tracking_error_annual_fund",$B90,AG$1,AG$2,100,101,$AJ90)/100</f>
        <v>4.0175000964071998E-2</v>
      </c>
      <c r="AH90" s="177" t="str">
        <f>[1]!thsiFinD("ths_service_start_fund",B90,100,1,101)</f>
        <v>2019-04-26</v>
      </c>
      <c r="AI90" s="178" t="str">
        <f>[1]!thsiFinD("ths_fund_establishment_date_fund",B90)</f>
        <v>2019-04-26</v>
      </c>
      <c r="AJ90" s="74" t="str">
        <f>[1]!thsiFinD("ths_fund_basement_fund",B90,1)</f>
        <v>000300.SH</v>
      </c>
      <c r="AK90" s="187">
        <f>[1]!thsiFinD("ths_daily_large_purchase_limit_fund",B90,"2026-06-03")</f>
        <v>0</v>
      </c>
    </row>
    <row r="91" spans="1:37" s="179" customFormat="1">
      <c r="A91" s="74"/>
      <c r="B91" s="171" t="s">
        <v>381</v>
      </c>
      <c r="C91" s="172" t="s">
        <v>382</v>
      </c>
      <c r="D91" s="172" t="str">
        <f>[1]!thsiFinD("ths_fund_manager_current_fund",B91)</f>
        <v>施荣盛</v>
      </c>
      <c r="E91" s="188" t="str">
        <f t="shared" si="29"/>
        <v>2017-03-16</v>
      </c>
      <c r="F91" s="174">
        <f t="shared" si="30"/>
        <v>-1.4674860130239E-2</v>
      </c>
      <c r="G91" s="174"/>
      <c r="H91" s="174"/>
      <c r="I91" s="174">
        <f t="shared" si="31"/>
        <v>0.28728057036726001</v>
      </c>
      <c r="J91" s="174">
        <f t="shared" si="31"/>
        <v>0.56535042984118</v>
      </c>
      <c r="K91" s="174">
        <f t="shared" si="31"/>
        <v>0.48898128898129001</v>
      </c>
      <c r="L91" s="174">
        <f>AB91</f>
        <v>4.5588518354562124E-2</v>
      </c>
      <c r="M91" s="174">
        <f>AD91</f>
        <v>0.10707864690762325</v>
      </c>
      <c r="N91" s="174">
        <f>AF91</f>
        <v>7.5516924107318362E-2</v>
      </c>
      <c r="O91" s="175">
        <f>AB91/AC91</f>
        <v>1.2357055602162454</v>
      </c>
      <c r="P91" s="175">
        <f>AD91/AE91</f>
        <v>2.4169193849411785</v>
      </c>
      <c r="Q91" s="175">
        <f>AF91/AG91</f>
        <v>1.7256631862301166</v>
      </c>
      <c r="R91" s="175">
        <f>[1]!thsiFinD("ths_adjustment_nvg_ratio_fund",$B91,R$1,R$2,101)</f>
        <v>-1.4674860130239</v>
      </c>
      <c r="S91" s="175"/>
      <c r="T91" s="104">
        <f>[1]!thsiFinD("ths_adjustment_nvg_ratio_fund",$B91,T$1,T$2,101)</f>
        <v>6.7256109676138003</v>
      </c>
      <c r="U91" s="175">
        <f>[1]!thsiFinD("ths_adjustment_nvg_ratio_fund",$B91,U$1,U$2,101)</f>
        <v>28.728057036726</v>
      </c>
      <c r="V91" s="175">
        <f>[1]!thsiFinD("ths_adjustment_nvg_ratio_fund",$B91,V$1,V$2,101)</f>
        <v>56.535042984118</v>
      </c>
      <c r="W91" s="175">
        <f>[1]!thsiFinD("ths_adjustment_nvg_ratio_fund",$B91,W$1,W$2,101)</f>
        <v>48.898128898129002</v>
      </c>
      <c r="X91" s="104">
        <f>[1]!thsiFinD("ths_adjustment_nvg_ratio_fund",$B91,X$1,X$2,101)</f>
        <v>26.512913969709999</v>
      </c>
      <c r="Y91" s="104">
        <f>[1]!thsiFinD("ths_adjustment_nvg_ratio_fund",$B91,Y$1,Y$2,101)</f>
        <v>21.020609932313999</v>
      </c>
      <c r="Z91" s="104">
        <f>[1]!thsiFinD("ths_adjustment_nvg_ratio_fund",$B91,Z$1,Z$2,101)</f>
        <v>-9.3422504136790003</v>
      </c>
      <c r="AA91" s="104">
        <f>[1]!thsiFinD("ths_adjustment_nvg_ratio_fund",$B91,AA$1,AA$2,101)</f>
        <v>-21.032286165405001</v>
      </c>
      <c r="AB91" s="176">
        <f>(1+([1]!thsiFinD("ths_adjustment_nvg_ratio_fund",$B91,AB$1,AB$2,101)-[1]!thsiFinD("ths_int_chg_ratio_index",$AJ91,AB$1,AB$2,101))/100)^(365/(AB$2-AB$1))-1</f>
        <v>4.5588518354562124E-2</v>
      </c>
      <c r="AC91" s="176">
        <f>[1]!thsiFinD("ths_tracking_error_annual_fund",$B91,AC$1,AC$2,100,101,$AJ91)/100</f>
        <v>3.6892703102011003E-2</v>
      </c>
      <c r="AD91" s="176">
        <f>(1+([1]!thsiFinD("ths_adjustment_nvg_ratio_fund",$B91,AD$1,AD$2,101)-[1]!thsiFinD("ths_int_chg_ratio_index",$AJ91,AD$1,AD$2,101))/100)^(365/(AD$2-AD$1))-1</f>
        <v>0.10707864690762325</v>
      </c>
      <c r="AE91" s="176">
        <f>[1]!thsiFinD("ths_tracking_error_annual_fund",$B91,AE$1,AE$2,100,101,$AJ91)/100</f>
        <v>4.4303772635026994E-2</v>
      </c>
      <c r="AF91" s="176">
        <f>(1+([1]!thsiFinD("ths_adjustment_nvg_ratio_fund",$B91,AF$1,AF$2,101)-[1]!thsiFinD("ths_int_chg_ratio_index",$AJ91,AF$1,AF$2,101))/100)^(365/(AF$2-AF$1))-1</f>
        <v>7.5516924107318362E-2</v>
      </c>
      <c r="AG91" s="176">
        <f>[1]!thsiFinD("ths_tracking_error_annual_fund",$B91,AG$1,AG$2,100,101,$AJ91)/100</f>
        <v>4.3761102809577006E-2</v>
      </c>
      <c r="AH91" s="177" t="str">
        <f>[1]!thsiFinD("ths_service_start_fund",B91,100,1,101)</f>
        <v>2023-08-24</v>
      </c>
      <c r="AI91" s="178" t="str">
        <f>[1]!thsiFinD("ths_fund_establishment_date_fund",B91)</f>
        <v>2017-03-16</v>
      </c>
      <c r="AJ91" s="74" t="str">
        <f>[1]!thsiFinD("ths_fund_basement_fund",B91,1)</f>
        <v>000300.SH</v>
      </c>
      <c r="AK91" s="187">
        <f>[1]!thsiFinD("ths_daily_large_purchase_limit_fund",B91,"2026-06-03")</f>
        <v>0</v>
      </c>
    </row>
    <row r="92" spans="1:37">
      <c r="B92" s="3" t="s">
        <v>390</v>
      </c>
      <c r="C92" s="9" t="s">
        <v>391</v>
      </c>
      <c r="D92" s="3"/>
      <c r="E92" s="3"/>
      <c r="F92" s="145">
        <f t="shared" si="30"/>
        <v>-2.1936693889950998E-2</v>
      </c>
      <c r="G92" s="145"/>
      <c r="H92" s="145"/>
      <c r="I92" s="145">
        <f t="shared" si="31"/>
        <v>0.42466810192106996</v>
      </c>
      <c r="J92" s="145">
        <f t="shared" si="31"/>
        <v>0.55026014355862007</v>
      </c>
      <c r="K92" s="145">
        <f t="shared" si="31"/>
        <v>0.33921153447408997</v>
      </c>
      <c r="L92" s="146"/>
      <c r="M92" s="146"/>
      <c r="N92" s="146"/>
      <c r="O92" s="146"/>
      <c r="P92" s="146"/>
      <c r="Q92" s="146"/>
      <c r="R92" s="151">
        <f>[1]!thsiFinD("ths_int_chg_ratio_index",$B92,R$1,R$2,101)</f>
        <v>-2.1936693889951</v>
      </c>
      <c r="S92" s="151"/>
      <c r="T92" s="151">
        <f>[1]!thsiFinD("ths_int_chg_ratio_index",$B92,T$1,T$2,101)</f>
        <v>9.5184145380271001</v>
      </c>
      <c r="U92" s="151">
        <f>[1]!thsiFinD("ths_int_chg_ratio_index",$B92,U$1,U$2,101)</f>
        <v>42.466810192106998</v>
      </c>
      <c r="V92" s="151">
        <f>[1]!thsiFinD("ths_int_chg_ratio_index",$B92,V$1,V$2,101)</f>
        <v>55.026014355862003</v>
      </c>
      <c r="W92" s="151">
        <f>[1]!thsiFinD("ths_int_chg_ratio_index",$B92,W$1,W$2,101)</f>
        <v>33.921153447408997</v>
      </c>
      <c r="X92" s="151">
        <f>[1]!thsiFinD("ths_int_chg_ratio_index",$B92,X$1,X$2,101)</f>
        <v>30.386362450330001</v>
      </c>
      <c r="Y92" s="151">
        <f>[1]!thsiFinD("ths_int_chg_ratio_index",$B92,Y$1,Y$2,101)</f>
        <v>5.4612470927730996</v>
      </c>
      <c r="Z92" s="151">
        <f>[1]!thsiFinD("ths_int_chg_ratio_index",$B92,Z$1,Z$2,101)</f>
        <v>-7.4216140600946998</v>
      </c>
      <c r="AA92" s="151">
        <f>[1]!thsiFinD("ths_int_chg_ratio_index",$B92,AA$1,AA$2,101)</f>
        <v>-20.313272990752999</v>
      </c>
      <c r="AJ92" s="151">
        <f>[1]!thsiFinD("ths_int_chg_ratio_index",$B92,AJ$1,AJ$2,101)</f>
        <v>0</v>
      </c>
    </row>
    <row r="93" spans="1:37">
      <c r="B93" s="3" t="s">
        <v>316</v>
      </c>
      <c r="C93" s="9" t="s">
        <v>392</v>
      </c>
      <c r="D93" s="3"/>
      <c r="E93" s="3"/>
      <c r="F93" s="145">
        <f t="shared" si="30"/>
        <v>-1.070766203295E-2</v>
      </c>
      <c r="G93" s="145"/>
      <c r="H93" s="145"/>
      <c r="I93" s="145">
        <f t="shared" si="31"/>
        <v>0.35856020376366998</v>
      </c>
      <c r="J93" s="145">
        <f t="shared" si="31"/>
        <v>0.57413250775324998</v>
      </c>
      <c r="K93" s="145">
        <f t="shared" si="31"/>
        <v>0.25541005711289999</v>
      </c>
      <c r="L93" s="146"/>
      <c r="M93" s="146"/>
      <c r="N93" s="146"/>
      <c r="O93" s="146"/>
      <c r="P93" s="146"/>
      <c r="Q93" s="146"/>
      <c r="R93" s="151">
        <f>[1]!thsiFinD("ths_int_chg_ratio_index",$B93,R$1,R$2,101)</f>
        <v>-1.0707662032950001</v>
      </c>
      <c r="S93" s="151"/>
      <c r="T93" s="151">
        <f>[1]!thsiFinD("ths_int_chg_ratio_index",$B93,T$1,T$2,101)</f>
        <v>9.5245056324092001</v>
      </c>
      <c r="U93" s="151">
        <f>[1]!thsiFinD("ths_int_chg_ratio_index",$B93,U$1,U$2,101)</f>
        <v>35.856020376366999</v>
      </c>
      <c r="V93" s="151">
        <f>[1]!thsiFinD("ths_int_chg_ratio_index",$B93,V$1,V$2,101)</f>
        <v>57.413250775324997</v>
      </c>
      <c r="W93" s="151">
        <f>[1]!thsiFinD("ths_int_chg_ratio_index",$B93,W$1,W$2,101)</f>
        <v>25.541005711290001</v>
      </c>
      <c r="X93" s="151">
        <f>[1]!thsiFinD("ths_int_chg_ratio_index",$B93,X$1,X$2,101)</f>
        <v>27.486489288213001</v>
      </c>
      <c r="Y93" s="151">
        <f>[1]!thsiFinD("ths_int_chg_ratio_index",$B93,Y$1,Y$2,101)</f>
        <v>1.1972037807222</v>
      </c>
      <c r="Z93" s="151">
        <f>[1]!thsiFinD("ths_int_chg_ratio_index",$B93,Z$1,Z$2,101)</f>
        <v>-6.2784097652247999</v>
      </c>
      <c r="AA93" s="151">
        <f>[1]!thsiFinD("ths_int_chg_ratio_index",$B93,AA$1,AA$2,101)</f>
        <v>-21.580933653928</v>
      </c>
      <c r="AJ93" s="151">
        <f>[1]!thsiFinD("ths_int_chg_ratio_index",$B93,AJ$1,AJ$2,101)</f>
        <v>0</v>
      </c>
    </row>
    <row r="94" spans="1:37">
      <c r="B94" s="3" t="s">
        <v>393</v>
      </c>
      <c r="C94" s="9" t="s">
        <v>394</v>
      </c>
      <c r="D94" s="3"/>
      <c r="E94" s="3"/>
      <c r="F94" s="145">
        <f t="shared" si="30"/>
        <v>-1.1878294353929999E-2</v>
      </c>
      <c r="G94" s="145"/>
      <c r="H94" s="145"/>
      <c r="I94" s="145">
        <f t="shared" si="31"/>
        <v>0.32351597250115999</v>
      </c>
      <c r="J94" s="145">
        <f t="shared" si="31"/>
        <v>0.72528024196722995</v>
      </c>
      <c r="K94" s="145">
        <f t="shared" si="31"/>
        <v>0.39826751734254001</v>
      </c>
      <c r="L94" s="146"/>
      <c r="M94" s="146"/>
      <c r="N94" s="146"/>
      <c r="P94" s="146"/>
      <c r="Q94" s="146"/>
      <c r="R94" s="151">
        <f>[1]!thsiFinD("ths_int_chg_ratio_index",$B94,R$1,R$2,101)</f>
        <v>-1.1878294353929999</v>
      </c>
      <c r="S94" s="151"/>
      <c r="T94" s="151">
        <f>[1]!thsiFinD("ths_int_chg_ratio_index",$B94,T$1,T$2,101)</f>
        <v>7.0626825363470997</v>
      </c>
      <c r="U94" s="151">
        <f>[1]!thsiFinD("ths_int_chg_ratio_index",$B94,U$1,U$2,101)</f>
        <v>32.351597250116001</v>
      </c>
      <c r="V94" s="151">
        <f>[1]!thsiFinD("ths_int_chg_ratio_index",$B94,V$1,V$2,101)</f>
        <v>72.528024196722995</v>
      </c>
      <c r="W94" s="151">
        <f>[1]!thsiFinD("ths_int_chg_ratio_index",$B94,W$1,W$2,101)</f>
        <v>39.826751734254003</v>
      </c>
      <c r="X94" s="151">
        <f>[1]!thsiFinD("ths_int_chg_ratio_index",$B94,X$1,X$2,101)</f>
        <v>36.417600131169003</v>
      </c>
      <c r="Y94" s="151">
        <f>[1]!thsiFinD("ths_int_chg_ratio_index",$B94,Y$1,Y$2,101)</f>
        <v>-2.1406298962608998</v>
      </c>
      <c r="Z94" s="151">
        <f>[1]!thsiFinD("ths_int_chg_ratio_index",$B94,Z$1,Z$2,101)</f>
        <v>5.5675063772423998</v>
      </c>
      <c r="AA94" s="151">
        <f>[1]!thsiFinD("ths_int_chg_ratio_index",$B94,AA$1,AA$2,101)</f>
        <v>-14.774946978205</v>
      </c>
      <c r="AJ94" s="151"/>
    </row>
    <row r="95" spans="1:37">
      <c r="B95" s="3" t="s">
        <v>395</v>
      </c>
      <c r="C95" s="9" t="s">
        <v>396</v>
      </c>
      <c r="D95" s="3"/>
      <c r="E95" s="3"/>
      <c r="F95" s="145">
        <f t="shared" si="30"/>
        <v>-1.8460437601987002E-2</v>
      </c>
      <c r="G95" s="145"/>
      <c r="H95" s="145"/>
      <c r="I95" s="145">
        <f t="shared" si="31"/>
        <v>0.24118110820958999</v>
      </c>
      <c r="J95" s="145">
        <f t="shared" si="31"/>
        <v>0.33801821654642</v>
      </c>
      <c r="K95" s="145">
        <f t="shared" si="31"/>
        <v>0.24340170318571999</v>
      </c>
      <c r="L95" s="146"/>
      <c r="M95" s="146"/>
      <c r="N95" s="146"/>
      <c r="O95" s="146"/>
      <c r="P95" s="146"/>
      <c r="Q95" s="146"/>
      <c r="R95" s="151">
        <f>[1]!thsiFinD("ths_int_chg_ratio_index",$B95,R$1,R$2,101)</f>
        <v>-1.8460437601987001</v>
      </c>
      <c r="S95" s="151"/>
      <c r="T95" s="151">
        <f>[1]!thsiFinD("ths_int_chg_ratio_index",$B95,T$1,T$2,101)</f>
        <v>3.7121672972184001</v>
      </c>
      <c r="U95" s="151">
        <f>[1]!thsiFinD("ths_int_chg_ratio_index",$B95,U$1,U$2,101)</f>
        <v>24.118110820959</v>
      </c>
      <c r="V95" s="151">
        <f>[1]!thsiFinD("ths_int_chg_ratio_index",$B95,V$1,V$2,101)</f>
        <v>33.801821654641998</v>
      </c>
      <c r="W95" s="151">
        <f>[1]!thsiFinD("ths_int_chg_ratio_index",$B95,W$1,W$2,101)</f>
        <v>24.340170318572</v>
      </c>
      <c r="X95" s="151">
        <f>[1]!thsiFinD("ths_int_chg_ratio_index",$B95,X$1,X$2,101)</f>
        <v>17.663134379993</v>
      </c>
      <c r="Y95" s="151">
        <f>[1]!thsiFinD("ths_int_chg_ratio_index",$B95,Y$1,Y$2,101)</f>
        <v>14.683324483427</v>
      </c>
      <c r="Z95" s="151">
        <f>[1]!thsiFinD("ths_int_chg_ratio_index",$B95,Z$1,Z$2,101)</f>
        <v>-11.378242952626</v>
      </c>
      <c r="AA95" s="151">
        <f>[1]!thsiFinD("ths_int_chg_ratio_index",$B95,AA$1,AA$2,101)</f>
        <v>-21.632768114910998</v>
      </c>
      <c r="AJ95" s="151">
        <f>[1]!thsiFinD("ths_int_chg_ratio_index",$B95,AJ$1,AJ$2,101)</f>
        <v>0</v>
      </c>
    </row>
  </sheetData>
  <mergeCells count="8">
    <mergeCell ref="L2:N2"/>
    <mergeCell ref="O2:Q2"/>
    <mergeCell ref="A2:A3"/>
    <mergeCell ref="B2:B3"/>
    <mergeCell ref="C2:C3"/>
    <mergeCell ref="D2:D3"/>
    <mergeCell ref="E2:E3"/>
    <mergeCell ref="I2:K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L14"/>
  <sheetViews>
    <sheetView tabSelected="1" zoomScale="107" zoomScaleNormal="70" workbookViewId="0">
      <pane xSplit="18" ySplit="11" topLeftCell="S12" activePane="bottomRight" state="frozen"/>
      <selection activeCell="F25" sqref="F25"/>
      <selection pane="topRight" activeCell="F25" sqref="F25"/>
      <selection pane="bottomLeft" activeCell="F25" sqref="F25"/>
      <selection pane="bottomRight" activeCell="F25" sqref="F25"/>
    </sheetView>
  </sheetViews>
  <sheetFormatPr defaultColWidth="9.6328125" defaultRowHeight="15"/>
  <cols>
    <col min="1" max="1" width="9.36328125" style="119" bestFit="1" customWidth="1"/>
    <col min="2" max="2" width="11.7265625" style="120" customWidth="1"/>
    <col min="3" max="3" width="26.08984375" style="119" customWidth="1"/>
    <col min="4" max="4" width="13.08984375" style="119" customWidth="1"/>
    <col min="5" max="5" width="17.54296875" style="120" customWidth="1"/>
    <col min="6" max="9" width="11.6328125" style="120" customWidth="1"/>
    <col min="10" max="15" width="11.26953125" style="120" hidden="1" customWidth="1"/>
    <col min="16" max="17" width="9.7265625" style="120" hidden="1" customWidth="1"/>
    <col min="18" max="18" width="9.7265625" style="120" customWidth="1"/>
    <col min="19" max="19" width="11.26953125" style="120" bestFit="1" customWidth="1"/>
    <col min="20" max="20" width="11.26953125" style="120" customWidth="1"/>
    <col min="21" max="21" width="11.26953125" style="119" bestFit="1" customWidth="1"/>
    <col min="22" max="24" width="11.26953125" style="120" bestFit="1" customWidth="1"/>
    <col min="25" max="28" width="12.453125" style="119" bestFit="1" customWidth="1"/>
    <col min="29" max="29" width="11.26953125" style="119" bestFit="1" customWidth="1"/>
    <col min="30" max="30" width="11.26953125" style="119" customWidth="1"/>
    <col min="31" max="34" width="11.26953125" style="119" bestFit="1" customWidth="1"/>
    <col min="35" max="36" width="11.6328125" style="119" bestFit="1" customWidth="1"/>
    <col min="37" max="37" width="11.1796875" style="120" bestFit="1" customWidth="1"/>
    <col min="38" max="38" width="12.6328125" style="119" bestFit="1" customWidth="1"/>
  </cols>
  <sheetData>
    <row r="1" spans="1:38" ht="23.5" customHeight="1">
      <c r="J1" s="121"/>
      <c r="K1" s="121"/>
      <c r="L1" s="121"/>
      <c r="M1" s="121"/>
      <c r="N1" s="121"/>
      <c r="O1" s="121"/>
      <c r="P1" s="121"/>
      <c r="Q1" s="121"/>
      <c r="R1" s="121"/>
      <c r="S1" s="121">
        <v>46174</v>
      </c>
      <c r="T1" s="121">
        <v>46113</v>
      </c>
      <c r="U1" s="121">
        <v>46023</v>
      </c>
      <c r="V1" s="121">
        <v>45813</v>
      </c>
      <c r="W1" s="121">
        <v>45447</v>
      </c>
      <c r="X1" s="121">
        <v>45081</v>
      </c>
      <c r="Y1" s="121">
        <v>45658</v>
      </c>
      <c r="Z1" s="121">
        <v>45292</v>
      </c>
      <c r="AA1" s="121">
        <v>44927</v>
      </c>
      <c r="AB1" s="121">
        <v>44562</v>
      </c>
      <c r="AC1" s="121">
        <f>V1</f>
        <v>45813</v>
      </c>
      <c r="AD1" s="121">
        <f>AC1</f>
        <v>45813</v>
      </c>
      <c r="AE1" s="121">
        <f>W1</f>
        <v>45447</v>
      </c>
      <c r="AF1" s="121">
        <f>AE1</f>
        <v>45447</v>
      </c>
      <c r="AG1" s="121">
        <f>X1</f>
        <v>45081</v>
      </c>
      <c r="AH1" s="121">
        <f>AG1</f>
        <v>45081</v>
      </c>
    </row>
    <row r="2" spans="1:38">
      <c r="A2" s="122" t="s">
        <v>397</v>
      </c>
      <c r="B2" s="122" t="s">
        <v>398</v>
      </c>
      <c r="C2" s="123">
        <f>U2</f>
        <v>46218</v>
      </c>
      <c r="D2" s="123" t="s">
        <v>399</v>
      </c>
      <c r="E2" s="122" t="s">
        <v>4</v>
      </c>
      <c r="F2" s="122" t="s">
        <v>19</v>
      </c>
      <c r="G2" s="124"/>
      <c r="H2" s="124"/>
      <c r="I2" s="124"/>
      <c r="J2" s="123" t="s">
        <v>241</v>
      </c>
      <c r="K2" s="123"/>
      <c r="L2" s="123"/>
      <c r="M2" s="123" t="s">
        <v>400</v>
      </c>
      <c r="N2" s="123"/>
      <c r="O2" s="123"/>
      <c r="P2" s="123" t="s">
        <v>243</v>
      </c>
      <c r="Q2" s="123"/>
      <c r="R2" s="123"/>
      <c r="S2" s="121">
        <f>X2</f>
        <v>46218</v>
      </c>
      <c r="T2" s="121">
        <f>U2</f>
        <v>46218</v>
      </c>
      <c r="U2" s="125">
        <v>46218</v>
      </c>
      <c r="V2" s="121">
        <f>U2</f>
        <v>46218</v>
      </c>
      <c r="W2" s="121">
        <f>U2</f>
        <v>46218</v>
      </c>
      <c r="X2" s="121">
        <f>U2</f>
        <v>46218</v>
      </c>
      <c r="Y2" s="121">
        <v>46022</v>
      </c>
      <c r="Z2" s="121">
        <v>45657</v>
      </c>
      <c r="AA2" s="121">
        <v>45291</v>
      </c>
      <c r="AB2" s="121">
        <v>44926</v>
      </c>
      <c r="AC2" s="121">
        <f>V2</f>
        <v>46218</v>
      </c>
      <c r="AD2" s="121">
        <f>AC2</f>
        <v>46218</v>
      </c>
      <c r="AE2" s="121">
        <f>AC2</f>
        <v>46218</v>
      </c>
      <c r="AF2" s="121">
        <f>AE2</f>
        <v>46218</v>
      </c>
      <c r="AG2" s="121">
        <f>AC2</f>
        <v>46218</v>
      </c>
      <c r="AH2" s="121">
        <f>AG2</f>
        <v>46218</v>
      </c>
    </row>
    <row r="3" spans="1:38" ht="14" customHeight="1">
      <c r="A3" s="122"/>
      <c r="B3" s="122"/>
      <c r="C3" s="122"/>
      <c r="D3" s="123"/>
      <c r="E3" s="122"/>
      <c r="F3" s="122"/>
      <c r="G3" s="124" t="s">
        <v>244</v>
      </c>
      <c r="H3" s="124" t="s">
        <v>245</v>
      </c>
      <c r="I3" s="124" t="s">
        <v>246</v>
      </c>
      <c r="J3" s="126" t="s">
        <v>9</v>
      </c>
      <c r="K3" s="126" t="s">
        <v>10</v>
      </c>
      <c r="L3" s="126" t="s">
        <v>11</v>
      </c>
      <c r="M3" s="126" t="s">
        <v>9</v>
      </c>
      <c r="N3" s="126" t="s">
        <v>10</v>
      </c>
      <c r="O3" s="126" t="s">
        <v>11</v>
      </c>
      <c r="P3" s="126" t="s">
        <v>9</v>
      </c>
      <c r="Q3" s="126" t="s">
        <v>10</v>
      </c>
      <c r="R3" s="126" t="s">
        <v>11</v>
      </c>
      <c r="S3" s="120" t="s">
        <v>6</v>
      </c>
      <c r="U3" s="121" t="s">
        <v>8</v>
      </c>
      <c r="V3" s="120" t="s">
        <v>9</v>
      </c>
      <c r="W3" s="120" t="s">
        <v>10</v>
      </c>
      <c r="X3" s="120" t="s">
        <v>11</v>
      </c>
      <c r="Y3" s="121" t="s">
        <v>12</v>
      </c>
      <c r="Z3" s="121" t="s">
        <v>13</v>
      </c>
      <c r="AA3" s="121" t="s">
        <v>14</v>
      </c>
      <c r="AB3" s="121" t="s">
        <v>15</v>
      </c>
      <c r="AC3" s="127" t="s">
        <v>259</v>
      </c>
      <c r="AD3" s="127" t="s">
        <v>401</v>
      </c>
      <c r="AE3" s="127" t="s">
        <v>402</v>
      </c>
      <c r="AF3" s="127" t="s">
        <v>264</v>
      </c>
      <c r="AG3" s="127" t="s">
        <v>403</v>
      </c>
      <c r="AH3" s="127" t="s">
        <v>264</v>
      </c>
      <c r="AI3" s="127" t="s">
        <v>404</v>
      </c>
      <c r="AJ3" s="127" t="s">
        <v>405</v>
      </c>
      <c r="AK3" s="120" t="s">
        <v>406</v>
      </c>
    </row>
    <row r="4" spans="1:38">
      <c r="A4" s="189" t="s">
        <v>407</v>
      </c>
      <c r="B4" s="128" t="s">
        <v>408</v>
      </c>
      <c r="C4" s="129" t="str">
        <f>[1]!thsiFinD("ths_fund_short_name_fund",B4)</f>
        <v>易方达中债新综合债券指数发起式(LOF)A</v>
      </c>
      <c r="D4" s="190">
        <f>[1]!thsiFinD("ths_mergesize_fund",B4,"2026-06-09")/100000000</f>
        <v>107.8066200733</v>
      </c>
      <c r="E4" s="128" t="str">
        <f>[1]!thsiFinD("ths_fund_manager_current_fund",B4)</f>
        <v>杨真</v>
      </c>
      <c r="F4" s="130" t="str">
        <f>AJ4</f>
        <v>2012-11-08</v>
      </c>
      <c r="G4" s="191">
        <f t="shared" ref="G4:L14" si="0">S4/100</f>
        <v>1.9597961811972002E-3</v>
      </c>
      <c r="H4" s="191">
        <f t="shared" si="0"/>
        <v>1.2104072398190001E-2</v>
      </c>
      <c r="I4" s="191">
        <f t="shared" si="0"/>
        <v>2.1755267515560003E-2</v>
      </c>
      <c r="J4" s="131">
        <f t="shared" si="0"/>
        <v>1.9368804830807999E-2</v>
      </c>
      <c r="K4" s="131">
        <f t="shared" si="0"/>
        <v>6.4168896818317001E-2</v>
      </c>
      <c r="L4" s="131">
        <f t="shared" si="0"/>
        <v>0.11865466366592001</v>
      </c>
      <c r="M4" s="131">
        <f>AC4</f>
        <v>-2.4682450564430525E-3</v>
      </c>
      <c r="N4" s="131">
        <f>AE4</f>
        <v>-4.984892252331008E-3</v>
      </c>
      <c r="O4" s="131">
        <f>AG4</f>
        <v>-4.9012844492637431E-3</v>
      </c>
      <c r="P4" s="132">
        <f>AC4/AD4</f>
        <v>-0.71298445175722247</v>
      </c>
      <c r="Q4" s="132">
        <f>AE4/AF4</f>
        <v>-0.99400034871060117</v>
      </c>
      <c r="R4" s="132">
        <f>AG4/AH4</f>
        <v>-1.0635377832118578</v>
      </c>
      <c r="S4" s="132">
        <f>[1]!thsiFinD("ths_adjustment_nvg_ratio_fund",$B4,S$1,S$2,101)</f>
        <v>0.19597961811972001</v>
      </c>
      <c r="T4" s="132">
        <f>[1]!thsiFinD("ths_adjustment_nvg_ratio_fund",$B4,T$1,T$2,101)</f>
        <v>1.210407239819</v>
      </c>
      <c r="U4" s="133">
        <f>[1]!thsiFinD("ths_adjustment_nvg_ratio_fund",$B4,U$1,U$2,101)</f>
        <v>2.1755267515560002</v>
      </c>
      <c r="V4" s="132">
        <f>[1]!thsiFinD("ths_adjustment_nvg_ratio_fund",$B4,V$1,V$2,101)</f>
        <v>1.9368804830808</v>
      </c>
      <c r="W4" s="132">
        <f>[1]!thsiFinD("ths_adjustment_nvg_ratio_fund",$B4,W$1,W$2,101)</f>
        <v>6.4168896818316998</v>
      </c>
      <c r="X4" s="132">
        <f>[1]!thsiFinD("ths_adjustment_nvg_ratio_fund",$B4,X$1,X$2,101)</f>
        <v>11.865466366592001</v>
      </c>
      <c r="Y4" s="133">
        <f>[1]!thsiFinD("ths_adjustment_nvg_ratio_fund",$B4,Y$1,Y$2,101)</f>
        <v>9.1444247585303007E-2</v>
      </c>
      <c r="Z4" s="133">
        <f>[1]!thsiFinD("ths_adjustment_nvg_ratio_fund",$B4,Z$1,Z$2,101)</f>
        <v>7.0087456424683996</v>
      </c>
      <c r="AA4" s="133">
        <f>[1]!thsiFinD("ths_adjustment_nvg_ratio_fund",$B4,AA$1,AA$2,101)</f>
        <v>4.7872340425531998</v>
      </c>
      <c r="AB4" s="133">
        <f>[1]!thsiFinD("ths_adjustment_nvg_ratio_fund",$B4,AB$1,AB$2,101)</f>
        <v>2.7322404371585001</v>
      </c>
      <c r="AC4" s="134">
        <f>(1+([1]!thsiFinD("ths_adjustment_nvg_ratio_fund",$B4,AC$1,AC$2,101)-[1]!thsiFinD("ths_int_chg_ratio_index",$AK4,AC$1,AC$2,101))/100)^(365/(AC$2-AC$1))-1</f>
        <v>-2.4682450564430525E-3</v>
      </c>
      <c r="AD4" s="134">
        <f>[1]!thsiFinD("ths_tracking_error_annual_fund",$B4,AD$1,AD$2,100,101,$AK4)/100</f>
        <v>3.4618497645493001E-3</v>
      </c>
      <c r="AE4" s="134">
        <f>(1+([1]!thsiFinD("ths_adjustment_nvg_ratio_fund",$B4,AE$1,AE$2,101)-[1]!thsiFinD("ths_int_chg_ratio_index",$AK4,AE$1,AE$2,101))/100)^(365/(AE$2-AE$1))-1</f>
        <v>-4.984892252331008E-3</v>
      </c>
      <c r="AF4" s="134">
        <f>[1]!thsiFinD("ths_tracking_error_annual_fund",$B4,AF$1,AF$2,100,101,$AK4)/100</f>
        <v>5.0149803858693994E-3</v>
      </c>
      <c r="AG4" s="134">
        <f>(1+([1]!thsiFinD("ths_adjustment_nvg_ratio_fund",$B4,AG$1,AG$2,101)-[1]!thsiFinD("ths_int_chg_ratio_index",$AK4,AG$1,AG$2,101))/100)^(365/(AG$2-AG$1))-1</f>
        <v>-4.9012844492637431E-3</v>
      </c>
      <c r="AH4" s="134">
        <f>[1]!thsiFinD("ths_tracking_error_annual_fund",$B4,AH$1,AH$2,100,101,$AK4)/100</f>
        <v>4.6084723332179001E-3</v>
      </c>
      <c r="AI4" s="135" t="str">
        <f>[1]!thsiFinD("ths_service_start_fund",B4,100,1,101)</f>
        <v>2020-11-28</v>
      </c>
      <c r="AJ4" s="136" t="str">
        <f>[1]!thsiFinD("ths_fund_establishment_date_fund",B4)</f>
        <v>2012-11-08</v>
      </c>
      <c r="AK4" s="120" t="str">
        <f>[1]!thsiFinD("ths_fund_basement_fund",B4,1)</f>
        <v>CBA00101.CB</v>
      </c>
    </row>
    <row r="5" spans="1:38">
      <c r="A5" s="189"/>
      <c r="B5" s="128" t="s">
        <v>409</v>
      </c>
      <c r="C5" s="129" t="str">
        <f>[1]!thsiFinD("ths_fund_short_name_fund",B5)</f>
        <v>南方中债1-3年国开行债券指数A</v>
      </c>
      <c r="D5" s="190">
        <f>[1]!thsiFinD("ths_mergesize_fund",B5,"2026-06-09")/100000000</f>
        <v>62.820798671599995</v>
      </c>
      <c r="E5" s="128" t="str">
        <f>[1]!thsiFinD("ths_fund_manager_current_fund",B5)</f>
        <v>夏晨曦,朱佳</v>
      </c>
      <c r="F5" s="130" t="str">
        <f t="shared" ref="F5:F11" si="1">AJ5</f>
        <v>2018-11-08</v>
      </c>
      <c r="G5" s="191">
        <f t="shared" si="0"/>
        <v>1.1953706710052E-3</v>
      </c>
      <c r="H5" s="191">
        <f t="shared" si="0"/>
        <v>6.1450569028877996E-3</v>
      </c>
      <c r="I5" s="191">
        <f t="shared" si="0"/>
        <v>1.2327358580345999E-2</v>
      </c>
      <c r="J5" s="131">
        <f t="shared" si="0"/>
        <v>1.7940411121529002E-2</v>
      </c>
      <c r="K5" s="131">
        <f t="shared" si="0"/>
        <v>4.9847946909315002E-2</v>
      </c>
      <c r="L5" s="131">
        <f t="shared" si="0"/>
        <v>8.4342216410456985E-2</v>
      </c>
      <c r="M5" s="131">
        <f t="shared" ref="M5:M11" si="2">AC5</f>
        <v>2.9899659540074675E-2</v>
      </c>
      <c r="N5" s="131">
        <f t="shared" ref="N5:N11" si="3">AE5</f>
        <v>3.5475101228977124E-2</v>
      </c>
      <c r="O5" s="131">
        <f t="shared" ref="O5:O11" si="4">AG5</f>
        <v>3.587125814128056E-2</v>
      </c>
      <c r="P5" s="132" t="e">
        <f t="shared" ref="P5:P11" si="5">AC5/AD5</f>
        <v>#DIV/0!</v>
      </c>
      <c r="Q5" s="132" t="e">
        <f t="shared" ref="Q5:Q11" si="6">AE5/AF5</f>
        <v>#DIV/0!</v>
      </c>
      <c r="R5" s="132" t="e">
        <f t="shared" ref="R5:R11" si="7">AG5/AH5</f>
        <v>#DIV/0!</v>
      </c>
      <c r="S5" s="132">
        <f>[1]!thsiFinD("ths_adjustment_nvg_ratio_fund",$B5,S$1,S$2,101)</f>
        <v>0.11953706710052001</v>
      </c>
      <c r="T5" s="132">
        <f>[1]!thsiFinD("ths_adjustment_nvg_ratio_fund",$B5,T$1,T$2,101)</f>
        <v>0.61450569028877999</v>
      </c>
      <c r="U5" s="133">
        <f>[1]!thsiFinD("ths_adjustment_nvg_ratio_fund",$B5,U$1,U$2,101)</f>
        <v>1.2327358580346</v>
      </c>
      <c r="V5" s="132">
        <f>[1]!thsiFinD("ths_adjustment_nvg_ratio_fund",$B5,V$1,V$2,101)</f>
        <v>1.7940411121529001</v>
      </c>
      <c r="W5" s="132">
        <f>[1]!thsiFinD("ths_adjustment_nvg_ratio_fund",$B5,W$1,W$2,101)</f>
        <v>4.9847946909315004</v>
      </c>
      <c r="X5" s="132">
        <f>[1]!thsiFinD("ths_adjustment_nvg_ratio_fund",$B5,X$1,X$2,101)</f>
        <v>8.4342216410456992</v>
      </c>
      <c r="Y5" s="133">
        <f>[1]!thsiFinD("ths_adjustment_nvg_ratio_fund",$B5,Y$1,Y$2,101)</f>
        <v>0.84270191490999002</v>
      </c>
      <c r="Z5" s="133">
        <f>[1]!thsiFinD("ths_adjustment_nvg_ratio_fund",$B5,Z$1,Z$2,101)</f>
        <v>4.7340575944290002</v>
      </c>
      <c r="AA5" s="133">
        <f>[1]!thsiFinD("ths_adjustment_nvg_ratio_fund",$B5,AA$1,AA$2,101)</f>
        <v>2.6572742857253999</v>
      </c>
      <c r="AB5" s="133">
        <f>[1]!thsiFinD("ths_adjustment_nvg_ratio_fund",$B5,AB$1,AB$2,101)</f>
        <v>2.5287269029182</v>
      </c>
      <c r="AC5" s="134">
        <f>(1+([1]!thsiFinD("ths_adjustment_nvg_ratio_fund",$B5,AC$1,AC$2,101)-[1]!thsiFinD("ths_int_chg_ratio_index",$AK5,AC$1,AC$2,101))/100)^(365/(AC$2-AC$1))-1</f>
        <v>2.9899659540074675E-2</v>
      </c>
      <c r="AD5" s="134">
        <f>[1]!thsiFinD("ths_tracking_error_annual_fund",$B5,AD$1,AD$2,100,101,$AK5)/100</f>
        <v>0</v>
      </c>
      <c r="AE5" s="134">
        <f>(1+([1]!thsiFinD("ths_adjustment_nvg_ratio_fund",$B5,AE$1,AE$2,101)-[1]!thsiFinD("ths_int_chg_ratio_index",$AK5,AE$1,AE$2,101))/100)^(365/(AE$2-AE$1))-1</f>
        <v>3.5475101228977124E-2</v>
      </c>
      <c r="AF5" s="134">
        <f>[1]!thsiFinD("ths_tracking_error_annual_fund",$B5,AF$1,AF$2,100,101,$AK5)/100</f>
        <v>0</v>
      </c>
      <c r="AG5" s="134">
        <f>(1+([1]!thsiFinD("ths_adjustment_nvg_ratio_fund",$B5,AG$1,AG$2,101)-[1]!thsiFinD("ths_int_chg_ratio_index",$AK5,AG$1,AG$2,101))/100)^(365/(AG$2-AG$1))-1</f>
        <v>3.587125814128056E-2</v>
      </c>
      <c r="AH5" s="134">
        <f>[1]!thsiFinD("ths_tracking_error_annual_fund",$B5,AH$1,AH$2,100,101,$AK5)/100</f>
        <v>0</v>
      </c>
      <c r="AI5" s="135" t="str">
        <f>[1]!thsiFinD("ths_service_start_fund",B5,100,1,101)</f>
        <v>2018-11-08</v>
      </c>
      <c r="AJ5" s="136" t="str">
        <f>[1]!thsiFinD("ths_fund_establishment_date_fund",B5)</f>
        <v>2018-11-08</v>
      </c>
      <c r="AK5" s="120" t="str">
        <f>[1]!thsiFinD("ths_fund_basement_fund",B5,1)</f>
        <v>CBA07703.CB</v>
      </c>
    </row>
    <row r="6" spans="1:38">
      <c r="A6" s="189"/>
      <c r="B6" s="128" t="s">
        <v>410</v>
      </c>
      <c r="C6" s="129" t="str">
        <f>[1]!thsiFinD("ths_fund_short_name_fund",B6)</f>
        <v>国泰中债1-3年国开行债券指数A</v>
      </c>
      <c r="D6" s="190">
        <f>[1]!thsiFinD("ths_mergesize_fund",B6,"2026-06-09")/100000000</f>
        <v>46.778509030500004</v>
      </c>
      <c r="E6" s="128" t="str">
        <f>[1]!thsiFinD("ths_fund_manager_current_fund",B6)</f>
        <v>索峰,王振扬,王玉</v>
      </c>
      <c r="F6" s="130" t="str">
        <f t="shared" si="1"/>
        <v>2020-08-27</v>
      </c>
      <c r="G6" s="191">
        <f t="shared" si="0"/>
        <v>8.7404098419678004E-4</v>
      </c>
      <c r="H6" s="191">
        <f t="shared" si="0"/>
        <v>5.5615181773172994E-3</v>
      </c>
      <c r="I6" s="191">
        <f t="shared" si="0"/>
        <v>1.0853979885883E-2</v>
      </c>
      <c r="J6" s="131">
        <f t="shared" si="0"/>
        <v>1.8354435203987E-2</v>
      </c>
      <c r="K6" s="131">
        <f t="shared" si="0"/>
        <v>4.6740596268217E-2</v>
      </c>
      <c r="L6" s="131">
        <f t="shared" si="0"/>
        <v>8.4652470036641003E-2</v>
      </c>
      <c r="M6" s="131">
        <f t="shared" si="2"/>
        <v>3.0271582225984472E-2</v>
      </c>
      <c r="N6" s="131">
        <f t="shared" si="3"/>
        <v>3.4058919710333591E-2</v>
      </c>
      <c r="O6" s="131">
        <f t="shared" si="4"/>
        <v>3.5963692940780723E-2</v>
      </c>
      <c r="P6" s="132" t="e">
        <f t="shared" si="5"/>
        <v>#DIV/0!</v>
      </c>
      <c r="Q6" s="132" t="e">
        <f t="shared" si="6"/>
        <v>#DIV/0!</v>
      </c>
      <c r="R6" s="132" t="e">
        <f t="shared" si="7"/>
        <v>#DIV/0!</v>
      </c>
      <c r="S6" s="132">
        <f>[1]!thsiFinD("ths_adjustment_nvg_ratio_fund",$B6,S$1,S$2,101)</f>
        <v>8.7404098419678E-2</v>
      </c>
      <c r="T6" s="132">
        <f>[1]!thsiFinD("ths_adjustment_nvg_ratio_fund",$B6,T$1,T$2,101)</f>
        <v>0.55615181773172995</v>
      </c>
      <c r="U6" s="133">
        <f>[1]!thsiFinD("ths_adjustment_nvg_ratio_fund",$B6,U$1,U$2,101)</f>
        <v>1.0853979885883001</v>
      </c>
      <c r="V6" s="132">
        <f>[1]!thsiFinD("ths_adjustment_nvg_ratio_fund",$B6,V$1,V$2,101)</f>
        <v>1.8354435203987001</v>
      </c>
      <c r="W6" s="132">
        <f>[1]!thsiFinD("ths_adjustment_nvg_ratio_fund",$B6,W$1,W$2,101)</f>
        <v>4.6740596268217001</v>
      </c>
      <c r="X6" s="132">
        <f>[1]!thsiFinD("ths_adjustment_nvg_ratio_fund",$B6,X$1,X$2,101)</f>
        <v>8.4652470036640999</v>
      </c>
      <c r="Y6" s="133">
        <f>[1]!thsiFinD("ths_adjustment_nvg_ratio_fund",$B6,Y$1,Y$2,101)</f>
        <v>1.2156397925594</v>
      </c>
      <c r="Z6" s="133">
        <f>[1]!thsiFinD("ths_adjustment_nvg_ratio_fund",$B6,Z$1,Z$2,101)</f>
        <v>4.2867794534844004</v>
      </c>
      <c r="AA6" s="133">
        <f>[1]!thsiFinD("ths_adjustment_nvg_ratio_fund",$B6,AA$1,AA$2,101)</f>
        <v>2.9312063816982001</v>
      </c>
      <c r="AB6" s="133">
        <f>[1]!thsiFinD("ths_adjustment_nvg_ratio_fund",$B6,AB$1,AB$2,101)</f>
        <v>2.7163536549848</v>
      </c>
      <c r="AC6" s="134">
        <f>(1+([1]!thsiFinD("ths_adjustment_nvg_ratio_fund",$B6,AC$1,AC$2,101)-[1]!thsiFinD("ths_int_chg_ratio_index",$AK6,AC$1,AC$2,101))/100)^(365/(AC$2-AC$1))-1</f>
        <v>3.0271582225984472E-2</v>
      </c>
      <c r="AD6" s="134">
        <f>[1]!thsiFinD("ths_tracking_error_annual_fund",$B6,AD$1,AD$2,100,101,$AK6)/100</f>
        <v>0</v>
      </c>
      <c r="AE6" s="134">
        <f>(1+([1]!thsiFinD("ths_adjustment_nvg_ratio_fund",$B6,AE$1,AE$2,101)-[1]!thsiFinD("ths_int_chg_ratio_index",$AK6,AE$1,AE$2,101))/100)^(365/(AE$2-AE$1))-1</f>
        <v>3.4058919710333591E-2</v>
      </c>
      <c r="AF6" s="134">
        <f>[1]!thsiFinD("ths_tracking_error_annual_fund",$B6,AF$1,AF$2,100,101,$AK6)/100</f>
        <v>0</v>
      </c>
      <c r="AG6" s="134">
        <f>(1+([1]!thsiFinD("ths_adjustment_nvg_ratio_fund",$B6,AG$1,AG$2,101)-[1]!thsiFinD("ths_int_chg_ratio_index",$AK6,AG$1,AG$2,101))/100)^(365/(AG$2-AG$1))-1</f>
        <v>3.5963692940780723E-2</v>
      </c>
      <c r="AH6" s="134">
        <f>[1]!thsiFinD("ths_tracking_error_annual_fund",$B6,AH$1,AH$2,100,101,$AK6)/100</f>
        <v>0</v>
      </c>
      <c r="AI6" s="135" t="str">
        <f>[1]!thsiFinD("ths_service_start_fund",B6,100,1,101)</f>
        <v>2020-09-04</v>
      </c>
      <c r="AJ6" s="136" t="str">
        <f>[1]!thsiFinD("ths_fund_establishment_date_fund",B6)</f>
        <v>2020-08-27</v>
      </c>
      <c r="AK6" s="120" t="str">
        <f>[1]!thsiFinD("ths_fund_basement_fund",B6,1)</f>
        <v>CBA07703.CB</v>
      </c>
    </row>
    <row r="7" spans="1:38">
      <c r="A7" s="189"/>
      <c r="B7" s="138" t="s">
        <v>411</v>
      </c>
      <c r="C7" s="139" t="str">
        <f>[1]!thsiFinD("ths_fund_short_name_fund",B7)</f>
        <v>嘉实中债3-5年国开行债券指数A</v>
      </c>
      <c r="D7" s="192">
        <f>[1]!thsiFinD("ths_mergesize_fund",B7,"2026-06-09")/100000000</f>
        <v>20.115206937300002</v>
      </c>
      <c r="E7" s="138" t="str">
        <f>[1]!thsiFinD("ths_fund_manager_current_fund",B7)</f>
        <v>张文玥</v>
      </c>
      <c r="F7" s="140" t="str">
        <f t="shared" si="1"/>
        <v>2019-12-16</v>
      </c>
      <c r="G7" s="193">
        <f t="shared" si="0"/>
        <v>1.5309540333826998E-3</v>
      </c>
      <c r="H7" s="193">
        <f t="shared" si="0"/>
        <v>1.0582510593123999E-2</v>
      </c>
      <c r="I7" s="193">
        <f t="shared" si="0"/>
        <v>1.9957569158851999E-2</v>
      </c>
      <c r="J7" s="131">
        <f t="shared" si="0"/>
        <v>2.2908387466749999E-2</v>
      </c>
      <c r="K7" s="131">
        <f t="shared" si="0"/>
        <v>6.2052609982150002E-2</v>
      </c>
      <c r="L7" s="131">
        <f t="shared" si="0"/>
        <v>9.9189571420534015E-2</v>
      </c>
      <c r="M7" s="131">
        <f t="shared" si="2"/>
        <v>2.8096322035811472E-2</v>
      </c>
      <c r="N7" s="131">
        <f t="shared" si="3"/>
        <v>3.1990807992823056E-2</v>
      </c>
      <c r="O7" s="131">
        <f t="shared" si="4"/>
        <v>3.0787007530454602E-2</v>
      </c>
      <c r="P7" s="132" t="e">
        <f t="shared" si="5"/>
        <v>#DIV/0!</v>
      </c>
      <c r="Q7" s="132" t="e">
        <f t="shared" si="6"/>
        <v>#DIV/0!</v>
      </c>
      <c r="R7" s="132" t="e">
        <f t="shared" si="7"/>
        <v>#DIV/0!</v>
      </c>
      <c r="S7" s="132">
        <f>[1]!thsiFinD("ths_adjustment_nvg_ratio_fund",$B7,S$1,S$2,101)</f>
        <v>0.15309540333826999</v>
      </c>
      <c r="T7" s="132">
        <f>[1]!thsiFinD("ths_adjustment_nvg_ratio_fund",$B7,T$1,T$2,101)</f>
        <v>1.0582510593123999</v>
      </c>
      <c r="U7" s="133">
        <f>[1]!thsiFinD("ths_adjustment_nvg_ratio_fund",$B7,U$1,U$2,101)</f>
        <v>1.9957569158852</v>
      </c>
      <c r="V7" s="132">
        <f>[1]!thsiFinD("ths_adjustment_nvg_ratio_fund",$B7,V$1,V$2,101)</f>
        <v>2.290838746675</v>
      </c>
      <c r="W7" s="132">
        <f>[1]!thsiFinD("ths_adjustment_nvg_ratio_fund",$B7,W$1,W$2,101)</f>
        <v>6.2052609982150004</v>
      </c>
      <c r="X7" s="132">
        <f>[1]!thsiFinD("ths_adjustment_nvg_ratio_fund",$B7,X$1,X$2,101)</f>
        <v>9.9189571420534008</v>
      </c>
      <c r="Y7" s="133">
        <f>[1]!thsiFinD("ths_adjustment_nvg_ratio_fund",$B7,Y$1,Y$2,101)</f>
        <v>0.24332958156918</v>
      </c>
      <c r="Z7" s="133">
        <f>[1]!thsiFinD("ths_adjustment_nvg_ratio_fund",$B7,Z$1,Z$2,101)</f>
        <v>6.0033297682570002</v>
      </c>
      <c r="AA7" s="133">
        <f>[1]!thsiFinD("ths_adjustment_nvg_ratio_fund",$B7,AA$1,AA$2,101)</f>
        <v>2.5915456232751</v>
      </c>
      <c r="AB7" s="133">
        <f>[1]!thsiFinD("ths_adjustment_nvg_ratio_fund",$B7,AB$1,AB$2,101)</f>
        <v>2.7317679197084002</v>
      </c>
      <c r="AC7" s="134">
        <f>(1+([1]!thsiFinD("ths_adjustment_nvg_ratio_fund",$B7,AC$1,AC$2,101)-[1]!thsiFinD("ths_int_chg_ratio_index",$AK7,AC$1,AC$2,101))/100)^(365/(AC$2-AC$1))-1</f>
        <v>2.8096322035811472E-2</v>
      </c>
      <c r="AD7" s="134">
        <f>[1]!thsiFinD("ths_tracking_error_annual_fund",$B7,AD$1,AD$2,100,101,$AK7)/100</f>
        <v>0</v>
      </c>
      <c r="AE7" s="134">
        <f>(1+([1]!thsiFinD("ths_adjustment_nvg_ratio_fund",$B7,AE$1,AE$2,101)-[1]!thsiFinD("ths_int_chg_ratio_index",$AK7,AE$1,AE$2,101))/100)^(365/(AE$2-AE$1))-1</f>
        <v>3.1990807992823056E-2</v>
      </c>
      <c r="AF7" s="134">
        <f>[1]!thsiFinD("ths_tracking_error_annual_fund",$B7,AF$1,AF$2,100,101,$AK7)/100</f>
        <v>0</v>
      </c>
      <c r="AG7" s="134">
        <f>(1+([1]!thsiFinD("ths_adjustment_nvg_ratio_fund",$B7,AG$1,AG$2,101)-[1]!thsiFinD("ths_int_chg_ratio_index",$AK7,AG$1,AG$2,101))/100)^(365/(AG$2-AG$1))-1</f>
        <v>3.0787007530454602E-2</v>
      </c>
      <c r="AH7" s="134">
        <f>[1]!thsiFinD("ths_tracking_error_annual_fund",$B7,AH$1,AH$2,100,101,$AK7)/100</f>
        <v>0</v>
      </c>
      <c r="AI7" s="135" t="str">
        <f>[1]!thsiFinD("ths_service_start_fund",B7,100,1,101)</f>
        <v>2024-12-31</v>
      </c>
      <c r="AJ7" s="136" t="str">
        <f>[1]!thsiFinD("ths_fund_establishment_date_fund",B7)</f>
        <v>2019-12-16</v>
      </c>
      <c r="AK7" s="120" t="str">
        <f>[1]!thsiFinD("ths_fund_basement_fund",B7,1)</f>
        <v>CBA06303.CB</v>
      </c>
    </row>
    <row r="8" spans="1:38">
      <c r="A8" s="189"/>
      <c r="B8" s="128" t="s">
        <v>412</v>
      </c>
      <c r="C8" s="129" t="str">
        <f>[1]!thsiFinD("ths_fund_short_name_fund",B8)</f>
        <v>长城中债3-5年国开行债券指数C</v>
      </c>
      <c r="D8" s="190">
        <f>[1]!thsiFinD("ths_mergesize_fund",B8,"2026-06-09")/100000000</f>
        <v>24.282456056100003</v>
      </c>
      <c r="E8" s="128" t="str">
        <f>[1]!thsiFinD("ths_fund_manager_current_fund",B8)</f>
        <v>张棪</v>
      </c>
      <c r="F8" s="130" t="str">
        <f t="shared" si="1"/>
        <v>2020-11-19</v>
      </c>
      <c r="G8" s="191">
        <f t="shared" si="0"/>
        <v>8.2223318533145007E-4</v>
      </c>
      <c r="H8" s="191">
        <f t="shared" si="0"/>
        <v>8.2001159612358002E-3</v>
      </c>
      <c r="I8" s="191">
        <f t="shared" si="0"/>
        <v>1.7215443757311998E-2</v>
      </c>
      <c r="J8" s="131">
        <f t="shared" si="0"/>
        <v>2.1312300721597999E-2</v>
      </c>
      <c r="K8" s="131">
        <f t="shared" si="0"/>
        <v>6.9126043039086996E-2</v>
      </c>
      <c r="L8" s="131">
        <f t="shared" si="0"/>
        <v>0.12019142278667</v>
      </c>
      <c r="M8" s="131">
        <f t="shared" si="2"/>
        <v>2.6662125164196748E-2</v>
      </c>
      <c r="N8" s="131">
        <f t="shared" si="3"/>
        <v>3.5218572343345578E-2</v>
      </c>
      <c r="O8" s="131">
        <f t="shared" si="4"/>
        <v>3.7069618330478393E-2</v>
      </c>
      <c r="P8" s="132" t="e">
        <f t="shared" si="5"/>
        <v>#DIV/0!</v>
      </c>
      <c r="Q8" s="132" t="e">
        <f t="shared" si="6"/>
        <v>#DIV/0!</v>
      </c>
      <c r="R8" s="132" t="e">
        <f t="shared" si="7"/>
        <v>#DIV/0!</v>
      </c>
      <c r="S8" s="132">
        <f>[1]!thsiFinD("ths_adjustment_nvg_ratio_fund",$B8,S$1,S$2,101)</f>
        <v>8.2223318533145004E-2</v>
      </c>
      <c r="T8" s="132">
        <f>[1]!thsiFinD("ths_adjustment_nvg_ratio_fund",$B8,T$1,T$2,101)</f>
        <v>0.82001159612357999</v>
      </c>
      <c r="U8" s="133">
        <f>[1]!thsiFinD("ths_adjustment_nvg_ratio_fund",$B8,U$1,U$2,101)</f>
        <v>1.7215443757311999</v>
      </c>
      <c r="V8" s="132">
        <f>[1]!thsiFinD("ths_adjustment_nvg_ratio_fund",$B8,V$1,V$2,101)</f>
        <v>2.1312300721597999</v>
      </c>
      <c r="W8" s="132">
        <f>[1]!thsiFinD("ths_adjustment_nvg_ratio_fund",$B8,W$1,W$2,101)</f>
        <v>6.9126043039087</v>
      </c>
      <c r="X8" s="132">
        <f>[1]!thsiFinD("ths_adjustment_nvg_ratio_fund",$B8,X$1,X$2,101)</f>
        <v>12.019142278666999</v>
      </c>
      <c r="Y8" s="133">
        <f>[1]!thsiFinD("ths_adjustment_nvg_ratio_fund",$B8,Y$1,Y$2,101)</f>
        <v>0.52083333333335002</v>
      </c>
      <c r="Z8" s="133">
        <f>[1]!thsiFinD("ths_adjustment_nvg_ratio_fund",$B8,Z$1,Z$2,101)</f>
        <v>7.8749433620299003</v>
      </c>
      <c r="AA8" s="133">
        <f>[1]!thsiFinD("ths_adjustment_nvg_ratio_fund",$B8,AA$1,AA$2,101)</f>
        <v>2.9864675688286999</v>
      </c>
      <c r="AB8" s="133">
        <f>[1]!thsiFinD("ths_adjustment_nvg_ratio_fund",$B8,AB$1,AB$2,101)</f>
        <v>2.722653628607</v>
      </c>
      <c r="AC8" s="134">
        <f>(1+([1]!thsiFinD("ths_adjustment_nvg_ratio_fund",$B8,AC$1,AC$2,101)-[1]!thsiFinD("ths_int_chg_ratio_index",$AK8,AC$1,AC$2,101))/100)^(365/(AC$2-AC$1))-1</f>
        <v>2.6662125164196748E-2</v>
      </c>
      <c r="AD8" s="134">
        <f>[1]!thsiFinD("ths_tracking_error_annual_fund",$B8,AD$1,AD$2,100,101,$AK8)/100</f>
        <v>0</v>
      </c>
      <c r="AE8" s="134">
        <f>(1+([1]!thsiFinD("ths_adjustment_nvg_ratio_fund",$B8,AE$1,AE$2,101)-[1]!thsiFinD("ths_int_chg_ratio_index",$AK8,AE$1,AE$2,101))/100)^(365/(AE$2-AE$1))-1</f>
        <v>3.5218572343345578E-2</v>
      </c>
      <c r="AF8" s="134">
        <f>[1]!thsiFinD("ths_tracking_error_annual_fund",$B8,AF$1,AF$2,100,101,$AK8)/100</f>
        <v>0</v>
      </c>
      <c r="AG8" s="134">
        <f>(1+([1]!thsiFinD("ths_adjustment_nvg_ratio_fund",$B8,AG$1,AG$2,101)-[1]!thsiFinD("ths_int_chg_ratio_index",$AK8,AG$1,AG$2,101))/100)^(365/(AG$2-AG$1))-1</f>
        <v>3.7069618330478393E-2</v>
      </c>
      <c r="AH8" s="134">
        <f>[1]!thsiFinD("ths_tracking_error_annual_fund",$B8,AH$1,AH$2,100,101,$AK8)/100</f>
        <v>0</v>
      </c>
      <c r="AI8" s="135" t="str">
        <f>[1]!thsiFinD("ths_service_start_fund",B8,100,1,101)</f>
        <v>2020-11-19</v>
      </c>
      <c r="AJ8" s="136" t="str">
        <f>[1]!thsiFinD("ths_fund_establishment_date_fund",B8)</f>
        <v>2020-11-19</v>
      </c>
      <c r="AK8" s="120" t="str">
        <f>[1]!thsiFinD("ths_fund_basement_fund",B8,1)</f>
        <v>CBA06303.CB</v>
      </c>
    </row>
    <row r="9" spans="1:38">
      <c r="A9" s="189"/>
      <c r="B9" s="128" t="s">
        <v>413</v>
      </c>
      <c r="C9" s="129" t="str">
        <f>[1]!thsiFinD("ths_fund_short_name_fund",B9)</f>
        <v>广发中债7-10年期国开行债券指数A</v>
      </c>
      <c r="D9" s="190">
        <f>[1]!thsiFinD("ths_mergesize_fund",B9,"2026-06-09")/100000000</f>
        <v>152.32409362549998</v>
      </c>
      <c r="E9" s="128" t="str">
        <f>[1]!thsiFinD("ths_fund_manager_current_fund",B9)</f>
        <v>吴迪,古渥</v>
      </c>
      <c r="F9" s="130" t="str">
        <f t="shared" si="1"/>
        <v>2016-09-26</v>
      </c>
      <c r="G9" s="191">
        <f t="shared" si="0"/>
        <v>2.4026210780585E-3</v>
      </c>
      <c r="H9" s="191">
        <f t="shared" si="0"/>
        <v>1.8418522081630001E-2</v>
      </c>
      <c r="I9" s="191">
        <f t="shared" si="0"/>
        <v>3.2780736634330003E-2</v>
      </c>
      <c r="J9" s="131">
        <f t="shared" si="0"/>
        <v>2.7999701328051997E-2</v>
      </c>
      <c r="K9" s="131">
        <f t="shared" si="0"/>
        <v>0.10020776731479999</v>
      </c>
      <c r="L9" s="131">
        <f t="shared" si="0"/>
        <v>0.17643519975949001</v>
      </c>
      <c r="M9" s="131">
        <f t="shared" si="2"/>
        <v>2.2658361543512751E-3</v>
      </c>
      <c r="N9" s="131">
        <f t="shared" si="3"/>
        <v>3.1471748474085626E-3</v>
      </c>
      <c r="O9" s="131">
        <f t="shared" si="4"/>
        <v>4.2564939857436812E-3</v>
      </c>
      <c r="P9" s="132" t="e">
        <f t="shared" si="5"/>
        <v>#DIV/0!</v>
      </c>
      <c r="Q9" s="132" t="e">
        <f t="shared" si="6"/>
        <v>#DIV/0!</v>
      </c>
      <c r="R9" s="132" t="e">
        <f t="shared" si="7"/>
        <v>#DIV/0!</v>
      </c>
      <c r="S9" s="132">
        <f>[1]!thsiFinD("ths_adjustment_nvg_ratio_fund",$B9,S$1,S$2,101)</f>
        <v>0.24026210780585</v>
      </c>
      <c r="T9" s="132">
        <f>[1]!thsiFinD("ths_adjustment_nvg_ratio_fund",$B9,T$1,T$2,101)</f>
        <v>1.841852208163</v>
      </c>
      <c r="U9" s="133">
        <f>[1]!thsiFinD("ths_adjustment_nvg_ratio_fund",$B9,U$1,U$2,101)</f>
        <v>3.2780736634330001</v>
      </c>
      <c r="V9" s="132">
        <f>[1]!thsiFinD("ths_adjustment_nvg_ratio_fund",$B9,V$1,V$2,101)</f>
        <v>2.7999701328051998</v>
      </c>
      <c r="W9" s="132">
        <f>[1]!thsiFinD("ths_adjustment_nvg_ratio_fund",$B9,W$1,W$2,101)</f>
        <v>10.02077673148</v>
      </c>
      <c r="X9" s="132">
        <f>[1]!thsiFinD("ths_adjustment_nvg_ratio_fund",$B9,X$1,X$2,101)</f>
        <v>17.643519975949001</v>
      </c>
      <c r="Y9" s="133">
        <f>[1]!thsiFinD("ths_adjustment_nvg_ratio_fund",$B9,Y$1,Y$2,101)</f>
        <v>-0.28423965689854003</v>
      </c>
      <c r="Z9" s="133">
        <f>[1]!thsiFinD("ths_adjustment_nvg_ratio_fund",$B9,Z$1,Z$2,101)</f>
        <v>10.890842731620999</v>
      </c>
      <c r="AA9" s="133">
        <f>[1]!thsiFinD("ths_adjustment_nvg_ratio_fund",$B9,AA$1,AA$2,101)</f>
        <v>5.4771626938575002</v>
      </c>
      <c r="AB9" s="133">
        <f>[1]!thsiFinD("ths_adjustment_nvg_ratio_fund",$B9,AB$1,AB$2,101)</f>
        <v>4.0387182950896996</v>
      </c>
      <c r="AC9" s="134">
        <f>(1+([1]!thsiFinD("ths_adjustment_nvg_ratio_fund",$B9,AC$1,AC$2,101)-[1]!thsiFinD("ths_int_chg_ratio_index",$AK9,AC$1,AC$2,101))/100)^(365/(AC$2-AC$1))-1</f>
        <v>2.2658361543512751E-3</v>
      </c>
      <c r="AD9" s="134">
        <f>[1]!thsiFinD("ths_tracking_error_annual_fund",$B9,AD$1,AD$2,100,101,$AK9)/100</f>
        <v>0</v>
      </c>
      <c r="AE9" s="134">
        <f>(1+([1]!thsiFinD("ths_adjustment_nvg_ratio_fund",$B9,AE$1,AE$2,101)-[1]!thsiFinD("ths_int_chg_ratio_index",$AK9,AE$1,AE$2,101))/100)^(365/(AE$2-AE$1))-1</f>
        <v>3.1471748474085626E-3</v>
      </c>
      <c r="AF9" s="134">
        <f>[1]!thsiFinD("ths_tracking_error_annual_fund",$B9,AF$1,AF$2,100,101,$AK9)/100</f>
        <v>0</v>
      </c>
      <c r="AG9" s="134">
        <f>(1+([1]!thsiFinD("ths_adjustment_nvg_ratio_fund",$B9,AG$1,AG$2,101)-[1]!thsiFinD("ths_int_chg_ratio_index",$AK9,AG$1,AG$2,101))/100)^(365/(AG$2-AG$1))-1</f>
        <v>4.2564939857436812E-3</v>
      </c>
      <c r="AH9" s="134">
        <f>[1]!thsiFinD("ths_tracking_error_annual_fund",$B9,AH$1,AH$2,100,101,$AK9)/100</f>
        <v>0</v>
      </c>
      <c r="AI9" s="135" t="str">
        <f>[1]!thsiFinD("ths_service_start_fund",B9,100,1,101)</f>
        <v>2022-02-28</v>
      </c>
      <c r="AJ9" s="136" t="str">
        <f>[1]!thsiFinD("ths_fund_establishment_date_fund",B9)</f>
        <v>2016-09-26</v>
      </c>
      <c r="AK9" s="120" t="str">
        <f>[1]!thsiFinD("ths_fund_basement_fund",B9,1)</f>
        <v>CBA05201.CB</v>
      </c>
    </row>
    <row r="10" spans="1:38">
      <c r="A10" s="189"/>
      <c r="B10" s="128" t="s">
        <v>414</v>
      </c>
      <c r="C10" s="129" t="str">
        <f>[1]!thsiFinD("ths_fund_short_name_fund",B10)</f>
        <v>易方达中债7-10年期国开行债券指数C</v>
      </c>
      <c r="D10" s="190">
        <f>[1]!thsiFinD("ths_mergesize_fund",B10,"2026-06-09")/100000000</f>
        <v>74.524734877699998</v>
      </c>
      <c r="E10" s="128" t="str">
        <f>[1]!thsiFinD("ths_fund_manager_current_fund",B10)</f>
        <v>杨真</v>
      </c>
      <c r="F10" s="130" t="str">
        <f t="shared" si="1"/>
        <v>2020-07-07</v>
      </c>
      <c r="G10" s="191">
        <f t="shared" si="0"/>
        <v>2.0810177230418002E-3</v>
      </c>
      <c r="H10" s="191">
        <f t="shared" si="0"/>
        <v>1.6640197062629002E-2</v>
      </c>
      <c r="I10" s="191">
        <f t="shared" si="0"/>
        <v>2.9809919052765997E-2</v>
      </c>
      <c r="J10" s="131">
        <f t="shared" si="0"/>
        <v>2.2965698915455E-2</v>
      </c>
      <c r="K10" s="131">
        <f t="shared" si="0"/>
        <v>8.4461955303283001E-2</v>
      </c>
      <c r="L10" s="131">
        <f t="shared" si="0"/>
        <v>0.15275478948989002</v>
      </c>
      <c r="M10" s="131">
        <f t="shared" si="2"/>
        <v>-2.2709824937912071E-3</v>
      </c>
      <c r="N10" s="131">
        <f t="shared" si="3"/>
        <v>-4.3118976916490803E-3</v>
      </c>
      <c r="O10" s="131">
        <f t="shared" si="4"/>
        <v>-3.3379747944324301E-3</v>
      </c>
      <c r="P10" s="132" t="e">
        <f t="shared" si="5"/>
        <v>#DIV/0!</v>
      </c>
      <c r="Q10" s="132" t="e">
        <f t="shared" si="6"/>
        <v>#DIV/0!</v>
      </c>
      <c r="R10" s="132" t="e">
        <f t="shared" si="7"/>
        <v>#DIV/0!</v>
      </c>
      <c r="S10" s="132">
        <f>[1]!thsiFinD("ths_adjustment_nvg_ratio_fund",$B10,S$1,S$2,101)</f>
        <v>0.20810177230418</v>
      </c>
      <c r="T10" s="132">
        <f>[1]!thsiFinD("ths_adjustment_nvg_ratio_fund",$B10,T$1,T$2,101)</f>
        <v>1.6640197062629001</v>
      </c>
      <c r="U10" s="133">
        <f>[1]!thsiFinD("ths_adjustment_nvg_ratio_fund",$B10,U$1,U$2,101)</f>
        <v>2.9809919052765999</v>
      </c>
      <c r="V10" s="132">
        <f>[1]!thsiFinD("ths_adjustment_nvg_ratio_fund",$B10,V$1,V$2,101)</f>
        <v>2.2965698915455</v>
      </c>
      <c r="W10" s="132">
        <f>[1]!thsiFinD("ths_adjustment_nvg_ratio_fund",$B10,W$1,W$2,101)</f>
        <v>8.4461955303282998</v>
      </c>
      <c r="X10" s="132">
        <f>[1]!thsiFinD("ths_adjustment_nvg_ratio_fund",$B10,X$1,X$2,101)</f>
        <v>15.275478948989001</v>
      </c>
      <c r="Y10" s="133">
        <f>[1]!thsiFinD("ths_adjustment_nvg_ratio_fund",$B10,Y$1,Y$2,101)</f>
        <v>-0.47616075342865999</v>
      </c>
      <c r="Z10" s="133">
        <f>[1]!thsiFinD("ths_adjustment_nvg_ratio_fund",$B10,Z$1,Z$2,101)</f>
        <v>9.4771148869442996</v>
      </c>
      <c r="AA10" s="133">
        <f>[1]!thsiFinD("ths_adjustment_nvg_ratio_fund",$B10,AA$1,AA$2,101)</f>
        <v>5.0274569868445997</v>
      </c>
      <c r="AB10" s="133">
        <f>[1]!thsiFinD("ths_adjustment_nvg_ratio_fund",$B10,AB$1,AB$2,101)</f>
        <v>3.4885660621677999</v>
      </c>
      <c r="AC10" s="134">
        <f>(1+([1]!thsiFinD("ths_adjustment_nvg_ratio_fund",$B10,AC$1,AC$2,101)-[1]!thsiFinD("ths_int_chg_ratio_index",$AK10,AC$1,AC$2,101))/100)^(365/(AC$2-AC$1))-1</f>
        <v>-2.2709824937912071E-3</v>
      </c>
      <c r="AD10" s="134">
        <f>[1]!thsiFinD("ths_tracking_error_annual_fund",$B10,AD$1,AD$2,100,101,$AK10)/100</f>
        <v>0</v>
      </c>
      <c r="AE10" s="134">
        <f>(1+([1]!thsiFinD("ths_adjustment_nvg_ratio_fund",$B10,AE$1,AE$2,101)-[1]!thsiFinD("ths_int_chg_ratio_index",$AK10,AE$1,AE$2,101))/100)^(365/(AE$2-AE$1))-1</f>
        <v>-4.3118976916490803E-3</v>
      </c>
      <c r="AF10" s="134">
        <f>[1]!thsiFinD("ths_tracking_error_annual_fund",$B10,AF$1,AF$2,100,101,$AK10)/100</f>
        <v>0</v>
      </c>
      <c r="AG10" s="134">
        <f>(1+([1]!thsiFinD("ths_adjustment_nvg_ratio_fund",$B10,AG$1,AG$2,101)-[1]!thsiFinD("ths_int_chg_ratio_index",$AK10,AG$1,AG$2,101))/100)^(365/(AG$2-AG$1))-1</f>
        <v>-3.3379747944324301E-3</v>
      </c>
      <c r="AH10" s="134">
        <f>[1]!thsiFinD("ths_tracking_error_annual_fund",$B10,AH$1,AH$2,100,101,$AK10)/100</f>
        <v>0</v>
      </c>
      <c r="AI10" s="135" t="str">
        <f>[1]!thsiFinD("ths_service_start_fund",B10,100,1,101)</f>
        <v>2020-11-28</v>
      </c>
      <c r="AJ10" s="136" t="str">
        <f>[1]!thsiFinD("ths_fund_establishment_date_fund",B10)</f>
        <v>2020-07-07</v>
      </c>
      <c r="AK10" s="120" t="str">
        <f>[1]!thsiFinD("ths_fund_basement_fund",B10,1)</f>
        <v>CBA05201.CB</v>
      </c>
    </row>
    <row r="11" spans="1:38">
      <c r="A11" s="189"/>
      <c r="B11" s="128" t="s">
        <v>415</v>
      </c>
      <c r="C11" s="129" t="str">
        <f>[1]!thsiFinD("ths_fund_short_name_fund",B11)</f>
        <v>易方达中债优选投资级信用债指数发起式A</v>
      </c>
      <c r="D11" s="190">
        <f>[1]!thsiFinD("ths_mergesize_fund",B11,"2026-06-09")/100000000</f>
        <v>166.90853551090001</v>
      </c>
      <c r="E11" s="128" t="str">
        <f>[1]!thsiFinD("ths_fund_manager_current_fund",B11)</f>
        <v>李冠霖,杨真</v>
      </c>
      <c r="F11" s="130" t="str">
        <f t="shared" si="1"/>
        <v>2023-10-25</v>
      </c>
      <c r="G11" s="191">
        <f t="shared" si="0"/>
        <v>1.6388700837212001E-3</v>
      </c>
      <c r="H11" s="191">
        <f t="shared" si="0"/>
        <v>9.7786307355556996E-3</v>
      </c>
      <c r="I11" s="191">
        <f t="shared" si="0"/>
        <v>1.9810521251863E-2</v>
      </c>
      <c r="J11" s="131">
        <f t="shared" si="0"/>
        <v>2.5765461290815E-2</v>
      </c>
      <c r="K11" s="131">
        <f t="shared" si="0"/>
        <v>5.7668509021499004E-2</v>
      </c>
      <c r="L11" s="131">
        <f t="shared" si="0"/>
        <v>0</v>
      </c>
      <c r="M11" s="131">
        <f t="shared" si="2"/>
        <v>-2.7018277978317906E-3</v>
      </c>
      <c r="N11" s="131">
        <f t="shared" si="3"/>
        <v>-3.6176353938249806E-3</v>
      </c>
      <c r="O11" s="131">
        <f t="shared" si="4"/>
        <v>-3.9159373953115972E-2</v>
      </c>
      <c r="P11" s="132" t="e">
        <f t="shared" si="5"/>
        <v>#DIV/0!</v>
      </c>
      <c r="Q11" s="132" t="e">
        <f t="shared" si="6"/>
        <v>#DIV/0!</v>
      </c>
      <c r="R11" s="132" t="e">
        <f t="shared" si="7"/>
        <v>#DIV/0!</v>
      </c>
      <c r="S11" s="132">
        <f>[1]!thsiFinD("ths_adjustment_nvg_ratio_fund",$B11,S$1,S$2,101)</f>
        <v>0.16388700837212</v>
      </c>
      <c r="T11" s="132">
        <f>[1]!thsiFinD("ths_adjustment_nvg_ratio_fund",$B11,T$1,T$2,101)</f>
        <v>0.97786307355557001</v>
      </c>
      <c r="U11" s="133">
        <f>[1]!thsiFinD("ths_adjustment_nvg_ratio_fund",$B11,U$1,U$2,101)</f>
        <v>1.9810521251863</v>
      </c>
      <c r="V11" s="132">
        <f>[1]!thsiFinD("ths_adjustment_nvg_ratio_fund",$B11,V$1,V$2,101)</f>
        <v>2.5765461290815002</v>
      </c>
      <c r="W11" s="132">
        <f>[1]!thsiFinD("ths_adjustment_nvg_ratio_fund",$B11,W$1,W$2,101)</f>
        <v>5.7668509021499004</v>
      </c>
      <c r="X11" s="132">
        <f>[1]!thsiFinD("ths_adjustment_nvg_ratio_fund",$B11,X$1,X$2,101)</f>
        <v>0</v>
      </c>
      <c r="Y11" s="133">
        <f>[1]!thsiFinD("ths_adjustment_nvg_ratio_fund",$B11,Y$1,Y$2,101)</f>
        <v>1.0243112166302</v>
      </c>
      <c r="Z11" s="133">
        <f>[1]!thsiFinD("ths_adjustment_nvg_ratio_fund",$B11,Z$1,Z$2,101)</f>
        <v>5.0070496477126003</v>
      </c>
      <c r="AA11" s="133">
        <f>[1]!thsiFinD("ths_adjustment_nvg_ratio_fund",$B11,AA$1,AA$2,101)</f>
        <v>0</v>
      </c>
      <c r="AB11" s="133">
        <f>[1]!thsiFinD("ths_adjustment_nvg_ratio_fund",$B11,AB$1,AB$2,101)</f>
        <v>0</v>
      </c>
      <c r="AC11" s="134">
        <f>(1+([1]!thsiFinD("ths_adjustment_nvg_ratio_fund",$B11,AC$1,AC$2,101)-[1]!thsiFinD("ths_int_chg_ratio_index",$AK11,AC$1,AC$2,101))/100)^(365/(AC$2-AC$1))-1</f>
        <v>-2.7018277978317906E-3</v>
      </c>
      <c r="AD11" s="134">
        <f>[1]!thsiFinD("ths_tracking_error_annual_fund",$B11,AD$1,AD$2,100,101,$AK11)/100</f>
        <v>0</v>
      </c>
      <c r="AE11" s="134">
        <f>(1+([1]!thsiFinD("ths_adjustment_nvg_ratio_fund",$B11,AE$1,AE$2,101)-[1]!thsiFinD("ths_int_chg_ratio_index",$AK11,AE$1,AE$2,101))/100)^(365/(AE$2-AE$1))-1</f>
        <v>-3.6176353938249806E-3</v>
      </c>
      <c r="AF11" s="134">
        <f>[1]!thsiFinD("ths_tracking_error_annual_fund",$B11,AF$1,AF$2,100,101,$AK11)/100</f>
        <v>0</v>
      </c>
      <c r="AG11" s="134">
        <f>(1+([1]!thsiFinD("ths_adjustment_nvg_ratio_fund",$B11,AG$1,AG$2,101)-[1]!thsiFinD("ths_int_chg_ratio_index",$AK11,AG$1,AG$2,101))/100)^(365/(AG$2-AG$1))-1</f>
        <v>-3.9159373953115972E-2</v>
      </c>
      <c r="AH11" s="134">
        <f>[1]!thsiFinD("ths_tracking_error_annual_fund",$B11,AH$1,AH$2,100,101,$AK11)/100</f>
        <v>0</v>
      </c>
      <c r="AI11" s="135" t="str">
        <f>[1]!thsiFinD("ths_service_start_fund",B11,100,1,101)</f>
        <v>2023-10-25</v>
      </c>
      <c r="AJ11" s="136" t="str">
        <f>[1]!thsiFinD("ths_fund_establishment_date_fund",B11)</f>
        <v>2023-10-25</v>
      </c>
      <c r="AK11" s="120" t="str">
        <f>[1]!thsiFinD("ths_fund_basement_fund",B11,1)</f>
        <v>CBA20901.CB</v>
      </c>
    </row>
    <row r="12" spans="1:38" s="150" customFormat="1">
      <c r="A12" s="9"/>
      <c r="B12" s="3"/>
      <c r="C12" s="9"/>
      <c r="D12" s="9"/>
      <c r="E12" s="3"/>
      <c r="F12" s="3"/>
      <c r="G12" s="145"/>
      <c r="H12" s="145"/>
      <c r="I12" s="145"/>
      <c r="J12" s="145"/>
      <c r="K12" s="145"/>
      <c r="L12" s="145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9"/>
      <c r="AD12" s="9"/>
      <c r="AE12" s="9"/>
      <c r="AF12" s="9"/>
      <c r="AG12" s="9"/>
      <c r="AH12" s="9"/>
      <c r="AI12" s="9"/>
      <c r="AJ12" s="9"/>
      <c r="AK12" s="146"/>
      <c r="AL12" s="9"/>
    </row>
    <row r="13" spans="1:38" s="163" customFormat="1">
      <c r="A13" s="194" t="s">
        <v>416</v>
      </c>
      <c r="B13" s="153" t="s">
        <v>417</v>
      </c>
      <c r="C13" s="154" t="str">
        <f>[1]!thsiFinD("ths_fund_short_name_fund",B13)</f>
        <v>华安易富黄金ETF联接A</v>
      </c>
      <c r="D13" s="195">
        <f>[1]!thsiFinD("ths_mergesize_fund",B13,"2026-06-09")/100000000</f>
        <v>476.7650351895</v>
      </c>
      <c r="E13" s="153" t="str">
        <f>[1]!thsiFinD("ths_fund_manager_current_fund",B13)</f>
        <v>许之彦</v>
      </c>
      <c r="F13" s="155" t="str">
        <f>AJ13</f>
        <v>2013-08-22</v>
      </c>
      <c r="G13" s="156">
        <f t="shared" si="0"/>
        <v>-0.10861412247289999</v>
      </c>
      <c r="H13" s="156">
        <f t="shared" si="0"/>
        <v>-0.13954803857792999</v>
      </c>
      <c r="I13" s="156">
        <f t="shared" si="0"/>
        <v>-0.10206310321419</v>
      </c>
      <c r="J13" s="156">
        <f t="shared" si="0"/>
        <v>0.11853376962388</v>
      </c>
      <c r="K13" s="156">
        <f t="shared" si="0"/>
        <v>0.56336073997945002</v>
      </c>
      <c r="L13" s="156">
        <f t="shared" si="0"/>
        <v>0.88109812650714003</v>
      </c>
      <c r="M13" s="156">
        <f t="shared" ref="M13:M14" si="8">AC13</f>
        <v>0.10622699176937123</v>
      </c>
      <c r="N13" s="156">
        <f t="shared" ref="N13:N14" si="9">AE13</f>
        <v>0.23557692941128683</v>
      </c>
      <c r="O13" s="156">
        <f t="shared" ref="O13:O14" si="10">AG13</f>
        <v>0.22487459397313403</v>
      </c>
      <c r="P13" s="157" t="e">
        <f t="shared" ref="P13:P14" si="11">AC13/AD13</f>
        <v>#DIV/0!</v>
      </c>
      <c r="Q13" s="157" t="e">
        <f t="shared" ref="Q13:Q14" si="12">AE13/AF13</f>
        <v>#DIV/0!</v>
      </c>
      <c r="R13" s="157" t="e">
        <f t="shared" ref="R13:R14" si="13">AG13/AH13</f>
        <v>#DIV/0!</v>
      </c>
      <c r="S13" s="157">
        <f>[1]!thsiFinD("ths_adjustment_nvg_ratio_fund",$B13,S$1,S$2,101)</f>
        <v>-10.86141224729</v>
      </c>
      <c r="T13" s="157">
        <f>[1]!thsiFinD("ths_adjustment_nvg_ratio_fund",$B13,T$1,T$2,101)</f>
        <v>-13.954803857792999</v>
      </c>
      <c r="U13" s="158">
        <f>[1]!thsiFinD("ths_adjustment_nvg_ratio_fund",$B13,U$1,U$2,101)</f>
        <v>-10.206310321419</v>
      </c>
      <c r="V13" s="157">
        <f>[1]!thsiFinD("ths_adjustment_nvg_ratio_fund",$B13,V$1,V$2,101)</f>
        <v>11.853376962387999</v>
      </c>
      <c r="W13" s="157">
        <f>[1]!thsiFinD("ths_adjustment_nvg_ratio_fund",$B13,W$1,W$2,101)</f>
        <v>56.336073997945</v>
      </c>
      <c r="X13" s="157">
        <f>[1]!thsiFinD("ths_adjustment_nvg_ratio_fund",$B13,X$1,X$2,101)</f>
        <v>88.109812650714005</v>
      </c>
      <c r="Y13" s="158">
        <f>[1]!thsiFinD("ths_adjustment_nvg_ratio_fund",$B13,Y$1,Y$2,101)</f>
        <v>57.286105566129997</v>
      </c>
      <c r="Z13" s="158">
        <f>[1]!thsiFinD("ths_adjustment_nvg_ratio_fund",$B13,Z$1,Z$2,101)</f>
        <v>25.963393953570002</v>
      </c>
      <c r="AA13" s="158"/>
      <c r="AB13" s="158"/>
      <c r="AC13" s="159">
        <f>(1+([1]!thsiFinD("ths_adjustment_nvg_ratio_fund",$B13,AC$1,AC$2,101)-[1]!thsiFinD("ths_int_chg_ratio_index",$AK13,AC$1,AC$2,101))/100)^(365/(AC$2-AC$1))-1</f>
        <v>0.10622699176937123</v>
      </c>
      <c r="AD13" s="159">
        <f>[1]!thsiFinD("ths_tracking_error_annual_fund",$B13,AD$1,AD$2,100,101,$AK13)/100</f>
        <v>0</v>
      </c>
      <c r="AE13" s="159">
        <f>(1+([1]!thsiFinD("ths_adjustment_nvg_ratio_fund",$B13,AE$1,AE$2,101)-[1]!thsiFinD("ths_int_chg_ratio_index",$AK13,AE$1,AE$2,101))/100)^(365/(AE$2-AE$1))-1</f>
        <v>0.23557692941128683</v>
      </c>
      <c r="AF13" s="159">
        <f>[1]!thsiFinD("ths_tracking_error_annual_fund",$B13,AF$1,AF$2,100,101,$AK13)/100</f>
        <v>0</v>
      </c>
      <c r="AG13" s="159">
        <f>(1+([1]!thsiFinD("ths_adjustment_nvg_ratio_fund",$B13,AG$1,AG$2,101)-[1]!thsiFinD("ths_int_chg_ratio_index",$AK13,AG$1,AG$2,101))/100)^(365/(AG$2-AG$1))-1</f>
        <v>0.22487459397313403</v>
      </c>
      <c r="AH13" s="159">
        <f>[1]!thsiFinD("ths_tracking_error_annual_fund",$B13,AH$1,AH$2,100,101,$AK13)/100</f>
        <v>0</v>
      </c>
      <c r="AI13" s="160" t="str">
        <f>[1]!thsiFinD("ths_service_start_fund",B13,100,1,101)</f>
        <v>2013-08-22</v>
      </c>
      <c r="AJ13" s="161" t="str">
        <f>[1]!thsiFinD("ths_fund_establishment_date_fund",B13)</f>
        <v>2013-08-22</v>
      </c>
      <c r="AK13" s="152">
        <f>[1]!thsiFinD("ths_fund_basement_fund",B13,1)</f>
        <v>0</v>
      </c>
      <c r="AL13" s="162"/>
    </row>
    <row r="14" spans="1:38" s="163" customFormat="1">
      <c r="A14" s="194"/>
      <c r="B14" s="153" t="s">
        <v>418</v>
      </c>
      <c r="C14" s="154" t="str">
        <f>[1]!thsiFinD("ths_fund_short_name_fund",B14)</f>
        <v>嘉实上海金ETF发起式联接A</v>
      </c>
      <c r="D14" s="195">
        <f>[1]!thsiFinD("ths_mergesize_fund",B14,"2026-06-09")/100000000</f>
        <v>20.599992566499999</v>
      </c>
      <c r="E14" s="153" t="str">
        <f>[1]!thsiFinD("ths_fund_manager_current_fund",B14)</f>
        <v>张钟玉</v>
      </c>
      <c r="F14" s="155" t="str">
        <f t="shared" ref="F14" si="14">AJ14</f>
        <v>2023-03-02</v>
      </c>
      <c r="G14" s="156">
        <f t="shared" si="0"/>
        <v>-0.10873633408845</v>
      </c>
      <c r="H14" s="156">
        <f t="shared" si="0"/>
        <v>-0.13745114860356</v>
      </c>
      <c r="I14" s="156">
        <f t="shared" si="0"/>
        <v>-0.10397069016733999</v>
      </c>
      <c r="J14" s="156">
        <f t="shared" si="0"/>
        <v>9.8312902051220008E-2</v>
      </c>
      <c r="K14" s="156">
        <f t="shared" si="0"/>
        <v>0.51081058519074996</v>
      </c>
      <c r="L14" s="156">
        <f t="shared" si="0"/>
        <v>0.75164537359658989</v>
      </c>
      <c r="M14" s="156">
        <f t="shared" si="8"/>
        <v>8.8187557820045948E-2</v>
      </c>
      <c r="N14" s="156">
        <f t="shared" si="9"/>
        <v>0.21573808512960713</v>
      </c>
      <c r="O14" s="156">
        <f t="shared" si="10"/>
        <v>0.19715711342506625</v>
      </c>
      <c r="P14" s="157" t="e">
        <f t="shared" si="11"/>
        <v>#DIV/0!</v>
      </c>
      <c r="Q14" s="157" t="e">
        <f t="shared" si="12"/>
        <v>#DIV/0!</v>
      </c>
      <c r="R14" s="157" t="e">
        <f t="shared" si="13"/>
        <v>#DIV/0!</v>
      </c>
      <c r="S14" s="157">
        <f>[1]!thsiFinD("ths_adjustment_nvg_ratio_fund",$B14,S$1,S$2,101)</f>
        <v>-10.873633408845</v>
      </c>
      <c r="T14" s="157">
        <f>[1]!thsiFinD("ths_adjustment_nvg_ratio_fund",$B14,T$1,T$2,101)</f>
        <v>-13.745114860356001</v>
      </c>
      <c r="U14" s="158">
        <f>[1]!thsiFinD("ths_adjustment_nvg_ratio_fund",$B14,U$1,U$2,101)</f>
        <v>-10.397069016733999</v>
      </c>
      <c r="V14" s="157">
        <f>[1]!thsiFinD("ths_adjustment_nvg_ratio_fund",$B14,V$1,V$2,101)</f>
        <v>9.8312902051220004</v>
      </c>
      <c r="W14" s="157">
        <f>[1]!thsiFinD("ths_adjustment_nvg_ratio_fund",$B14,W$1,W$2,101)</f>
        <v>51.081058519075</v>
      </c>
      <c r="X14" s="157">
        <f>[1]!thsiFinD("ths_adjustment_nvg_ratio_fund",$B14,X$1,X$2,101)</f>
        <v>75.164537359658993</v>
      </c>
      <c r="Y14" s="158">
        <f>[1]!thsiFinD("ths_adjustment_nvg_ratio_fund",$B14,Y$1,Y$2,101)</f>
        <v>52.426231982491998</v>
      </c>
      <c r="Z14" s="158">
        <f>[1]!thsiFinD("ths_adjustment_nvg_ratio_fund",$B14,Z$1,Z$2,101)</f>
        <v>22.580943570768</v>
      </c>
      <c r="AA14" s="158">
        <f>[1]!thsiFinD("ths_adjustment_nvg_ratio_fund",$B14,AA$1,AA$2,101)</f>
        <v>0</v>
      </c>
      <c r="AB14" s="158">
        <f>[1]!thsiFinD("ths_adjustment_nvg_ratio_fund",$B14,AB$1,AB$2,101)</f>
        <v>0</v>
      </c>
      <c r="AC14" s="159">
        <f>(1+([1]!thsiFinD("ths_adjustment_nvg_ratio_fund",$B14,AC$1,AC$2,101)-[1]!thsiFinD("ths_int_chg_ratio_index",$AK14,AC$1,AC$2,101))/100)^(365/(AC$2-AC$1))-1</f>
        <v>8.8187557820045948E-2</v>
      </c>
      <c r="AD14" s="159">
        <f>[1]!thsiFinD("ths_tracking_error_annual_fund",$B14,AD$1,AD$2,100,101,$AK14)/100</f>
        <v>0</v>
      </c>
      <c r="AE14" s="159">
        <f>(1+([1]!thsiFinD("ths_adjustment_nvg_ratio_fund",$B14,AE$1,AE$2,101)-[1]!thsiFinD("ths_int_chg_ratio_index",$AK14,AE$1,AE$2,101))/100)^(365/(AE$2-AE$1))-1</f>
        <v>0.21573808512960713</v>
      </c>
      <c r="AF14" s="159">
        <f>[1]!thsiFinD("ths_tracking_error_annual_fund",$B14,AF$1,AF$2,100,101,$AK14)/100</f>
        <v>0</v>
      </c>
      <c r="AG14" s="159">
        <f>(1+([1]!thsiFinD("ths_adjustment_nvg_ratio_fund",$B14,AG$1,AG$2,101)-[1]!thsiFinD("ths_int_chg_ratio_index",$AK14,AG$1,AG$2,101))/100)^(365/(AG$2-AG$1))-1</f>
        <v>0.19715711342506625</v>
      </c>
      <c r="AH14" s="159">
        <f>[1]!thsiFinD("ths_tracking_error_annual_fund",$B14,AH$1,AH$2,100,101,$AK14)/100</f>
        <v>0</v>
      </c>
      <c r="AI14" s="160" t="str">
        <f>[1]!thsiFinD("ths_service_start_fund",B14,100,1,101)</f>
        <v>2023-03-02</v>
      </c>
      <c r="AJ14" s="161" t="str">
        <f>[1]!thsiFinD("ths_fund_establishment_date_fund",B14)</f>
        <v>2023-03-02</v>
      </c>
      <c r="AK14" s="152">
        <f>[1]!thsiFinD("ths_fund_basement_fund",B14,1)</f>
        <v>0</v>
      </c>
      <c r="AL14" s="162"/>
    </row>
  </sheetData>
  <mergeCells count="11">
    <mergeCell ref="J2:L2"/>
    <mergeCell ref="M2:O2"/>
    <mergeCell ref="P2:R2"/>
    <mergeCell ref="A4:A11"/>
    <mergeCell ref="A13:A14"/>
    <mergeCell ref="A2:A3"/>
    <mergeCell ref="B2:B3"/>
    <mergeCell ref="C2:C3"/>
    <mergeCell ref="D2:D3"/>
    <mergeCell ref="E2:E3"/>
    <mergeCell ref="F2:F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产业趋势产品池</vt:lpstr>
      <vt:lpstr>宽基&amp;指增池</vt:lpstr>
      <vt:lpstr>债券&amp;保障池子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2026-08-10T03:52:51Z</dcterms:created>
  <dcterms:modified xsi:type="dcterms:W3CDTF">2026-08-10T03:53:43Z</dcterms:modified>
</cp:coreProperties>
</file>